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Sweep" sheetId="3" state="visible" r:id="rId5"/>
    <sheet name="Matrix" sheetId="4" state="visible" r:id="rId6"/>
    <sheet name="Weight 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<sst xmlns="http://schemas.openxmlformats.org/spreadsheetml/2006/main" count="1026" uniqueCount="518">
  <si>
    <t xml:space="preserve">Box wing span and gap sweep: Group 10, W6 wing down-select</t>
  </si>
  <si>
    <t xml:space="preserve">First estimate, for concept evaluation. Built by docs/pdr/scripts/build_boxwing_sweep.py.</t>
  </si>
  <si>
    <t xml:space="preserve">What it does</t>
  </si>
  <si>
    <t xml:space="preserve">Sizes the aircraft (Raymer Ch. 3 fuel fractions, Breguet cruise, brief App. 2-3 rules, Task Spec 4.7 margins) for a conventional wing and a box wing at spans of 56-65 m and gaps h/b of 0.05-0.25. Engine, Mach, cabin and mission are the same in every case, so only the wing changes.</t>
  </si>
  <si>
    <t xml:space="preserve">Sheets</t>
  </si>
  <si>
    <t xml:space="preserve">Inputs: every assumption, yellow = editable. Sweep: one row per case. Matrix: span x gap tables and a chart. Weight sensitivity: how much extra structure the box wing can carry before it stops saving fuel.</t>
  </si>
  <si>
    <t xml:space="preserve">Method</t>
  </si>
  <si>
    <t xml:space="preserve">1. Wing area S = MTOW / wing loading (iterated 25 times with MTOW; the last column of Sweep shows it has converged).</t>
  </si>
  <si>
    <t xml:space="preserve">2. Drag polar CD = CD0 x (1 + cfin x h) + k x CL^2 / (pi x AR x e), AR = b^2 / S (total area). k = 1 for the conventional wing.</t>
  </si>
  <si>
    <t xml:space="preserve">3. k(h/b) = (1 + 0.45 h/b) / (1.04 + 2.81 h/b), Prandtl's estimate for the box wing: 20-30 % less induced drag at h/b 0.10-0.15, as quoted by Frediani.</t>
  </si>
  <si>
    <t xml:space="preserve">4. L/D is calibrated so the conventional 64 m wing gives the slide-10 value of 19; every other case is relative to that.</t>
  </si>
  <si>
    <t xml:space="preserve">5. OWE/MTOW = 0.52 + wing-mass share x (b/64 - 1) [Raymer wing mass ~ AR^0.5 ~ b at fixed S] + box penalty (pen0 + pfin x h).</t>
  </si>
  <si>
    <t xml:space="preserve">6. MTOW = (payload + crew) / (1 - fuel fraction - OWE/MTOW), exactly as on slide 10.</t>
  </si>
  <si>
    <t xml:space="preserve">7. Checks: approach speed = 1.23 Vs at MLW (brief &lt;= 150 kt); cruise altitude from the cruise CL (brief 33,000-41,000 ft); wing tank volume from Torenbeek's estimate (rough).</t>
  </si>
  <si>
    <t xml:space="preserve">Limits (say these if asked)</t>
  </si>
  <si>
    <t xml:space="preserve">Box wing structural mass is the biggest unknown: see Weight sensitivity. The drag model has no transonic interference between the two wings. Equal lift on both wings is assumed (best for drag); trim may need the front wing to carry more. Folding wings are not modelled here because the box wing stays within Code E; the folding-wing group can unfold to &lt; 80 m on the runway (brief). At 600 kg/m2 a conventional wing of 54 m or less does not close: more MTOW means more area, lower aspect ratio and lower L/D, so MTOW runs away.</t>
  </si>
  <si>
    <t xml:space="preserve">Sources</t>
  </si>
  <si>
    <t xml:space="preserve">Raymer, D.P. (2018) Aircraft Design: A Conceptual Approach, 6th edn, Ch. 3 and 5. Brief ME2618655 App. 2-3; Task Specification 4.7.</t>
  </si>
  <si>
    <t xml:space="preserve">Prandtl (1924) Induced drag of multiplanes; h/b vs induced drag as quoted from Frediani (2003) in HAW Hamburg box-wing work: https://www.fzt.haw-hamburg.de/pers/Scholz/arbeiten/AufgabeKhan.pdf</t>
  </si>
  <si>
    <t xml:space="preserve">PARSIFAL PrandtlPlane (EU H2020): https://cordis.europa.eu/article/id/428904-box-wing-design-for-more-efficient-aircraft</t>
  </si>
  <si>
    <t xml:space="preserve">Torenbeek, E. (1982) Synthesis of Subsonic Airplane Design: wing fuel volume estimate.</t>
  </si>
  <si>
    <t xml:space="preserve">Inputs: yellow cells can be changed; everything else updates</t>
  </si>
  <si>
    <t xml:space="preserve">Quantity</t>
  </si>
  <si>
    <t xml:space="preserve">Value</t>
  </si>
  <si>
    <t xml:space="preserve">Unit</t>
  </si>
  <si>
    <t xml:space="preserve">Source / note</t>
  </si>
  <si>
    <t xml:space="preserve">Mission and brief rules (same as Group10_Sizing.xlsx)</t>
  </si>
  <si>
    <t xml:space="preserve">Passengers (3-class MR)</t>
  </si>
  <si>
    <t xml:space="preserve">-</t>
  </si>
  <si>
    <t xml:space="preserve">Brief</t>
  </si>
  <si>
    <t xml:space="preserve">Passenger mass incl. baggage</t>
  </si>
  <si>
    <t xml:space="preserve">kg</t>
  </si>
  <si>
    <t xml:space="preserve">Brief App. 2</t>
  </si>
  <si>
    <t xml:space="preserve">Flight crew</t>
  </si>
  <si>
    <t xml:space="preserve">Flight crew mass incl. baggage</t>
  </si>
  <si>
    <t xml:space="preserve">Cabin crew</t>
  </si>
  <si>
    <t xml:space="preserve">Cabin crew mass incl. baggage</t>
  </si>
  <si>
    <t xml:space="preserve">Design range</t>
  </si>
  <si>
    <t xml:space="preserve">NM</t>
  </si>
  <si>
    <t xml:space="preserve">Cruise Mach</t>
  </si>
  <si>
    <t xml:space="preserve">Same for every wing</t>
  </si>
  <si>
    <t xml:space="preserve">Speed of sound, 35,000 ft ISA</t>
  </si>
  <si>
    <t xml:space="preserve">kt</t>
  </si>
  <si>
    <t xml:space="preserve">ISA</t>
  </si>
  <si>
    <t xml:space="preserve">Cruise SFC (before margin)</t>
  </si>
  <si>
    <t xml:space="preserve">1/h</t>
  </si>
  <si>
    <t xml:space="preserve">Same engine for every wing</t>
  </si>
  <si>
    <t xml:space="preserve">Engine bypass ratio</t>
  </si>
  <si>
    <t xml:space="preserve">Same engine</t>
  </si>
  <si>
    <t xml:space="preserve">L/D margin</t>
  </si>
  <si>
    <t xml:space="preserve">Task Spec 4.7</t>
  </si>
  <si>
    <t xml:space="preserve">SFC margin</t>
  </si>
  <si>
    <t xml:space="preserve">Climb weight fraction</t>
  </si>
  <si>
    <t xml:space="preserve">Raymer Table 3.2</t>
  </si>
  <si>
    <t xml:space="preserve">Descent and landing weight fraction</t>
  </si>
  <si>
    <t xml:space="preserve">En-route reserve</t>
  </si>
  <si>
    <t xml:space="preserve">of trip fuel</t>
  </si>
  <si>
    <t xml:space="preserve">Brief App. 3 (JAR 3 %)</t>
  </si>
  <si>
    <t xml:space="preserve">Diversion distance</t>
  </si>
  <si>
    <t xml:space="preserve">Brief App. 3</t>
  </si>
  <si>
    <t xml:space="preserve">Diversion Mach</t>
  </si>
  <si>
    <t xml:space="preserve">Speed of sound, 20,000 ft ISA</t>
  </si>
  <si>
    <t xml:space="preserve">Diversion L/D factor</t>
  </si>
  <si>
    <t xml:space="preserve">As Sizing sheet</t>
  </si>
  <si>
    <t xml:space="preserve">Holding time</t>
  </si>
  <si>
    <t xml:space="preserve">h</t>
  </si>
  <si>
    <t xml:space="preserve">Holding SFC factor</t>
  </si>
  <si>
    <t xml:space="preserve">Unusable fuel</t>
  </si>
  <si>
    <t xml:space="preserve">of fuel</t>
  </si>
  <si>
    <t xml:space="preserve">SAF (HEFA) density</t>
  </si>
  <si>
    <t xml:space="preserve">kg/L</t>
  </si>
  <si>
    <t xml:space="preserve">Slide-10 baseline (anchor)</t>
  </si>
  <si>
    <t xml:space="preserve">Cruise L/D, conventional base case</t>
  </si>
  <si>
    <t xml:space="preserve">Slide 10 base case</t>
  </si>
  <si>
    <t xml:space="preserve">OWE/MTOW, conventional base case</t>
  </si>
  <si>
    <t xml:space="preserve">Span the base case is assumed to have</t>
  </si>
  <si>
    <t xml:space="preserve">m</t>
  </si>
  <si>
    <t xml:space="preserve">Just inside the 65 m Code E gate limit</t>
  </si>
  <si>
    <t xml:space="preserve">Wing and aerodynamic assumptions (agree as a team)</t>
  </si>
  <si>
    <t xml:space="preserve">Wing loading at MTOW (total wing area)</t>
  </si>
  <si>
    <t xml:space="preserve">kg/m2</t>
  </si>
  <si>
    <t xml:space="preserve">Raymer typical jet transport; A330neo ~540, 787 ~680</t>
  </si>
  <si>
    <t xml:space="preserve">Zero-lift drag coefficient, conventional</t>
  </si>
  <si>
    <t xml:space="preserve">Typical widebody; only ratios matter after calibration</t>
  </si>
  <si>
    <t xml:space="preserve">Oswald efficiency, conventional</t>
  </si>
  <si>
    <t xml:space="preserve">Raymer typical</t>
  </si>
  <si>
    <t xml:space="preserve">Cruise CL, conventional</t>
  </si>
  <si>
    <t xml:space="preserve">Sets cruise altitude (see Sweep)</t>
  </si>
  <si>
    <t xml:space="preserve">Cruise CL, box wing</t>
  </si>
  <si>
    <t xml:space="preserve">Same as conventional for a fair test: the model has no buffet or drag-rise limit, so raising only this flatters the box wing</t>
  </si>
  <si>
    <t xml:space="preserve">Landing CLmax, conventional</t>
  </si>
  <si>
    <t xml:space="preserve">Slats + double-slotted flaps</t>
  </si>
  <si>
    <t xml:space="preserve">Landing CLmax, box wing</t>
  </si>
  <si>
    <t xml:space="preserve">Rear wing in front wing's downwash: more conservative</t>
  </si>
  <si>
    <t xml:space="preserve">MLW / MTOW</t>
  </si>
  <si>
    <t xml:space="preserve">A330-900 and 787-9 are ~0.76</t>
  </si>
  <si>
    <t xml:space="preserve">Zero-lift drag added per metre of gap (tip fins)</t>
  </si>
  <si>
    <t xml:space="preserve">per m</t>
  </si>
  <si>
    <t xml:space="preserve">Fin wetted area ~10 m2 per m of h vs ~2000 m2 aircraft; no horizontal tail assumed to offset joints</t>
  </si>
  <si>
    <t xml:space="preserve">Wing mass as a share of MTOW</t>
  </si>
  <si>
    <t xml:space="preserve">Typical widebody</t>
  </si>
  <si>
    <t xml:space="preserve">Box wing fixed OWE/MTOW penalty (joints, stiffening)</t>
  </si>
  <si>
    <t xml:space="preserve">ASSUMPTION: biggest unknown, see Weight sensitivity</t>
  </si>
  <si>
    <t xml:space="preserve">Box wing OWE/MTOW penalty per metre of gap (tip fins)</t>
  </si>
  <si>
    <t xml:space="preserve">ASSUMPTION: ~0.01 total at h = 10 m</t>
  </si>
  <si>
    <t xml:space="preserve">Wing thickness-to-chord (mean)</t>
  </si>
  <si>
    <t xml:space="preserve">Korn: Mdd ~0.87 at 30 deg sweep, CL 0.5</t>
  </si>
  <si>
    <t xml:space="preserve">Usable tank factor (taper, spars, ribs)</t>
  </si>
  <si>
    <t xml:space="preserve">ASSUMPTION</t>
  </si>
  <si>
    <t xml:space="preserve">Derived (do not edit)</t>
  </si>
  <si>
    <t xml:space="preserve">g</t>
  </si>
  <si>
    <t xml:space="preserve">m/s2</t>
  </si>
  <si>
    <t xml:space="preserve">Take-off and initial climb fraction</t>
  </si>
  <si>
    <t xml:space="preserve">Cruise true airspeed</t>
  </si>
  <si>
    <t xml:space="preserve">Payload + crew</t>
  </si>
  <si>
    <t xml:space="preserve">Baseline wing area</t>
  </si>
  <si>
    <t xml:space="preserve">m2</t>
  </si>
  <si>
    <t xml:space="preserve">From the slide-10 baseline row</t>
  </si>
  <si>
    <t xml:space="preserve">L/D calibration factor</t>
  </si>
  <si>
    <t xml:space="preserve">Makes the conventional 64 m wing give L/D 19 (covers compressibility, trim, etc.)</t>
  </si>
  <si>
    <t xml:space="preserve">Box wing span and gap sweep (first estimate, for concept evaluation)</t>
  </si>
  <si>
    <t xml:space="preserve">Same engine, Mach, cabin and mission rules for every row; only the wing changes. k = Prandtl's box-wing estimate (1 + 0.45 h/b)/(1.04 + 2.81 h/b). Spans 56-65 m: Code E (&lt;= 65 m) because a box wing does not fold; a conventional wing of 54 m or less does not close at 600 kg/m2.</t>
  </si>
  <si>
    <t xml:space="preserve">Config</t>
  </si>
  <si>
    <t xml:space="preserve">Span b (m)</t>
  </si>
  <si>
    <t xml:space="preserve">Gap h/b</t>
  </si>
  <si>
    <t xml:space="preserve">Gap h (m)</t>
  </si>
  <si>
    <t xml:space="preserve">Induced drag factor k</t>
  </si>
  <si>
    <t xml:space="preserve">Zero-lift drag factor</t>
  </si>
  <si>
    <t xml:space="preserve">OWE / MTOW</t>
  </si>
  <si>
    <t xml:space="preserve">Cruise CL</t>
  </si>
  <si>
    <t xml:space="preserve">Landing CLmax</t>
  </si>
  <si>
    <t xml:space="preserve">Wing area S, total (m2)</t>
  </si>
  <si>
    <t xml:space="preserve">Aspect ratio b2/S</t>
  </si>
  <si>
    <t xml:space="preserve">Aspect ratio per wing</t>
  </si>
  <si>
    <t xml:space="preserve">Cruise L/D (before margin)</t>
  </si>
  <si>
    <t xml:space="preserve">Equivalent monoplane span (m)</t>
  </si>
  <si>
    <t xml:space="preserve">Fuel / MTOW</t>
  </si>
  <si>
    <t xml:space="preserve">MTOW (t)</t>
  </si>
  <si>
    <t xml:space="preserve">OWE (t)</t>
  </si>
  <si>
    <t xml:space="preserve">Mission fuel (t)</t>
  </si>
  <si>
    <t xml:space="preserve">Fuel volume, SAF (m3)</t>
  </si>
  <si>
    <t xml:space="preserve">Fuel vs slide-10 baseline</t>
  </si>
  <si>
    <t xml:space="preserve">Fuel vs conventional, same span</t>
  </si>
  <si>
    <t xml:space="preserve">Wing tank volume (m3)</t>
  </si>
  <si>
    <t xml:space="preserve">Share of fuel that fits in the wings</t>
  </si>
  <si>
    <t xml:space="preserve">Approach speed at MLW (kt)</t>
  </si>
  <si>
    <t xml:space="preserve">Cruise altitude (ft)</t>
  </si>
  <si>
    <t xml:space="preserve">Iteration change in MTOW (kg)</t>
  </si>
  <si>
    <t xml:space="preserve">Sizing closes?</t>
  </si>
  <si>
    <t xml:space="preserve">pass 1: S</t>
  </si>
  <si>
    <t xml:space="preserve">pass 1: AR</t>
  </si>
  <si>
    <t xml:space="preserve">pass 1: LD</t>
  </si>
  <si>
    <t xml:space="preserve">pass 1: fcr</t>
  </si>
  <si>
    <t xml:space="preserve">pass 1: fland</t>
  </si>
  <si>
    <t xml:space="preserve">pass 1: trip</t>
  </si>
  <si>
    <t xml:space="preserve">pass 1: enr</t>
  </si>
  <si>
    <t xml:space="preserve">pass 1: ovs</t>
  </si>
  <si>
    <t xml:space="preserve">pass 1: w1</t>
  </si>
  <si>
    <t xml:space="preserve">pass 1: div</t>
  </si>
  <si>
    <t xml:space="preserve">pass 1: hold</t>
  </si>
  <si>
    <t xml:space="preserve">pass 1: app</t>
  </si>
  <si>
    <t xml:space="preserve">pass 1: ff</t>
  </si>
  <si>
    <t xml:space="preserve">pass 1: MTOW</t>
  </si>
  <si>
    <t xml:space="preserve">pass 2: S</t>
  </si>
  <si>
    <t xml:space="preserve">pass 2: AR</t>
  </si>
  <si>
    <t xml:space="preserve">pass 2: LD</t>
  </si>
  <si>
    <t xml:space="preserve">pass 2: fcr</t>
  </si>
  <si>
    <t xml:space="preserve">pass 2: fland</t>
  </si>
  <si>
    <t xml:space="preserve">pass 2: trip</t>
  </si>
  <si>
    <t xml:space="preserve">pass 2: enr</t>
  </si>
  <si>
    <t xml:space="preserve">pass 2: ovs</t>
  </si>
  <si>
    <t xml:space="preserve">pass 2: w1</t>
  </si>
  <si>
    <t xml:space="preserve">pass 2: div</t>
  </si>
  <si>
    <t xml:space="preserve">pass 2: hold</t>
  </si>
  <si>
    <t xml:space="preserve">pass 2: app</t>
  </si>
  <si>
    <t xml:space="preserve">pass 2: ff</t>
  </si>
  <si>
    <t xml:space="preserve">pass 2: MTOW</t>
  </si>
  <si>
    <t xml:space="preserve">pass 3: S</t>
  </si>
  <si>
    <t xml:space="preserve">pass 3: AR</t>
  </si>
  <si>
    <t xml:space="preserve">pass 3: LD</t>
  </si>
  <si>
    <t xml:space="preserve">pass 3: fcr</t>
  </si>
  <si>
    <t xml:space="preserve">pass 3: fland</t>
  </si>
  <si>
    <t xml:space="preserve">pass 3: trip</t>
  </si>
  <si>
    <t xml:space="preserve">pass 3: enr</t>
  </si>
  <si>
    <t xml:space="preserve">pass 3: ovs</t>
  </si>
  <si>
    <t xml:space="preserve">pass 3: w1</t>
  </si>
  <si>
    <t xml:space="preserve">pass 3: div</t>
  </si>
  <si>
    <t xml:space="preserve">pass 3: hold</t>
  </si>
  <si>
    <t xml:space="preserve">pass 3: app</t>
  </si>
  <si>
    <t xml:space="preserve">pass 3: ff</t>
  </si>
  <si>
    <t xml:space="preserve">pass 3: MTOW</t>
  </si>
  <si>
    <t xml:space="preserve">pass 4: S</t>
  </si>
  <si>
    <t xml:space="preserve">pass 4: AR</t>
  </si>
  <si>
    <t xml:space="preserve">pass 4: LD</t>
  </si>
  <si>
    <t xml:space="preserve">pass 4: fcr</t>
  </si>
  <si>
    <t xml:space="preserve">pass 4: fland</t>
  </si>
  <si>
    <t xml:space="preserve">pass 4: trip</t>
  </si>
  <si>
    <t xml:space="preserve">pass 4: enr</t>
  </si>
  <si>
    <t xml:space="preserve">pass 4: ovs</t>
  </si>
  <si>
    <t xml:space="preserve">pass 4: w1</t>
  </si>
  <si>
    <t xml:space="preserve">pass 4: div</t>
  </si>
  <si>
    <t xml:space="preserve">pass 4: hold</t>
  </si>
  <si>
    <t xml:space="preserve">pass 4: app</t>
  </si>
  <si>
    <t xml:space="preserve">pass 4: ff</t>
  </si>
  <si>
    <t xml:space="preserve">pass 4: MTOW</t>
  </si>
  <si>
    <t xml:space="preserve">pass 5: S</t>
  </si>
  <si>
    <t xml:space="preserve">pass 5: AR</t>
  </si>
  <si>
    <t xml:space="preserve">pass 5: LD</t>
  </si>
  <si>
    <t xml:space="preserve">pass 5: fcr</t>
  </si>
  <si>
    <t xml:space="preserve">pass 5: fland</t>
  </si>
  <si>
    <t xml:space="preserve">pass 5: trip</t>
  </si>
  <si>
    <t xml:space="preserve">pass 5: enr</t>
  </si>
  <si>
    <t xml:space="preserve">pass 5: ovs</t>
  </si>
  <si>
    <t xml:space="preserve">pass 5: w1</t>
  </si>
  <si>
    <t xml:space="preserve">pass 5: div</t>
  </si>
  <si>
    <t xml:space="preserve">pass 5: hold</t>
  </si>
  <si>
    <t xml:space="preserve">pass 5: app</t>
  </si>
  <si>
    <t xml:space="preserve">pass 5: ff</t>
  </si>
  <si>
    <t xml:space="preserve">pass 5: MTOW</t>
  </si>
  <si>
    <t xml:space="preserve">pass 6: S</t>
  </si>
  <si>
    <t xml:space="preserve">pass 6: AR</t>
  </si>
  <si>
    <t xml:space="preserve">pass 6: LD</t>
  </si>
  <si>
    <t xml:space="preserve">pass 6: fcr</t>
  </si>
  <si>
    <t xml:space="preserve">pass 6: fland</t>
  </si>
  <si>
    <t xml:space="preserve">pass 6: trip</t>
  </si>
  <si>
    <t xml:space="preserve">pass 6: enr</t>
  </si>
  <si>
    <t xml:space="preserve">pass 6: ovs</t>
  </si>
  <si>
    <t xml:space="preserve">pass 6: w1</t>
  </si>
  <si>
    <t xml:space="preserve">pass 6: div</t>
  </si>
  <si>
    <t xml:space="preserve">pass 6: hold</t>
  </si>
  <si>
    <t xml:space="preserve">pass 6: app</t>
  </si>
  <si>
    <t xml:space="preserve">pass 6: ff</t>
  </si>
  <si>
    <t xml:space="preserve">pass 6: MTOW</t>
  </si>
  <si>
    <t xml:space="preserve">pass 7: S</t>
  </si>
  <si>
    <t xml:space="preserve">pass 7: AR</t>
  </si>
  <si>
    <t xml:space="preserve">pass 7: LD</t>
  </si>
  <si>
    <t xml:space="preserve">pass 7: fcr</t>
  </si>
  <si>
    <t xml:space="preserve">pass 7: fland</t>
  </si>
  <si>
    <t xml:space="preserve">pass 7: trip</t>
  </si>
  <si>
    <t xml:space="preserve">pass 7: enr</t>
  </si>
  <si>
    <t xml:space="preserve">pass 7: ovs</t>
  </si>
  <si>
    <t xml:space="preserve">pass 7: w1</t>
  </si>
  <si>
    <t xml:space="preserve">pass 7: div</t>
  </si>
  <si>
    <t xml:space="preserve">pass 7: hold</t>
  </si>
  <si>
    <t xml:space="preserve">pass 7: app</t>
  </si>
  <si>
    <t xml:space="preserve">pass 7: ff</t>
  </si>
  <si>
    <t xml:space="preserve">pass 7: MTOW</t>
  </si>
  <si>
    <t xml:space="preserve">pass 8: S</t>
  </si>
  <si>
    <t xml:space="preserve">pass 8: AR</t>
  </si>
  <si>
    <t xml:space="preserve">pass 8: LD</t>
  </si>
  <si>
    <t xml:space="preserve">pass 8: fcr</t>
  </si>
  <si>
    <t xml:space="preserve">pass 8: fland</t>
  </si>
  <si>
    <t xml:space="preserve">pass 8: trip</t>
  </si>
  <si>
    <t xml:space="preserve">pass 8: enr</t>
  </si>
  <si>
    <t xml:space="preserve">pass 8: ovs</t>
  </si>
  <si>
    <t xml:space="preserve">pass 8: w1</t>
  </si>
  <si>
    <t xml:space="preserve">pass 8: div</t>
  </si>
  <si>
    <t xml:space="preserve">pass 8: hold</t>
  </si>
  <si>
    <t xml:space="preserve">pass 8: app</t>
  </si>
  <si>
    <t xml:space="preserve">pass 8: ff</t>
  </si>
  <si>
    <t xml:space="preserve">pass 8: MTOW</t>
  </si>
  <si>
    <t xml:space="preserve">pass 9: S</t>
  </si>
  <si>
    <t xml:space="preserve">pass 9: AR</t>
  </si>
  <si>
    <t xml:space="preserve">pass 9: LD</t>
  </si>
  <si>
    <t xml:space="preserve">pass 9: fcr</t>
  </si>
  <si>
    <t xml:space="preserve">pass 9: fland</t>
  </si>
  <si>
    <t xml:space="preserve">pass 9: trip</t>
  </si>
  <si>
    <t xml:space="preserve">pass 9: enr</t>
  </si>
  <si>
    <t xml:space="preserve">pass 9: ovs</t>
  </si>
  <si>
    <t xml:space="preserve">pass 9: w1</t>
  </si>
  <si>
    <t xml:space="preserve">pass 9: div</t>
  </si>
  <si>
    <t xml:space="preserve">pass 9: hold</t>
  </si>
  <si>
    <t xml:space="preserve">pass 9: app</t>
  </si>
  <si>
    <t xml:space="preserve">pass 9: ff</t>
  </si>
  <si>
    <t xml:space="preserve">pass 9: MTOW</t>
  </si>
  <si>
    <t xml:space="preserve">pass 10: S</t>
  </si>
  <si>
    <t xml:space="preserve">pass 10: AR</t>
  </si>
  <si>
    <t xml:space="preserve">pass 10: LD</t>
  </si>
  <si>
    <t xml:space="preserve">pass 10: fcr</t>
  </si>
  <si>
    <t xml:space="preserve">pass 10: fland</t>
  </si>
  <si>
    <t xml:space="preserve">pass 10: trip</t>
  </si>
  <si>
    <t xml:space="preserve">pass 10: enr</t>
  </si>
  <si>
    <t xml:space="preserve">pass 10: ovs</t>
  </si>
  <si>
    <t xml:space="preserve">pass 10: w1</t>
  </si>
  <si>
    <t xml:space="preserve">pass 10: div</t>
  </si>
  <si>
    <t xml:space="preserve">pass 10: hold</t>
  </si>
  <si>
    <t xml:space="preserve">pass 10: app</t>
  </si>
  <si>
    <t xml:space="preserve">pass 10: ff</t>
  </si>
  <si>
    <t xml:space="preserve">pass 10: MTOW</t>
  </si>
  <si>
    <t xml:space="preserve">pass 11: S</t>
  </si>
  <si>
    <t xml:space="preserve">pass 11: AR</t>
  </si>
  <si>
    <t xml:space="preserve">pass 11: LD</t>
  </si>
  <si>
    <t xml:space="preserve">pass 11: fcr</t>
  </si>
  <si>
    <t xml:space="preserve">pass 11: fland</t>
  </si>
  <si>
    <t xml:space="preserve">pass 11: trip</t>
  </si>
  <si>
    <t xml:space="preserve">pass 11: enr</t>
  </si>
  <si>
    <t xml:space="preserve">pass 11: ovs</t>
  </si>
  <si>
    <t xml:space="preserve">pass 11: w1</t>
  </si>
  <si>
    <t xml:space="preserve">pass 11: div</t>
  </si>
  <si>
    <t xml:space="preserve">pass 11: hold</t>
  </si>
  <si>
    <t xml:space="preserve">pass 11: app</t>
  </si>
  <si>
    <t xml:space="preserve">pass 11: ff</t>
  </si>
  <si>
    <t xml:space="preserve">pass 11: MTOW</t>
  </si>
  <si>
    <t xml:space="preserve">pass 12: S</t>
  </si>
  <si>
    <t xml:space="preserve">pass 12: AR</t>
  </si>
  <si>
    <t xml:space="preserve">pass 12: LD</t>
  </si>
  <si>
    <t xml:space="preserve">pass 12: fcr</t>
  </si>
  <si>
    <t xml:space="preserve">pass 12: fland</t>
  </si>
  <si>
    <t xml:space="preserve">pass 12: trip</t>
  </si>
  <si>
    <t xml:space="preserve">pass 12: enr</t>
  </si>
  <si>
    <t xml:space="preserve">pass 12: ovs</t>
  </si>
  <si>
    <t xml:space="preserve">pass 12: w1</t>
  </si>
  <si>
    <t xml:space="preserve">pass 12: div</t>
  </si>
  <si>
    <t xml:space="preserve">pass 12: hold</t>
  </si>
  <si>
    <t xml:space="preserve">pass 12: app</t>
  </si>
  <si>
    <t xml:space="preserve">pass 12: ff</t>
  </si>
  <si>
    <t xml:space="preserve">pass 12: MTOW</t>
  </si>
  <si>
    <t xml:space="preserve">pass 13: S</t>
  </si>
  <si>
    <t xml:space="preserve">pass 13: AR</t>
  </si>
  <si>
    <t xml:space="preserve">pass 13: LD</t>
  </si>
  <si>
    <t xml:space="preserve">pass 13: fcr</t>
  </si>
  <si>
    <t xml:space="preserve">pass 13: fland</t>
  </si>
  <si>
    <t xml:space="preserve">pass 13: trip</t>
  </si>
  <si>
    <t xml:space="preserve">pass 13: enr</t>
  </si>
  <si>
    <t xml:space="preserve">pass 13: ovs</t>
  </si>
  <si>
    <t xml:space="preserve">pass 13: w1</t>
  </si>
  <si>
    <t xml:space="preserve">pass 13: div</t>
  </si>
  <si>
    <t xml:space="preserve">pass 13: hold</t>
  </si>
  <si>
    <t xml:space="preserve">pass 13: app</t>
  </si>
  <si>
    <t xml:space="preserve">pass 13: ff</t>
  </si>
  <si>
    <t xml:space="preserve">pass 13: MTOW</t>
  </si>
  <si>
    <t xml:space="preserve">pass 14: S</t>
  </si>
  <si>
    <t xml:space="preserve">pass 14: AR</t>
  </si>
  <si>
    <t xml:space="preserve">pass 14: LD</t>
  </si>
  <si>
    <t xml:space="preserve">pass 14: fcr</t>
  </si>
  <si>
    <t xml:space="preserve">pass 14: fland</t>
  </si>
  <si>
    <t xml:space="preserve">pass 14: trip</t>
  </si>
  <si>
    <t xml:space="preserve">pass 14: enr</t>
  </si>
  <si>
    <t xml:space="preserve">pass 14: ovs</t>
  </si>
  <si>
    <t xml:space="preserve">pass 14: w1</t>
  </si>
  <si>
    <t xml:space="preserve">pass 14: div</t>
  </si>
  <si>
    <t xml:space="preserve">pass 14: hold</t>
  </si>
  <si>
    <t xml:space="preserve">pass 14: app</t>
  </si>
  <si>
    <t xml:space="preserve">pass 14: ff</t>
  </si>
  <si>
    <t xml:space="preserve">pass 14: MTOW</t>
  </si>
  <si>
    <t xml:space="preserve">pass 15: S</t>
  </si>
  <si>
    <t xml:space="preserve">pass 15: AR</t>
  </si>
  <si>
    <t xml:space="preserve">pass 15: LD</t>
  </si>
  <si>
    <t xml:space="preserve">pass 15: fcr</t>
  </si>
  <si>
    <t xml:space="preserve">pass 15: fland</t>
  </si>
  <si>
    <t xml:space="preserve">pass 15: trip</t>
  </si>
  <si>
    <t xml:space="preserve">pass 15: enr</t>
  </si>
  <si>
    <t xml:space="preserve">pass 15: ovs</t>
  </si>
  <si>
    <t xml:space="preserve">pass 15: w1</t>
  </si>
  <si>
    <t xml:space="preserve">pass 15: div</t>
  </si>
  <si>
    <t xml:space="preserve">pass 15: hold</t>
  </si>
  <si>
    <t xml:space="preserve">pass 15: app</t>
  </si>
  <si>
    <t xml:space="preserve">pass 15: ff</t>
  </si>
  <si>
    <t xml:space="preserve">pass 15: MTOW</t>
  </si>
  <si>
    <t xml:space="preserve">pass 16: S</t>
  </si>
  <si>
    <t xml:space="preserve">pass 16: AR</t>
  </si>
  <si>
    <t xml:space="preserve">pass 16: LD</t>
  </si>
  <si>
    <t xml:space="preserve">pass 16: fcr</t>
  </si>
  <si>
    <t xml:space="preserve">pass 16: fland</t>
  </si>
  <si>
    <t xml:space="preserve">pass 16: trip</t>
  </si>
  <si>
    <t xml:space="preserve">pass 16: enr</t>
  </si>
  <si>
    <t xml:space="preserve">pass 16: ovs</t>
  </si>
  <si>
    <t xml:space="preserve">pass 16: w1</t>
  </si>
  <si>
    <t xml:space="preserve">pass 16: div</t>
  </si>
  <si>
    <t xml:space="preserve">pass 16: hold</t>
  </si>
  <si>
    <t xml:space="preserve">pass 16: app</t>
  </si>
  <si>
    <t xml:space="preserve">pass 16: ff</t>
  </si>
  <si>
    <t xml:space="preserve">pass 16: MTOW</t>
  </si>
  <si>
    <t xml:space="preserve">pass 17: S</t>
  </si>
  <si>
    <t xml:space="preserve">pass 17: AR</t>
  </si>
  <si>
    <t xml:space="preserve">pass 17: LD</t>
  </si>
  <si>
    <t xml:space="preserve">pass 17: fcr</t>
  </si>
  <si>
    <t xml:space="preserve">pass 17: fland</t>
  </si>
  <si>
    <t xml:space="preserve">pass 17: trip</t>
  </si>
  <si>
    <t xml:space="preserve">pass 17: enr</t>
  </si>
  <si>
    <t xml:space="preserve">pass 17: ovs</t>
  </si>
  <si>
    <t xml:space="preserve">pass 17: w1</t>
  </si>
  <si>
    <t xml:space="preserve">pass 17: div</t>
  </si>
  <si>
    <t xml:space="preserve">pass 17: hold</t>
  </si>
  <si>
    <t xml:space="preserve">pass 17: app</t>
  </si>
  <si>
    <t xml:space="preserve">pass 17: ff</t>
  </si>
  <si>
    <t xml:space="preserve">pass 17: MTOW</t>
  </si>
  <si>
    <t xml:space="preserve">pass 18: S</t>
  </si>
  <si>
    <t xml:space="preserve">pass 18: AR</t>
  </si>
  <si>
    <t xml:space="preserve">pass 18: LD</t>
  </si>
  <si>
    <t xml:space="preserve">pass 18: fcr</t>
  </si>
  <si>
    <t xml:space="preserve">pass 18: fland</t>
  </si>
  <si>
    <t xml:space="preserve">pass 18: trip</t>
  </si>
  <si>
    <t xml:space="preserve">pass 18: enr</t>
  </si>
  <si>
    <t xml:space="preserve">pass 18: ovs</t>
  </si>
  <si>
    <t xml:space="preserve">pass 18: w1</t>
  </si>
  <si>
    <t xml:space="preserve">pass 18: div</t>
  </si>
  <si>
    <t xml:space="preserve">pass 18: hold</t>
  </si>
  <si>
    <t xml:space="preserve">pass 18: app</t>
  </si>
  <si>
    <t xml:space="preserve">pass 18: ff</t>
  </si>
  <si>
    <t xml:space="preserve">pass 18: MTOW</t>
  </si>
  <si>
    <t xml:space="preserve">pass 19: S</t>
  </si>
  <si>
    <t xml:space="preserve">pass 19: AR</t>
  </si>
  <si>
    <t xml:space="preserve">pass 19: LD</t>
  </si>
  <si>
    <t xml:space="preserve">pass 19: fcr</t>
  </si>
  <si>
    <t xml:space="preserve">pass 19: fland</t>
  </si>
  <si>
    <t xml:space="preserve">pass 19: trip</t>
  </si>
  <si>
    <t xml:space="preserve">pass 19: enr</t>
  </si>
  <si>
    <t xml:space="preserve">pass 19: ovs</t>
  </si>
  <si>
    <t xml:space="preserve">pass 19: w1</t>
  </si>
  <si>
    <t xml:space="preserve">pass 19: div</t>
  </si>
  <si>
    <t xml:space="preserve">pass 19: hold</t>
  </si>
  <si>
    <t xml:space="preserve">pass 19: app</t>
  </si>
  <si>
    <t xml:space="preserve">pass 19: ff</t>
  </si>
  <si>
    <t xml:space="preserve">pass 19: MTOW</t>
  </si>
  <si>
    <t xml:space="preserve">pass 20: S</t>
  </si>
  <si>
    <t xml:space="preserve">pass 20: AR</t>
  </si>
  <si>
    <t xml:space="preserve">pass 20: LD</t>
  </si>
  <si>
    <t xml:space="preserve">pass 20: fcr</t>
  </si>
  <si>
    <t xml:space="preserve">pass 20: fland</t>
  </si>
  <si>
    <t xml:space="preserve">pass 20: trip</t>
  </si>
  <si>
    <t xml:space="preserve">pass 20: enr</t>
  </si>
  <si>
    <t xml:space="preserve">pass 20: ovs</t>
  </si>
  <si>
    <t xml:space="preserve">pass 20: w1</t>
  </si>
  <si>
    <t xml:space="preserve">pass 20: div</t>
  </si>
  <si>
    <t xml:space="preserve">pass 20: hold</t>
  </si>
  <si>
    <t xml:space="preserve">pass 20: app</t>
  </si>
  <si>
    <t xml:space="preserve">pass 20: ff</t>
  </si>
  <si>
    <t xml:space="preserve">pass 20: MTOW</t>
  </si>
  <si>
    <t xml:space="preserve">pass 21: S</t>
  </si>
  <si>
    <t xml:space="preserve">pass 21: AR</t>
  </si>
  <si>
    <t xml:space="preserve">pass 21: LD</t>
  </si>
  <si>
    <t xml:space="preserve">pass 21: fcr</t>
  </si>
  <si>
    <t xml:space="preserve">pass 21: fland</t>
  </si>
  <si>
    <t xml:space="preserve">pass 21: trip</t>
  </si>
  <si>
    <t xml:space="preserve">pass 21: enr</t>
  </si>
  <si>
    <t xml:space="preserve">pass 21: ovs</t>
  </si>
  <si>
    <t xml:space="preserve">pass 21: w1</t>
  </si>
  <si>
    <t xml:space="preserve">pass 21: div</t>
  </si>
  <si>
    <t xml:space="preserve">pass 21: hold</t>
  </si>
  <si>
    <t xml:space="preserve">pass 21: app</t>
  </si>
  <si>
    <t xml:space="preserve">pass 21: ff</t>
  </si>
  <si>
    <t xml:space="preserve">pass 21: MTOW</t>
  </si>
  <si>
    <t xml:space="preserve">pass 22: S</t>
  </si>
  <si>
    <t xml:space="preserve">pass 22: AR</t>
  </si>
  <si>
    <t xml:space="preserve">pass 22: LD</t>
  </si>
  <si>
    <t xml:space="preserve">pass 22: fcr</t>
  </si>
  <si>
    <t xml:space="preserve">pass 22: fland</t>
  </si>
  <si>
    <t xml:space="preserve">pass 22: trip</t>
  </si>
  <si>
    <t xml:space="preserve">pass 22: enr</t>
  </si>
  <si>
    <t xml:space="preserve">pass 22: ovs</t>
  </si>
  <si>
    <t xml:space="preserve">pass 22: w1</t>
  </si>
  <si>
    <t xml:space="preserve">pass 22: div</t>
  </si>
  <si>
    <t xml:space="preserve">pass 22: hold</t>
  </si>
  <si>
    <t xml:space="preserve">pass 22: app</t>
  </si>
  <si>
    <t xml:space="preserve">pass 22: ff</t>
  </si>
  <si>
    <t xml:space="preserve">pass 22: MTOW</t>
  </si>
  <si>
    <t xml:space="preserve">pass 23: S</t>
  </si>
  <si>
    <t xml:space="preserve">pass 23: AR</t>
  </si>
  <si>
    <t xml:space="preserve">pass 23: LD</t>
  </si>
  <si>
    <t xml:space="preserve">pass 23: fcr</t>
  </si>
  <si>
    <t xml:space="preserve">pass 23: fland</t>
  </si>
  <si>
    <t xml:space="preserve">pass 23: trip</t>
  </si>
  <si>
    <t xml:space="preserve">pass 23: enr</t>
  </si>
  <si>
    <t xml:space="preserve">pass 23: ovs</t>
  </si>
  <si>
    <t xml:space="preserve">pass 23: w1</t>
  </si>
  <si>
    <t xml:space="preserve">pass 23: div</t>
  </si>
  <si>
    <t xml:space="preserve">pass 23: hold</t>
  </si>
  <si>
    <t xml:space="preserve">pass 23: app</t>
  </si>
  <si>
    <t xml:space="preserve">pass 23: ff</t>
  </si>
  <si>
    <t xml:space="preserve">pass 23: MTOW</t>
  </si>
  <si>
    <t xml:space="preserve">pass 24: S</t>
  </si>
  <si>
    <t xml:space="preserve">pass 24: AR</t>
  </si>
  <si>
    <t xml:space="preserve">pass 24: LD</t>
  </si>
  <si>
    <t xml:space="preserve">pass 24: fcr</t>
  </si>
  <si>
    <t xml:space="preserve">pass 24: fland</t>
  </si>
  <si>
    <t xml:space="preserve">pass 24: trip</t>
  </si>
  <si>
    <t xml:space="preserve">pass 24: enr</t>
  </si>
  <si>
    <t xml:space="preserve">pass 24: ovs</t>
  </si>
  <si>
    <t xml:space="preserve">pass 24: w1</t>
  </si>
  <si>
    <t xml:space="preserve">pass 24: div</t>
  </si>
  <si>
    <t xml:space="preserve">pass 24: hold</t>
  </si>
  <si>
    <t xml:space="preserve">pass 24: app</t>
  </si>
  <si>
    <t xml:space="preserve">pass 24: ff</t>
  </si>
  <si>
    <t xml:space="preserve">pass 24: MTOW</t>
  </si>
  <si>
    <t xml:space="preserve">pass 25: S</t>
  </si>
  <si>
    <t xml:space="preserve">pass 25: AR</t>
  </si>
  <si>
    <t xml:space="preserve">pass 25: LD</t>
  </si>
  <si>
    <t xml:space="preserve">pass 25: fcr</t>
  </si>
  <si>
    <t xml:space="preserve">pass 25: fland</t>
  </si>
  <si>
    <t xml:space="preserve">pass 25: trip</t>
  </si>
  <si>
    <t xml:space="preserve">pass 25: enr</t>
  </si>
  <si>
    <t xml:space="preserve">pass 25: ovs</t>
  </si>
  <si>
    <t xml:space="preserve">pass 25: w1</t>
  </si>
  <si>
    <t xml:space="preserve">pass 25: div</t>
  </si>
  <si>
    <t xml:space="preserve">pass 25: hold</t>
  </si>
  <si>
    <t xml:space="preserve">pass 25: app</t>
  </si>
  <si>
    <t xml:space="preserve">pass 25: ff</t>
  </si>
  <si>
    <t xml:space="preserve">pass 25: MTOW</t>
  </si>
  <si>
    <t xml:space="preserve">Slide-10 baseline</t>
  </si>
  <si>
    <t xml:space="preserve">Conventional</t>
  </si>
  <si>
    <t xml:space="preserve">Box wing</t>
  </si>
  <si>
    <t xml:space="preserve">Checks: the Conventional 64 m row should match the slide-10 baseline (L/D 19, ~198 t). Approach speed must be &lt;= 150 kt (brief). Cruise altitude should sit between 33,000 and 41,000 ft (brief). Wing tank volume uses Torenbeek's estimate, so treat it as rough.</t>
  </si>
  <si>
    <t xml:space="preserve">Hidden columns to the right hold the sizing passes (expand with the + above the column letters).</t>
  </si>
  <si>
    <t xml:space="preserve">Matrix view: box wing against span and gap (all from the Sweep sheet)</t>
  </si>
  <si>
    <t xml:space="preserve">Negative fuel change = less fuel than the slide-10 baseline (conventional, 64 m, L/D 19, 62.5 t), so a smaller SAF bill by the same percentage.</t>
  </si>
  <si>
    <t xml:space="preserve">Mission fuel vs slide-10 baseline</t>
  </si>
  <si>
    <t xml:space="preserve">Span (m)</t>
  </si>
  <si>
    <t xml:space="preserve">Box h/b 0.05</t>
  </si>
  <si>
    <t xml:space="preserve">Box h/b 0.10</t>
  </si>
  <si>
    <t xml:space="preserve">Box h/b 0.15</t>
  </si>
  <si>
    <t xml:space="preserve">Box h/b 0.20</t>
  </si>
  <si>
    <t xml:space="preserve">Box h/b 0.25</t>
  </si>
  <si>
    <t xml:space="preserve">Wing area, total (m2)</t>
  </si>
  <si>
    <t xml:space="preserve">Weight sensitivity: the box wing's structural penalty decides the result</t>
  </si>
  <si>
    <t xml:space="preserve">Pick a geometry in the yellow cells; each row adds a different OWE/MTOW penalty on top of the conventional wing at the same span.</t>
  </si>
  <si>
    <t xml:space="preserve">Extra OWE/MTOW</t>
  </si>
  <si>
    <t xml:space="preserve">Reading: compare 'Fuel vs conventional, same span'. Where it crosses zero is the weight penalty at which the box wing stops saving fuel. The Sweep sheet uses pen0 + pfin x h (about +0.01 at h = 10 m).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</si>
</sst>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.0"/>
    <numFmt numFmtId="167" formatCode="0.000"/>
    <numFmt numFmtId="168" formatCode="0.0000"/>
    <numFmt numFmtId="169" formatCode="0"/>
    <numFmt numFmtId="170" formatCode="\+0.0%;\-0.0%;0.0%"/>
    <numFmt numFmtId="171" formatCode="0%"/>
    <numFmt numFmtId="172" formatCode="#,##0"/>
    <numFmt numFmtId="173" formatCode="@"/>
    <numFmt numFmtId="174" formatCode="\+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56082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156082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color rgb="FF156082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  <fill>
      <patternFill patternType="solid">
        <fgColor rgb="FFDDEBF3"/>
        <bgColor rgb="FFF3F8FB"/>
      </patternFill>
    </fill>
    <fill>
      <patternFill patternType="solid">
        <fgColor rgb="FFFFF2CC"/>
        <bgColor rgb="FFF3F8FB"/>
      </patternFill>
    </fill>
    <fill>
      <patternFill patternType="solid">
        <fgColor rgb="FFF3F8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7F7F7F"/>
      <rgbColor rgb="FF9999FF"/>
      <rgbColor rgb="FFBE4B48"/>
      <rgbColor rgb="FFFFF2CC"/>
      <rgbColor rgb="FFDDEB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8FB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Mission fuel vs slide-10 baseline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Matrix!B5</c:f>
              <c:strCache>
                <c:ptCount val="1"/>
                <c:pt idx="0">
                  <c:v>Conventional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Matrix!$A$6:$A$11</c:f>
              <c:strCache>
                <c:ptCount val="6"/>
                <c:pt idx="0">
                  <c:v>56</c:v>
                </c:pt>
                <c:pt idx="1">
                  <c:v>58</c:v>
                </c:pt>
                <c:pt idx="2">
                  <c:v>60</c:v>
                </c:pt>
                <c:pt idx="3">
                  <c:v>62</c:v>
                </c:pt>
                <c:pt idx="4">
                  <c:v>64</c:v>
                </c:pt>
                <c:pt idx="5">
                  <c:v>65</c:v>
                </c:pt>
              </c:strCache>
            </c:strRef>
          </c:cat>
          <c:val>
            <c:numRef>
              <c:f>Matrix!$B$6:$B$11</c:f>
              <c:numCache>
                <c:formatCode>\+0.0%;\-0.0%;0.0%</c:formatCode>
                <c:ptCount val="6"/>
                <c:pt idx="0">
                  <c:v>0.284492350730216</c:v>
                </c:pt>
                <c:pt idx="1">
                  <c:v>0.153992948543654</c:v>
                </c:pt>
                <c:pt idx="2">
                  <c:v>0.0816447303798003</c:v>
                </c:pt>
                <c:pt idx="3">
                  <c:v>0.0338143200226055</c:v>
                </c:pt>
                <c:pt idx="4">
                  <c:v>3.30402372128447E-013</c:v>
                </c:pt>
                <c:pt idx="5">
                  <c:v>-0.0132603312476827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Matrix!C5</c:f>
              <c:strCache>
                <c:ptCount val="1"/>
                <c:pt idx="0">
                  <c:v>Box h/b 0.05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Matrix!$A$6:$A$11</c:f>
              <c:strCache>
                <c:ptCount val="6"/>
                <c:pt idx="0">
                  <c:v>56</c:v>
                </c:pt>
                <c:pt idx="1">
                  <c:v>58</c:v>
                </c:pt>
                <c:pt idx="2">
                  <c:v>60</c:v>
                </c:pt>
                <c:pt idx="3">
                  <c:v>62</c:v>
                </c:pt>
                <c:pt idx="4">
                  <c:v>64</c:v>
                </c:pt>
                <c:pt idx="5">
                  <c:v>65</c:v>
                </c:pt>
              </c:strCache>
            </c:strRef>
          </c:cat>
          <c:val>
            <c:numRef>
              <c:f>Matrix!$C$6:$C$11</c:f>
              <c:numCache>
                <c:formatCode>\+0.0%;\-0.0%;0.0%</c:formatCode>
                <c:ptCount val="6"/>
                <c:pt idx="0">
                  <c:v>0.0948832973231679</c:v>
                </c:pt>
                <c:pt idx="1">
                  <c:v>0.042429970763926</c:v>
                </c:pt>
                <c:pt idx="2">
                  <c:v>0.00623420908651706</c:v>
                </c:pt>
                <c:pt idx="3">
                  <c:v>-0.0195933825550431</c:v>
                </c:pt>
                <c:pt idx="4">
                  <c:v>-0.0381654406487149</c:v>
                </c:pt>
                <c:pt idx="5">
                  <c:v>-0.0453390063889267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Matrix!D5</c:f>
              <c:strCache>
                <c:ptCount val="1"/>
                <c:pt idx="0">
                  <c:v>Box h/b 0.10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Matrix!$A$6:$A$11</c:f>
              <c:strCache>
                <c:ptCount val="6"/>
                <c:pt idx="0">
                  <c:v>56</c:v>
                </c:pt>
                <c:pt idx="1">
                  <c:v>58</c:v>
                </c:pt>
                <c:pt idx="2">
                  <c:v>60</c:v>
                </c:pt>
                <c:pt idx="3">
                  <c:v>62</c:v>
                </c:pt>
                <c:pt idx="4">
                  <c:v>64</c:v>
                </c:pt>
                <c:pt idx="5">
                  <c:v>65</c:v>
                </c:pt>
              </c:strCache>
            </c:strRef>
          </c:cat>
          <c:val>
            <c:numRef>
              <c:f>Matrix!$D$6:$D$11</c:f>
              <c:numCache>
                <c:formatCode>\+0.0%;\-0.0%;0.0%</c:formatCode>
                <c:ptCount val="6"/>
                <c:pt idx="0">
                  <c:v>0.024814769861798</c:v>
                </c:pt>
                <c:pt idx="1">
                  <c:v>-0.0076374113617671</c:v>
                </c:pt>
                <c:pt idx="2">
                  <c:v>-0.0305810790722576</c:v>
                </c:pt>
                <c:pt idx="3">
                  <c:v>-0.0467496964731339</c:v>
                </c:pt>
                <c:pt idx="4">
                  <c:v>-0.0578024884087364</c:v>
                </c:pt>
                <c:pt idx="5">
                  <c:v>-0.0617625732292024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Matrix!E5</c:f>
              <c:strCache>
                <c:ptCount val="1"/>
                <c:pt idx="0">
                  <c:v>Box h/b 0.15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Matrix!$A$6:$A$11</c:f>
              <c:strCache>
                <c:ptCount val="6"/>
                <c:pt idx="0">
                  <c:v>56</c:v>
                </c:pt>
                <c:pt idx="1">
                  <c:v>58</c:v>
                </c:pt>
                <c:pt idx="2">
                  <c:v>60</c:v>
                </c:pt>
                <c:pt idx="3">
                  <c:v>62</c:v>
                </c:pt>
                <c:pt idx="4">
                  <c:v>64</c:v>
                </c:pt>
                <c:pt idx="5">
                  <c:v>65</c:v>
                </c:pt>
              </c:strCache>
            </c:strRef>
          </c:cat>
          <c:val>
            <c:numRef>
              <c:f>Matrix!$E$6:$E$11</c:f>
              <c:numCache>
                <c:formatCode>\+0.0%;\-0.0%;0.0%</c:formatCode>
                <c:ptCount val="6"/>
                <c:pt idx="0">
                  <c:v>-0.0101162896862594</c:v>
                </c:pt>
                <c:pt idx="1">
                  <c:v>-0.0320904529872899</c:v>
                </c:pt>
                <c:pt idx="2">
                  <c:v>-0.0472334864549818</c:v>
                </c:pt>
                <c:pt idx="3">
                  <c:v>-0.0572093357285144</c:v>
                </c:pt>
                <c:pt idx="4">
                  <c:v>-0.0630968058568006</c:v>
                </c:pt>
                <c:pt idx="5">
                  <c:v>-0.0647458087418878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Matrix!F5</c:f>
              <c:strCache>
                <c:ptCount val="1"/>
                <c:pt idx="0">
                  <c:v>Box h/b 0.20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Matrix!$A$6:$A$11</c:f>
              <c:strCache>
                <c:ptCount val="6"/>
                <c:pt idx="0">
                  <c:v>56</c:v>
                </c:pt>
                <c:pt idx="1">
                  <c:v>58</c:v>
                </c:pt>
                <c:pt idx="2">
                  <c:v>60</c:v>
                </c:pt>
                <c:pt idx="3">
                  <c:v>62</c:v>
                </c:pt>
                <c:pt idx="4">
                  <c:v>64</c:v>
                </c:pt>
                <c:pt idx="5">
                  <c:v>65</c:v>
                </c:pt>
              </c:strCache>
            </c:strRef>
          </c:cat>
          <c:val>
            <c:numRef>
              <c:f>Matrix!$F$6:$F$11</c:f>
              <c:numCache>
                <c:formatCode>\+0.0%;\-0.0%;0.0%</c:formatCode>
                <c:ptCount val="6"/>
                <c:pt idx="0">
                  <c:v>-0.0270170911815328</c:v>
                </c:pt>
                <c:pt idx="1">
                  <c:v>-0.0421654931865053</c:v>
                </c:pt>
                <c:pt idx="2">
                  <c:v>-0.0518421176095254</c:v>
                </c:pt>
                <c:pt idx="3">
                  <c:v>-0.0572080343419181</c:v>
                </c:pt>
                <c:pt idx="4">
                  <c:v>-0.0590429602276374</c:v>
                </c:pt>
                <c:pt idx="5">
                  <c:v>-0.0588120807107776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Matrix!G5</c:f>
              <c:strCache>
                <c:ptCount val="1"/>
                <c:pt idx="0">
                  <c:v>Box h/b 0.25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Matrix!$A$6:$A$11</c:f>
              <c:strCache>
                <c:ptCount val="6"/>
                <c:pt idx="0">
                  <c:v>56</c:v>
                </c:pt>
                <c:pt idx="1">
                  <c:v>58</c:v>
                </c:pt>
                <c:pt idx="2">
                  <c:v>60</c:v>
                </c:pt>
                <c:pt idx="3">
                  <c:v>62</c:v>
                </c:pt>
                <c:pt idx="4">
                  <c:v>64</c:v>
                </c:pt>
                <c:pt idx="5">
                  <c:v>65</c:v>
                </c:pt>
              </c:strCache>
            </c:strRef>
          </c:cat>
          <c:val>
            <c:numRef>
              <c:f>Matrix!$G$6:$G$11</c:f>
              <c:numCache>
                <c:formatCode>\+0.0%;\-0.0%;0.0%</c:formatCode>
                <c:ptCount val="6"/>
                <c:pt idx="0">
                  <c:v>-0.0328199528588629</c:v>
                </c:pt>
                <c:pt idx="1">
                  <c:v>-0.0429023101151266</c:v>
                </c:pt>
                <c:pt idx="2">
                  <c:v>-0.048288598210765</c:v>
                </c:pt>
                <c:pt idx="3">
                  <c:v>-0.0498556842622787</c:v>
                </c:pt>
                <c:pt idx="4">
                  <c:v>-0.0482028349648264</c:v>
                </c:pt>
                <c:pt idx="5">
                  <c:v>-0.0463048496507907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259619"/>
        <c:axId val="50359258"/>
      </c:lineChart>
      <c:catAx>
        <c:axId val="882596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Span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59258"/>
        <c:crosses val="autoZero"/>
        <c:auto val="1"/>
        <c:lblAlgn val="ctr"/>
        <c:lblOffset val="100"/>
        <c:noMultiLvlLbl val="0"/>
      </c:catAx>
      <c:valAx>
        <c:axId val="503592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Fuel change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596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176040</xdr:rowOff>
    </xdr:from>
    <xdr:to>
      <xdr:col>18</xdr:col>
      <xdr:colOff>364680</xdr:colOff>
      <xdr:row>19</xdr:row>
      <xdr:rowOff>177120</xdr:rowOff>
    </xdr:to>
    <xdr:graphicFrame>
      <xdr:nvGraphicFramePr>
        <xdr:cNvPr id="0" name="Chart 1"/>
        <xdr:cNvGraphicFramePr/>
      </xdr:nvGraphicFramePr>
      <xdr:xfrm>
        <a:off x="70257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8.3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8.3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28.3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55.2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2" t="s">
        <v>17</v>
      </c>
    </row>
    <row r="24" customFormat="false" ht="28.3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6.15" hidden="false" customHeight="false" outlineLevel="0" collapsed="false">
      <c r="A1" s="4" t="s">
        <v>21</v>
      </c>
    </row>
    <row r="3" customFormat="false" ht="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</row>
    <row r="4" customFormat="false" ht="15" hidden="false" customHeight="false" outlineLevel="0" collapsed="false">
      <c r="A4" s="6" t="s">
        <v>26</v>
      </c>
      <c r="B4" s="7"/>
      <c r="C4" s="7"/>
      <c r="D4" s="7"/>
    </row>
    <row r="5" customFormat="false" ht="15" hidden="false" customHeight="false" outlineLevel="0" collapsed="false">
      <c r="A5" s="0" t="s">
        <v>27</v>
      </c>
      <c r="B5" s="8" t="n">
        <v>300</v>
      </c>
      <c r="C5" s="9" t="s">
        <v>28</v>
      </c>
      <c r="D5" s="9" t="s">
        <v>29</v>
      </c>
    </row>
    <row r="6" customFormat="false" ht="15" hidden="false" customHeight="false" outlineLevel="0" collapsed="false">
      <c r="A6" s="0" t="s">
        <v>30</v>
      </c>
      <c r="B6" s="8" t="n">
        <v>105</v>
      </c>
      <c r="C6" s="9" t="s">
        <v>31</v>
      </c>
      <c r="D6" s="9" t="s">
        <v>32</v>
      </c>
    </row>
    <row r="7" customFormat="false" ht="15" hidden="false" customHeight="false" outlineLevel="0" collapsed="false">
      <c r="A7" s="0" t="s">
        <v>33</v>
      </c>
      <c r="B7" s="8" t="n">
        <v>2</v>
      </c>
      <c r="C7" s="9" t="s">
        <v>28</v>
      </c>
      <c r="D7" s="9" t="s">
        <v>32</v>
      </c>
    </row>
    <row r="8" customFormat="false" ht="15" hidden="false" customHeight="false" outlineLevel="0" collapsed="false">
      <c r="A8" s="0" t="s">
        <v>34</v>
      </c>
      <c r="B8" s="8" t="n">
        <v>95</v>
      </c>
      <c r="C8" s="9" t="s">
        <v>31</v>
      </c>
      <c r="D8" s="9" t="s">
        <v>32</v>
      </c>
    </row>
    <row r="9" customFormat="false" ht="15" hidden="false" customHeight="false" outlineLevel="0" collapsed="false">
      <c r="A9" s="0" t="s">
        <v>35</v>
      </c>
      <c r="B9" s="8" t="n">
        <v>11</v>
      </c>
      <c r="C9" s="9" t="s">
        <v>28</v>
      </c>
      <c r="D9" s="9" t="s">
        <v>32</v>
      </c>
    </row>
    <row r="10" customFormat="false" ht="15" hidden="false" customHeight="false" outlineLevel="0" collapsed="false">
      <c r="A10" s="0" t="s">
        <v>36</v>
      </c>
      <c r="B10" s="8" t="n">
        <v>85</v>
      </c>
      <c r="C10" s="9" t="s">
        <v>31</v>
      </c>
      <c r="D10" s="9" t="s">
        <v>32</v>
      </c>
    </row>
    <row r="11" customFormat="false" ht="15" hidden="false" customHeight="false" outlineLevel="0" collapsed="false">
      <c r="A11" s="0" t="s">
        <v>37</v>
      </c>
      <c r="B11" s="8" t="n">
        <v>5000</v>
      </c>
      <c r="C11" s="9" t="s">
        <v>38</v>
      </c>
      <c r="D11" s="9" t="s">
        <v>29</v>
      </c>
    </row>
    <row r="12" customFormat="false" ht="15" hidden="false" customHeight="false" outlineLevel="0" collapsed="false">
      <c r="A12" s="0" t="s">
        <v>39</v>
      </c>
      <c r="B12" s="8" t="n">
        <v>0.85</v>
      </c>
      <c r="C12" s="9" t="s">
        <v>28</v>
      </c>
      <c r="D12" s="9" t="s">
        <v>40</v>
      </c>
    </row>
    <row r="13" customFormat="false" ht="15" hidden="false" customHeight="false" outlineLevel="0" collapsed="false">
      <c r="A13" s="0" t="s">
        <v>41</v>
      </c>
      <c r="B13" s="8" t="n">
        <v>576.4</v>
      </c>
      <c r="C13" s="9" t="s">
        <v>42</v>
      </c>
      <c r="D13" s="9" t="s">
        <v>43</v>
      </c>
    </row>
    <row r="14" customFormat="false" ht="15" hidden="false" customHeight="false" outlineLevel="0" collapsed="false">
      <c r="A14" s="0" t="s">
        <v>44</v>
      </c>
      <c r="B14" s="8" t="n">
        <v>0.52</v>
      </c>
      <c r="C14" s="9" t="s">
        <v>45</v>
      </c>
      <c r="D14" s="9" t="s">
        <v>46</v>
      </c>
    </row>
    <row r="15" customFormat="false" ht="15" hidden="false" customHeight="false" outlineLevel="0" collapsed="false">
      <c r="A15" s="0" t="s">
        <v>47</v>
      </c>
      <c r="B15" s="8" t="n">
        <v>10</v>
      </c>
      <c r="C15" s="9" t="s">
        <v>28</v>
      </c>
      <c r="D15" s="9" t="s">
        <v>48</v>
      </c>
    </row>
    <row r="16" customFormat="false" ht="15" hidden="false" customHeight="false" outlineLevel="0" collapsed="false">
      <c r="A16" s="0" t="s">
        <v>49</v>
      </c>
      <c r="B16" s="8" t="n">
        <v>0.985</v>
      </c>
      <c r="C16" s="9" t="s">
        <v>28</v>
      </c>
      <c r="D16" s="9" t="s">
        <v>50</v>
      </c>
    </row>
    <row r="17" customFormat="false" ht="15" hidden="false" customHeight="false" outlineLevel="0" collapsed="false">
      <c r="A17" s="0" t="s">
        <v>51</v>
      </c>
      <c r="B17" s="8" t="n">
        <v>1.015</v>
      </c>
      <c r="C17" s="9" t="s">
        <v>28</v>
      </c>
      <c r="D17" s="9" t="s">
        <v>50</v>
      </c>
    </row>
    <row r="18" customFormat="false" ht="15" hidden="false" customHeight="false" outlineLevel="0" collapsed="false">
      <c r="A18" s="0" t="s">
        <v>52</v>
      </c>
      <c r="B18" s="8" t="n">
        <v>0.985</v>
      </c>
      <c r="C18" s="9" t="s">
        <v>28</v>
      </c>
      <c r="D18" s="9" t="s">
        <v>53</v>
      </c>
    </row>
    <row r="19" customFormat="false" ht="15" hidden="false" customHeight="false" outlineLevel="0" collapsed="false">
      <c r="A19" s="0" t="s">
        <v>54</v>
      </c>
      <c r="B19" s="8" t="n">
        <v>0.995</v>
      </c>
      <c r="C19" s="9" t="s">
        <v>28</v>
      </c>
      <c r="D19" s="9" t="s">
        <v>53</v>
      </c>
    </row>
    <row r="20" customFormat="false" ht="15" hidden="false" customHeight="false" outlineLevel="0" collapsed="false">
      <c r="A20" s="0" t="s">
        <v>55</v>
      </c>
      <c r="B20" s="8" t="n">
        <v>0.03</v>
      </c>
      <c r="C20" s="9" t="s">
        <v>56</v>
      </c>
      <c r="D20" s="9" t="s">
        <v>57</v>
      </c>
    </row>
    <row r="21" customFormat="false" ht="15" hidden="false" customHeight="false" outlineLevel="0" collapsed="false">
      <c r="A21" s="0" t="s">
        <v>58</v>
      </c>
      <c r="B21" s="8" t="n">
        <v>200</v>
      </c>
      <c r="C21" s="9" t="s">
        <v>38</v>
      </c>
      <c r="D21" s="9" t="s">
        <v>59</v>
      </c>
    </row>
    <row r="22" customFormat="false" ht="15" hidden="false" customHeight="false" outlineLevel="0" collapsed="false">
      <c r="A22" s="0" t="s">
        <v>60</v>
      </c>
      <c r="B22" s="8" t="n">
        <v>0.6</v>
      </c>
      <c r="C22" s="9" t="s">
        <v>28</v>
      </c>
      <c r="D22" s="9" t="s">
        <v>59</v>
      </c>
    </row>
    <row r="23" customFormat="false" ht="15" hidden="false" customHeight="false" outlineLevel="0" collapsed="false">
      <c r="A23" s="0" t="s">
        <v>61</v>
      </c>
      <c r="B23" s="8" t="n">
        <v>614.3</v>
      </c>
      <c r="C23" s="9" t="s">
        <v>42</v>
      </c>
      <c r="D23" s="9" t="s">
        <v>43</v>
      </c>
    </row>
    <row r="24" customFormat="false" ht="15" hidden="false" customHeight="false" outlineLevel="0" collapsed="false">
      <c r="A24" s="0" t="s">
        <v>62</v>
      </c>
      <c r="B24" s="8" t="n">
        <v>0.9</v>
      </c>
      <c r="C24" s="9" t="s">
        <v>28</v>
      </c>
      <c r="D24" s="9" t="s">
        <v>63</v>
      </c>
    </row>
    <row r="25" customFormat="false" ht="15" hidden="false" customHeight="false" outlineLevel="0" collapsed="false">
      <c r="A25" s="0" t="s">
        <v>64</v>
      </c>
      <c r="B25" s="8" t="n">
        <v>0.5</v>
      </c>
      <c r="C25" s="9" t="s">
        <v>65</v>
      </c>
      <c r="D25" s="9" t="s">
        <v>59</v>
      </c>
    </row>
    <row r="26" customFormat="false" ht="15" hidden="false" customHeight="false" outlineLevel="0" collapsed="false">
      <c r="A26" s="0" t="s">
        <v>66</v>
      </c>
      <c r="B26" s="8" t="n">
        <v>0.9</v>
      </c>
      <c r="C26" s="9" t="s">
        <v>28</v>
      </c>
      <c r="D26" s="9" t="s">
        <v>63</v>
      </c>
    </row>
    <row r="27" customFormat="false" ht="15" hidden="false" customHeight="false" outlineLevel="0" collapsed="false">
      <c r="A27" s="0" t="s">
        <v>67</v>
      </c>
      <c r="B27" s="8" t="n">
        <v>0.003</v>
      </c>
      <c r="C27" s="9" t="s">
        <v>68</v>
      </c>
      <c r="D27" s="9" t="s">
        <v>59</v>
      </c>
    </row>
    <row r="28" customFormat="false" ht="15" hidden="false" customHeight="false" outlineLevel="0" collapsed="false">
      <c r="A28" s="0" t="s">
        <v>69</v>
      </c>
      <c r="B28" s="8" t="n">
        <v>0.75</v>
      </c>
      <c r="C28" s="9" t="s">
        <v>70</v>
      </c>
      <c r="D28" s="9" t="s">
        <v>63</v>
      </c>
    </row>
    <row r="29" customFormat="false" ht="15" hidden="false" customHeight="false" outlineLevel="0" collapsed="false">
      <c r="A29" s="6" t="s">
        <v>71</v>
      </c>
      <c r="B29" s="7"/>
      <c r="C29" s="7"/>
      <c r="D29" s="7"/>
    </row>
    <row r="30" customFormat="false" ht="15" hidden="false" customHeight="false" outlineLevel="0" collapsed="false">
      <c r="A30" s="0" t="s">
        <v>72</v>
      </c>
      <c r="B30" s="8" t="n">
        <v>19</v>
      </c>
      <c r="C30" s="9" t="s">
        <v>28</v>
      </c>
      <c r="D30" s="9" t="s">
        <v>73</v>
      </c>
    </row>
    <row r="31" customFormat="false" ht="15" hidden="false" customHeight="false" outlineLevel="0" collapsed="false">
      <c r="A31" s="0" t="s">
        <v>74</v>
      </c>
      <c r="B31" s="8" t="n">
        <v>0.52</v>
      </c>
      <c r="C31" s="9" t="s">
        <v>28</v>
      </c>
      <c r="D31" s="9" t="s">
        <v>73</v>
      </c>
    </row>
    <row r="32" customFormat="false" ht="15" hidden="false" customHeight="false" outlineLevel="0" collapsed="false">
      <c r="A32" s="0" t="s">
        <v>75</v>
      </c>
      <c r="B32" s="8" t="n">
        <v>64</v>
      </c>
      <c r="C32" s="9" t="s">
        <v>76</v>
      </c>
      <c r="D32" s="9" t="s">
        <v>77</v>
      </c>
    </row>
    <row r="33" customFormat="false" ht="15" hidden="false" customHeight="false" outlineLevel="0" collapsed="false">
      <c r="A33" s="6" t="s">
        <v>78</v>
      </c>
      <c r="B33" s="7"/>
      <c r="C33" s="7"/>
      <c r="D33" s="7"/>
    </row>
    <row r="34" customFormat="false" ht="15" hidden="false" customHeight="false" outlineLevel="0" collapsed="false">
      <c r="A34" s="0" t="s">
        <v>79</v>
      </c>
      <c r="B34" s="8" t="n">
        <v>600</v>
      </c>
      <c r="C34" s="9" t="s">
        <v>80</v>
      </c>
      <c r="D34" s="9" t="s">
        <v>81</v>
      </c>
    </row>
    <row r="35" customFormat="false" ht="15" hidden="false" customHeight="false" outlineLevel="0" collapsed="false">
      <c r="A35" s="0" t="s">
        <v>82</v>
      </c>
      <c r="B35" s="8" t="n">
        <v>0.017</v>
      </c>
      <c r="C35" s="9" t="s">
        <v>28</v>
      </c>
      <c r="D35" s="9" t="s">
        <v>83</v>
      </c>
    </row>
    <row r="36" customFormat="false" ht="15" hidden="false" customHeight="false" outlineLevel="0" collapsed="false">
      <c r="A36" s="0" t="s">
        <v>84</v>
      </c>
      <c r="B36" s="8" t="n">
        <v>0.8</v>
      </c>
      <c r="C36" s="9" t="s">
        <v>28</v>
      </c>
      <c r="D36" s="9" t="s">
        <v>85</v>
      </c>
    </row>
    <row r="37" customFormat="false" ht="15" hidden="false" customHeight="false" outlineLevel="0" collapsed="false">
      <c r="A37" s="0" t="s">
        <v>86</v>
      </c>
      <c r="B37" s="8" t="n">
        <v>0.5</v>
      </c>
      <c r="C37" s="9" t="s">
        <v>28</v>
      </c>
      <c r="D37" s="9" t="s">
        <v>87</v>
      </c>
    </row>
    <row r="38" customFormat="false" ht="15" hidden="false" customHeight="false" outlineLevel="0" collapsed="false">
      <c r="A38" s="0" t="s">
        <v>88</v>
      </c>
      <c r="B38" s="8" t="n">
        <v>0.5</v>
      </c>
      <c r="C38" s="9" t="s">
        <v>28</v>
      </c>
      <c r="D38" s="9" t="s">
        <v>89</v>
      </c>
    </row>
    <row r="39" customFormat="false" ht="15" hidden="false" customHeight="false" outlineLevel="0" collapsed="false">
      <c r="A39" s="0" t="s">
        <v>90</v>
      </c>
      <c r="B39" s="8" t="n">
        <v>2.6</v>
      </c>
      <c r="C39" s="9" t="s">
        <v>28</v>
      </c>
      <c r="D39" s="9" t="s">
        <v>91</v>
      </c>
    </row>
    <row r="40" customFormat="false" ht="15" hidden="false" customHeight="false" outlineLevel="0" collapsed="false">
      <c r="A40" s="0" t="s">
        <v>92</v>
      </c>
      <c r="B40" s="8" t="n">
        <v>2.4</v>
      </c>
      <c r="C40" s="9" t="s">
        <v>28</v>
      </c>
      <c r="D40" s="9" t="s">
        <v>93</v>
      </c>
    </row>
    <row r="41" customFormat="false" ht="15" hidden="false" customHeight="false" outlineLevel="0" collapsed="false">
      <c r="A41" s="0" t="s">
        <v>94</v>
      </c>
      <c r="B41" s="8" t="n">
        <v>0.78</v>
      </c>
      <c r="C41" s="9" t="s">
        <v>28</v>
      </c>
      <c r="D41" s="9" t="s">
        <v>95</v>
      </c>
    </row>
    <row r="42" customFormat="false" ht="15" hidden="false" customHeight="false" outlineLevel="0" collapsed="false">
      <c r="A42" s="0" t="s">
        <v>96</v>
      </c>
      <c r="B42" s="8" t="n">
        <v>0.005</v>
      </c>
      <c r="C42" s="9" t="s">
        <v>97</v>
      </c>
      <c r="D42" s="9" t="s">
        <v>98</v>
      </c>
    </row>
    <row r="43" customFormat="false" ht="15" hidden="false" customHeight="false" outlineLevel="0" collapsed="false">
      <c r="A43" s="0" t="s">
        <v>99</v>
      </c>
      <c r="B43" s="8" t="n">
        <v>0.11</v>
      </c>
      <c r="C43" s="9" t="s">
        <v>28</v>
      </c>
      <c r="D43" s="9" t="s">
        <v>100</v>
      </c>
    </row>
    <row r="44" customFormat="false" ht="15" hidden="false" customHeight="false" outlineLevel="0" collapsed="false">
      <c r="A44" s="0" t="s">
        <v>101</v>
      </c>
      <c r="B44" s="8" t="n">
        <v>0.004</v>
      </c>
      <c r="C44" s="9" t="s">
        <v>28</v>
      </c>
      <c r="D44" s="9" t="s">
        <v>102</v>
      </c>
    </row>
    <row r="45" customFormat="false" ht="15" hidden="false" customHeight="false" outlineLevel="0" collapsed="false">
      <c r="A45" s="0" t="s">
        <v>103</v>
      </c>
      <c r="B45" s="8" t="n">
        <v>0.0006</v>
      </c>
      <c r="C45" s="9" t="s">
        <v>97</v>
      </c>
      <c r="D45" s="9" t="s">
        <v>104</v>
      </c>
    </row>
    <row r="46" customFormat="false" ht="15" hidden="false" customHeight="false" outlineLevel="0" collapsed="false">
      <c r="A46" s="0" t="s">
        <v>105</v>
      </c>
      <c r="B46" s="8" t="n">
        <v>0.11</v>
      </c>
      <c r="C46" s="9" t="s">
        <v>28</v>
      </c>
      <c r="D46" s="9" t="s">
        <v>106</v>
      </c>
    </row>
    <row r="47" customFormat="false" ht="15" hidden="false" customHeight="false" outlineLevel="0" collapsed="false">
      <c r="A47" s="0" t="s">
        <v>107</v>
      </c>
      <c r="B47" s="8" t="n">
        <v>0.85</v>
      </c>
      <c r="C47" s="9" t="s">
        <v>28</v>
      </c>
      <c r="D47" s="9" t="s">
        <v>108</v>
      </c>
    </row>
    <row r="48" customFormat="false" ht="15" hidden="false" customHeight="false" outlineLevel="0" collapsed="false">
      <c r="A48" s="6" t="s">
        <v>109</v>
      </c>
      <c r="B48" s="7"/>
      <c r="C48" s="7"/>
      <c r="D48" s="7"/>
    </row>
    <row r="49" customFormat="false" ht="15" hidden="false" customHeight="false" outlineLevel="0" collapsed="false">
      <c r="A49" s="0" t="s">
        <v>110</v>
      </c>
      <c r="B49" s="0" t="n">
        <v>9.81</v>
      </c>
      <c r="C49" s="0" t="s">
        <v>111</v>
      </c>
    </row>
    <row r="50" customFormat="false" ht="15" hidden="false" customHeight="false" outlineLevel="0" collapsed="false">
      <c r="A50" s="0" t="s">
        <v>112</v>
      </c>
      <c r="B50" s="0" t="n">
        <f aca="false">1-(2.7795+2.3126/$B$15)/1000</f>
        <v>0.99698924</v>
      </c>
      <c r="C50" s="0" t="s">
        <v>28</v>
      </c>
      <c r="D50" s="0" t="s">
        <v>59</v>
      </c>
    </row>
    <row r="51" customFormat="false" ht="15" hidden="false" customHeight="false" outlineLevel="0" collapsed="false">
      <c r="A51" s="0" t="s">
        <v>113</v>
      </c>
      <c r="B51" s="0" t="n">
        <f aca="false">$B$12*$B$13</f>
        <v>489.94</v>
      </c>
      <c r="C51" s="0" t="s">
        <v>42</v>
      </c>
    </row>
    <row r="52" customFormat="false" ht="15" hidden="false" customHeight="false" outlineLevel="0" collapsed="false">
      <c r="A52" s="0" t="s">
        <v>114</v>
      </c>
      <c r="B52" s="0" t="n">
        <f aca="false">$B$5*$B$6+$B$7*$B$8+$B$9*$B$10</f>
        <v>32625</v>
      </c>
      <c r="C52" s="0" t="s">
        <v>31</v>
      </c>
    </row>
    <row r="53" customFormat="false" ht="15" hidden="false" customHeight="false" outlineLevel="0" collapsed="false">
      <c r="A53" s="0" t="s">
        <v>115</v>
      </c>
      <c r="B53" s="0" t="n">
        <f aca="false">Sweep!$P$5*1000/$B$34</f>
        <v>330.28340808652</v>
      </c>
      <c r="C53" s="0" t="s">
        <v>116</v>
      </c>
      <c r="D53" s="0" t="s">
        <v>117</v>
      </c>
    </row>
    <row r="54" customFormat="false" ht="15" hidden="false" customHeight="false" outlineLevel="0" collapsed="false">
      <c r="A54" s="0" t="s">
        <v>118</v>
      </c>
      <c r="B54" s="0" t="n">
        <f aca="false">$B$30/($B$37/($B$35+$B$37^2/(PI()*$B$32^2/$B$53*$B$36)))</f>
        <v>0.950796906538678</v>
      </c>
      <c r="C54" s="0" t="s">
        <v>28</v>
      </c>
      <c r="D54" s="0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8" min="15" style="0" width="9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0"/>
    <col collapsed="false" customWidth="true" hidden="false" outlineLevel="0" max="24" min="23" style="0" width="11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9"/>
    <col collapsed="false" customWidth="true" hidden="true" outlineLevel="1" max="378" min="29" style="0" width="9"/>
  </cols>
  <sheetData>
    <row r="1" customFormat="false" ht="16.15" hidden="false" customHeight="false" outlineLevel="0" collapsed="false">
      <c r="A1" s="4" t="s">
        <v>120</v>
      </c>
    </row>
    <row r="2" customFormat="false" ht="15" hidden="false" customHeight="false" outlineLevel="0" collapsed="false">
      <c r="A2" s="0" t="s">
        <v>121</v>
      </c>
    </row>
    <row r="4" customFormat="false" ht="57.75" hidden="false" customHeight="true" outlineLevel="0" collapsed="false">
      <c r="A4" s="10" t="s">
        <v>122</v>
      </c>
      <c r="B4" s="10" t="s">
        <v>123</v>
      </c>
      <c r="C4" s="10" t="s">
        <v>124</v>
      </c>
      <c r="D4" s="10" t="s">
        <v>125</v>
      </c>
      <c r="E4" s="10" t="s">
        <v>126</v>
      </c>
      <c r="F4" s="10" t="s">
        <v>127</v>
      </c>
      <c r="G4" s="10" t="s">
        <v>128</v>
      </c>
      <c r="H4" s="10" t="s">
        <v>129</v>
      </c>
      <c r="I4" s="10" t="s">
        <v>130</v>
      </c>
      <c r="J4" s="10" t="s">
        <v>131</v>
      </c>
      <c r="K4" s="10" t="s">
        <v>132</v>
      </c>
      <c r="L4" s="10" t="s">
        <v>133</v>
      </c>
      <c r="M4" s="10" t="s">
        <v>134</v>
      </c>
      <c r="N4" s="10" t="s">
        <v>135</v>
      </c>
      <c r="O4" s="10" t="s">
        <v>136</v>
      </c>
      <c r="P4" s="10" t="s">
        <v>137</v>
      </c>
      <c r="Q4" s="10" t="s">
        <v>138</v>
      </c>
      <c r="R4" s="10" t="s">
        <v>139</v>
      </c>
      <c r="S4" s="10" t="s">
        <v>140</v>
      </c>
      <c r="T4" s="10" t="s">
        <v>141</v>
      </c>
      <c r="U4" s="10" t="s">
        <v>142</v>
      </c>
      <c r="V4" s="10" t="s">
        <v>143</v>
      </c>
      <c r="W4" s="10" t="s">
        <v>144</v>
      </c>
      <c r="X4" s="10" t="s">
        <v>145</v>
      </c>
      <c r="Y4" s="10" t="s">
        <v>146</v>
      </c>
      <c r="Z4" s="10" t="s">
        <v>147</v>
      </c>
      <c r="AA4" s="10" t="s">
        <v>148</v>
      </c>
      <c r="AC4" s="11" t="s">
        <v>149</v>
      </c>
      <c r="AD4" s="11" t="s">
        <v>150</v>
      </c>
      <c r="AE4" s="11" t="s">
        <v>151</v>
      </c>
      <c r="AF4" s="11" t="s">
        <v>152</v>
      </c>
      <c r="AG4" s="11" t="s">
        <v>153</v>
      </c>
      <c r="AH4" s="11" t="s">
        <v>154</v>
      </c>
      <c r="AI4" s="11" t="s">
        <v>155</v>
      </c>
      <c r="AJ4" s="11" t="s">
        <v>156</v>
      </c>
      <c r="AK4" s="11" t="s">
        <v>157</v>
      </c>
      <c r="AL4" s="11" t="s">
        <v>158</v>
      </c>
      <c r="AM4" s="11" t="s">
        <v>159</v>
      </c>
      <c r="AN4" s="11" t="s">
        <v>160</v>
      </c>
      <c r="AO4" s="11" t="s">
        <v>161</v>
      </c>
      <c r="AP4" s="11" t="s">
        <v>162</v>
      </c>
      <c r="AQ4" s="11" t="s">
        <v>163</v>
      </c>
      <c r="AR4" s="11" t="s">
        <v>164</v>
      </c>
      <c r="AS4" s="11" t="s">
        <v>165</v>
      </c>
      <c r="AT4" s="11" t="s">
        <v>166</v>
      </c>
      <c r="AU4" s="11" t="s">
        <v>167</v>
      </c>
      <c r="AV4" s="11" t="s">
        <v>168</v>
      </c>
      <c r="AW4" s="11" t="s">
        <v>169</v>
      </c>
      <c r="AX4" s="11" t="s">
        <v>170</v>
      </c>
      <c r="AY4" s="11" t="s">
        <v>171</v>
      </c>
      <c r="AZ4" s="11" t="s">
        <v>172</v>
      </c>
      <c r="BA4" s="11" t="s">
        <v>173</v>
      </c>
      <c r="BB4" s="11" t="s">
        <v>174</v>
      </c>
      <c r="BC4" s="11" t="s">
        <v>175</v>
      </c>
      <c r="BD4" s="11" t="s">
        <v>176</v>
      </c>
      <c r="BE4" s="11" t="s">
        <v>177</v>
      </c>
      <c r="BF4" s="11" t="s">
        <v>178</v>
      </c>
      <c r="BG4" s="11" t="s">
        <v>179</v>
      </c>
      <c r="BH4" s="11" t="s">
        <v>180</v>
      </c>
      <c r="BI4" s="11" t="s">
        <v>181</v>
      </c>
      <c r="BJ4" s="11" t="s">
        <v>182</v>
      </c>
      <c r="BK4" s="11" t="s">
        <v>183</v>
      </c>
      <c r="BL4" s="11" t="s">
        <v>184</v>
      </c>
      <c r="BM4" s="11" t="s">
        <v>185</v>
      </c>
      <c r="BN4" s="11" t="s">
        <v>186</v>
      </c>
      <c r="BO4" s="11" t="s">
        <v>187</v>
      </c>
      <c r="BP4" s="11" t="s">
        <v>188</v>
      </c>
      <c r="BQ4" s="11" t="s">
        <v>189</v>
      </c>
      <c r="BR4" s="11" t="s">
        <v>190</v>
      </c>
      <c r="BS4" s="11" t="s">
        <v>191</v>
      </c>
      <c r="BT4" s="11" t="s">
        <v>192</v>
      </c>
      <c r="BU4" s="11" t="s">
        <v>193</v>
      </c>
      <c r="BV4" s="11" t="s">
        <v>194</v>
      </c>
      <c r="BW4" s="11" t="s">
        <v>195</v>
      </c>
      <c r="BX4" s="11" t="s">
        <v>196</v>
      </c>
      <c r="BY4" s="11" t="s">
        <v>197</v>
      </c>
      <c r="BZ4" s="11" t="s">
        <v>198</v>
      </c>
      <c r="CA4" s="11" t="s">
        <v>199</v>
      </c>
      <c r="CB4" s="11" t="s">
        <v>200</v>
      </c>
      <c r="CC4" s="11" t="s">
        <v>201</v>
      </c>
      <c r="CD4" s="11" t="s">
        <v>202</v>
      </c>
      <c r="CE4" s="11" t="s">
        <v>203</v>
      </c>
      <c r="CF4" s="11" t="s">
        <v>204</v>
      </c>
      <c r="CG4" s="11" t="s">
        <v>205</v>
      </c>
      <c r="CH4" s="11" t="s">
        <v>206</v>
      </c>
      <c r="CI4" s="11" t="s">
        <v>207</v>
      </c>
      <c r="CJ4" s="11" t="s">
        <v>208</v>
      </c>
      <c r="CK4" s="11" t="s">
        <v>209</v>
      </c>
      <c r="CL4" s="11" t="s">
        <v>210</v>
      </c>
      <c r="CM4" s="11" t="s">
        <v>211</v>
      </c>
      <c r="CN4" s="11" t="s">
        <v>212</v>
      </c>
      <c r="CO4" s="11" t="s">
        <v>213</v>
      </c>
      <c r="CP4" s="11" t="s">
        <v>214</v>
      </c>
      <c r="CQ4" s="11" t="s">
        <v>215</v>
      </c>
      <c r="CR4" s="11" t="s">
        <v>216</v>
      </c>
      <c r="CS4" s="11" t="s">
        <v>217</v>
      </c>
      <c r="CT4" s="11" t="s">
        <v>218</v>
      </c>
      <c r="CU4" s="11" t="s">
        <v>219</v>
      </c>
      <c r="CV4" s="11" t="s">
        <v>220</v>
      </c>
      <c r="CW4" s="11" t="s">
        <v>221</v>
      </c>
      <c r="CX4" s="11" t="s">
        <v>222</v>
      </c>
      <c r="CY4" s="11" t="s">
        <v>223</v>
      </c>
      <c r="CZ4" s="11" t="s">
        <v>224</v>
      </c>
      <c r="DA4" s="11" t="s">
        <v>225</v>
      </c>
      <c r="DB4" s="11" t="s">
        <v>226</v>
      </c>
      <c r="DC4" s="11" t="s">
        <v>227</v>
      </c>
      <c r="DD4" s="11" t="s">
        <v>228</v>
      </c>
      <c r="DE4" s="11" t="s">
        <v>229</v>
      </c>
      <c r="DF4" s="11" t="s">
        <v>230</v>
      </c>
      <c r="DG4" s="11" t="s">
        <v>231</v>
      </c>
      <c r="DH4" s="11" t="s">
        <v>232</v>
      </c>
      <c r="DI4" s="11" t="s">
        <v>233</v>
      </c>
      <c r="DJ4" s="11" t="s">
        <v>234</v>
      </c>
      <c r="DK4" s="11" t="s">
        <v>235</v>
      </c>
      <c r="DL4" s="11" t="s">
        <v>236</v>
      </c>
      <c r="DM4" s="11" t="s">
        <v>237</v>
      </c>
      <c r="DN4" s="11" t="s">
        <v>238</v>
      </c>
      <c r="DO4" s="11" t="s">
        <v>239</v>
      </c>
      <c r="DP4" s="11" t="s">
        <v>240</v>
      </c>
      <c r="DQ4" s="11" t="s">
        <v>241</v>
      </c>
      <c r="DR4" s="11" t="s">
        <v>242</v>
      </c>
      <c r="DS4" s="11" t="s">
        <v>243</v>
      </c>
      <c r="DT4" s="11" t="s">
        <v>244</v>
      </c>
      <c r="DU4" s="11" t="s">
        <v>245</v>
      </c>
      <c r="DV4" s="11" t="s">
        <v>246</v>
      </c>
      <c r="DW4" s="11" t="s">
        <v>247</v>
      </c>
      <c r="DX4" s="11" t="s">
        <v>248</v>
      </c>
      <c r="DY4" s="11" t="s">
        <v>249</v>
      </c>
      <c r="DZ4" s="11" t="s">
        <v>250</v>
      </c>
      <c r="EA4" s="11" t="s">
        <v>251</v>
      </c>
      <c r="EB4" s="11" t="s">
        <v>252</v>
      </c>
      <c r="EC4" s="11" t="s">
        <v>253</v>
      </c>
      <c r="ED4" s="11" t="s">
        <v>254</v>
      </c>
      <c r="EE4" s="11" t="s">
        <v>255</v>
      </c>
      <c r="EF4" s="11" t="s">
        <v>256</v>
      </c>
      <c r="EG4" s="11" t="s">
        <v>257</v>
      </c>
      <c r="EH4" s="11" t="s">
        <v>258</v>
      </c>
      <c r="EI4" s="11" t="s">
        <v>259</v>
      </c>
      <c r="EJ4" s="11" t="s">
        <v>260</v>
      </c>
      <c r="EK4" s="11" t="s">
        <v>261</v>
      </c>
      <c r="EL4" s="11" t="s">
        <v>262</v>
      </c>
      <c r="EM4" s="11" t="s">
        <v>263</v>
      </c>
      <c r="EN4" s="11" t="s">
        <v>264</v>
      </c>
      <c r="EO4" s="11" t="s">
        <v>265</v>
      </c>
      <c r="EP4" s="11" t="s">
        <v>266</v>
      </c>
      <c r="EQ4" s="11" t="s">
        <v>267</v>
      </c>
      <c r="ER4" s="11" t="s">
        <v>268</v>
      </c>
      <c r="ES4" s="11" t="s">
        <v>269</v>
      </c>
      <c r="ET4" s="11" t="s">
        <v>270</v>
      </c>
      <c r="EU4" s="11" t="s">
        <v>271</v>
      </c>
      <c r="EV4" s="11" t="s">
        <v>272</v>
      </c>
      <c r="EW4" s="11" t="s">
        <v>273</v>
      </c>
      <c r="EX4" s="11" t="s">
        <v>274</v>
      </c>
      <c r="EY4" s="11" t="s">
        <v>275</v>
      </c>
      <c r="EZ4" s="11" t="s">
        <v>276</v>
      </c>
      <c r="FA4" s="11" t="s">
        <v>277</v>
      </c>
      <c r="FB4" s="11" t="s">
        <v>278</v>
      </c>
      <c r="FC4" s="11" t="s">
        <v>279</v>
      </c>
      <c r="FD4" s="11" t="s">
        <v>280</v>
      </c>
      <c r="FE4" s="11" t="s">
        <v>281</v>
      </c>
      <c r="FF4" s="11" t="s">
        <v>282</v>
      </c>
      <c r="FG4" s="11" t="s">
        <v>283</v>
      </c>
      <c r="FH4" s="11" t="s">
        <v>284</v>
      </c>
      <c r="FI4" s="11" t="s">
        <v>285</v>
      </c>
      <c r="FJ4" s="11" t="s">
        <v>286</v>
      </c>
      <c r="FK4" s="11" t="s">
        <v>287</v>
      </c>
      <c r="FL4" s="11" t="s">
        <v>288</v>
      </c>
      <c r="FM4" s="11" t="s">
        <v>289</v>
      </c>
      <c r="FN4" s="11" t="s">
        <v>290</v>
      </c>
      <c r="FO4" s="11" t="s">
        <v>291</v>
      </c>
      <c r="FP4" s="11" t="s">
        <v>292</v>
      </c>
      <c r="FQ4" s="11" t="s">
        <v>293</v>
      </c>
      <c r="FR4" s="11" t="s">
        <v>294</v>
      </c>
      <c r="FS4" s="11" t="s">
        <v>295</v>
      </c>
      <c r="FT4" s="11" t="s">
        <v>296</v>
      </c>
      <c r="FU4" s="11" t="s">
        <v>297</v>
      </c>
      <c r="FV4" s="11" t="s">
        <v>298</v>
      </c>
      <c r="FW4" s="11" t="s">
        <v>299</v>
      </c>
      <c r="FX4" s="11" t="s">
        <v>300</v>
      </c>
      <c r="FY4" s="11" t="s">
        <v>301</v>
      </c>
      <c r="FZ4" s="11" t="s">
        <v>302</v>
      </c>
      <c r="GA4" s="11" t="s">
        <v>303</v>
      </c>
      <c r="GB4" s="11" t="s">
        <v>304</v>
      </c>
      <c r="GC4" s="11" t="s">
        <v>305</v>
      </c>
      <c r="GD4" s="11" t="s">
        <v>306</v>
      </c>
      <c r="GE4" s="11" t="s">
        <v>307</v>
      </c>
      <c r="GF4" s="11" t="s">
        <v>308</v>
      </c>
      <c r="GG4" s="11" t="s">
        <v>309</v>
      </c>
      <c r="GH4" s="11" t="s">
        <v>310</v>
      </c>
      <c r="GI4" s="11" t="s">
        <v>311</v>
      </c>
      <c r="GJ4" s="11" t="s">
        <v>312</v>
      </c>
      <c r="GK4" s="11" t="s">
        <v>313</v>
      </c>
      <c r="GL4" s="11" t="s">
        <v>314</v>
      </c>
      <c r="GM4" s="11" t="s">
        <v>315</v>
      </c>
      <c r="GN4" s="11" t="s">
        <v>316</v>
      </c>
      <c r="GO4" s="11" t="s">
        <v>317</v>
      </c>
      <c r="GP4" s="11" t="s">
        <v>318</v>
      </c>
      <c r="GQ4" s="11" t="s">
        <v>319</v>
      </c>
      <c r="GR4" s="11" t="s">
        <v>320</v>
      </c>
      <c r="GS4" s="11" t="s">
        <v>321</v>
      </c>
      <c r="GT4" s="11" t="s">
        <v>322</v>
      </c>
      <c r="GU4" s="11" t="s">
        <v>323</v>
      </c>
      <c r="GV4" s="11" t="s">
        <v>324</v>
      </c>
      <c r="GW4" s="11" t="s">
        <v>325</v>
      </c>
      <c r="GX4" s="11" t="s">
        <v>326</v>
      </c>
      <c r="GY4" s="11" t="s">
        <v>327</v>
      </c>
      <c r="GZ4" s="11" t="s">
        <v>328</v>
      </c>
      <c r="HA4" s="11" t="s">
        <v>329</v>
      </c>
      <c r="HB4" s="11" t="s">
        <v>330</v>
      </c>
      <c r="HC4" s="11" t="s">
        <v>331</v>
      </c>
      <c r="HD4" s="11" t="s">
        <v>332</v>
      </c>
      <c r="HE4" s="11" t="s">
        <v>333</v>
      </c>
      <c r="HF4" s="11" t="s">
        <v>334</v>
      </c>
      <c r="HG4" s="11" t="s">
        <v>335</v>
      </c>
      <c r="HH4" s="11" t="s">
        <v>336</v>
      </c>
      <c r="HI4" s="11" t="s">
        <v>337</v>
      </c>
      <c r="HJ4" s="11" t="s">
        <v>338</v>
      </c>
      <c r="HK4" s="11" t="s">
        <v>339</v>
      </c>
      <c r="HL4" s="11" t="s">
        <v>340</v>
      </c>
      <c r="HM4" s="11" t="s">
        <v>341</v>
      </c>
      <c r="HN4" s="11" t="s">
        <v>342</v>
      </c>
      <c r="HO4" s="11" t="s">
        <v>343</v>
      </c>
      <c r="HP4" s="11" t="s">
        <v>344</v>
      </c>
      <c r="HQ4" s="11" t="s">
        <v>345</v>
      </c>
      <c r="HR4" s="11" t="s">
        <v>346</v>
      </c>
      <c r="HS4" s="11" t="s">
        <v>347</v>
      </c>
      <c r="HT4" s="11" t="s">
        <v>348</v>
      </c>
      <c r="HU4" s="11" t="s">
        <v>349</v>
      </c>
      <c r="HV4" s="11" t="s">
        <v>350</v>
      </c>
      <c r="HW4" s="11" t="s">
        <v>351</v>
      </c>
      <c r="HX4" s="11" t="s">
        <v>352</v>
      </c>
      <c r="HY4" s="11" t="s">
        <v>353</v>
      </c>
      <c r="HZ4" s="11" t="s">
        <v>354</v>
      </c>
      <c r="IA4" s="11" t="s">
        <v>355</v>
      </c>
      <c r="IB4" s="11" t="s">
        <v>356</v>
      </c>
      <c r="IC4" s="11" t="s">
        <v>357</v>
      </c>
      <c r="ID4" s="11" t="s">
        <v>358</v>
      </c>
      <c r="IE4" s="11" t="s">
        <v>359</v>
      </c>
      <c r="IF4" s="11" t="s">
        <v>360</v>
      </c>
      <c r="IG4" s="11" t="s">
        <v>361</v>
      </c>
      <c r="IH4" s="11" t="s">
        <v>362</v>
      </c>
      <c r="II4" s="11" t="s">
        <v>363</v>
      </c>
      <c r="IJ4" s="11" t="s">
        <v>364</v>
      </c>
      <c r="IK4" s="11" t="s">
        <v>365</v>
      </c>
      <c r="IL4" s="11" t="s">
        <v>366</v>
      </c>
      <c r="IM4" s="11" t="s">
        <v>367</v>
      </c>
      <c r="IN4" s="11" t="s">
        <v>368</v>
      </c>
      <c r="IO4" s="11" t="s">
        <v>369</v>
      </c>
      <c r="IP4" s="11" t="s">
        <v>370</v>
      </c>
      <c r="IQ4" s="11" t="s">
        <v>371</v>
      </c>
      <c r="IR4" s="11" t="s">
        <v>372</v>
      </c>
      <c r="IS4" s="11" t="s">
        <v>373</v>
      </c>
      <c r="IT4" s="11" t="s">
        <v>374</v>
      </c>
      <c r="IU4" s="11" t="s">
        <v>375</v>
      </c>
      <c r="IV4" s="11" t="s">
        <v>376</v>
      </c>
      <c r="IW4" s="11" t="s">
        <v>377</v>
      </c>
      <c r="IX4" s="11" t="s">
        <v>378</v>
      </c>
      <c r="IY4" s="11" t="s">
        <v>379</v>
      </c>
      <c r="IZ4" s="11" t="s">
        <v>380</v>
      </c>
      <c r="JA4" s="11" t="s">
        <v>381</v>
      </c>
      <c r="JB4" s="11" t="s">
        <v>382</v>
      </c>
      <c r="JC4" s="11" t="s">
        <v>383</v>
      </c>
      <c r="JD4" s="11" t="s">
        <v>384</v>
      </c>
      <c r="JE4" s="11" t="s">
        <v>385</v>
      </c>
      <c r="JF4" s="11" t="s">
        <v>386</v>
      </c>
      <c r="JG4" s="11" t="s">
        <v>387</v>
      </c>
      <c r="JH4" s="11" t="s">
        <v>388</v>
      </c>
      <c r="JI4" s="11" t="s">
        <v>389</v>
      </c>
      <c r="JJ4" s="11" t="s">
        <v>390</v>
      </c>
      <c r="JK4" s="11" t="s">
        <v>391</v>
      </c>
      <c r="JL4" s="11" t="s">
        <v>392</v>
      </c>
      <c r="JM4" s="11" t="s">
        <v>393</v>
      </c>
      <c r="JN4" s="11" t="s">
        <v>394</v>
      </c>
      <c r="JO4" s="11" t="s">
        <v>395</v>
      </c>
      <c r="JP4" s="11" t="s">
        <v>396</v>
      </c>
      <c r="JQ4" s="11" t="s">
        <v>397</v>
      </c>
      <c r="JR4" s="11" t="s">
        <v>398</v>
      </c>
      <c r="JS4" s="11" t="s">
        <v>399</v>
      </c>
      <c r="JT4" s="11" t="s">
        <v>400</v>
      </c>
      <c r="JU4" s="11" t="s">
        <v>401</v>
      </c>
      <c r="JV4" s="11" t="s">
        <v>402</v>
      </c>
      <c r="JW4" s="11" t="s">
        <v>403</v>
      </c>
      <c r="JX4" s="11" t="s">
        <v>404</v>
      </c>
      <c r="JY4" s="11" t="s">
        <v>405</v>
      </c>
      <c r="JZ4" s="11" t="s">
        <v>406</v>
      </c>
      <c r="KA4" s="11" t="s">
        <v>407</v>
      </c>
      <c r="KB4" s="11" t="s">
        <v>408</v>
      </c>
      <c r="KC4" s="11" t="s">
        <v>409</v>
      </c>
      <c r="KD4" s="11" t="s">
        <v>410</v>
      </c>
      <c r="KE4" s="11" t="s">
        <v>411</v>
      </c>
      <c r="KF4" s="11" t="s">
        <v>412</v>
      </c>
      <c r="KG4" s="11" t="s">
        <v>413</v>
      </c>
      <c r="KH4" s="11" t="s">
        <v>414</v>
      </c>
      <c r="KI4" s="11" t="s">
        <v>415</v>
      </c>
      <c r="KJ4" s="11" t="s">
        <v>416</v>
      </c>
      <c r="KK4" s="11" t="s">
        <v>417</v>
      </c>
      <c r="KL4" s="11" t="s">
        <v>418</v>
      </c>
      <c r="KM4" s="11" t="s">
        <v>419</v>
      </c>
      <c r="KN4" s="11" t="s">
        <v>420</v>
      </c>
      <c r="KO4" s="11" t="s">
        <v>421</v>
      </c>
      <c r="KP4" s="11" t="s">
        <v>422</v>
      </c>
      <c r="KQ4" s="11" t="s">
        <v>423</v>
      </c>
      <c r="KR4" s="11" t="s">
        <v>424</v>
      </c>
      <c r="KS4" s="11" t="s">
        <v>425</v>
      </c>
      <c r="KT4" s="11" t="s">
        <v>426</v>
      </c>
      <c r="KU4" s="11" t="s">
        <v>427</v>
      </c>
      <c r="KV4" s="11" t="s">
        <v>428</v>
      </c>
      <c r="KW4" s="11" t="s">
        <v>429</v>
      </c>
      <c r="KX4" s="11" t="s">
        <v>430</v>
      </c>
      <c r="KY4" s="11" t="s">
        <v>431</v>
      </c>
      <c r="KZ4" s="11" t="s">
        <v>432</v>
      </c>
      <c r="LA4" s="11" t="s">
        <v>433</v>
      </c>
      <c r="LB4" s="11" t="s">
        <v>434</v>
      </c>
      <c r="LC4" s="11" t="s">
        <v>435</v>
      </c>
      <c r="LD4" s="11" t="s">
        <v>436</v>
      </c>
      <c r="LE4" s="11" t="s">
        <v>437</v>
      </c>
      <c r="LF4" s="11" t="s">
        <v>438</v>
      </c>
      <c r="LG4" s="11" t="s">
        <v>439</v>
      </c>
      <c r="LH4" s="11" t="s">
        <v>440</v>
      </c>
      <c r="LI4" s="11" t="s">
        <v>441</v>
      </c>
      <c r="LJ4" s="11" t="s">
        <v>442</v>
      </c>
      <c r="LK4" s="11" t="s">
        <v>443</v>
      </c>
      <c r="LL4" s="11" t="s">
        <v>444</v>
      </c>
      <c r="LM4" s="11" t="s">
        <v>445</v>
      </c>
      <c r="LN4" s="11" t="s">
        <v>446</v>
      </c>
      <c r="LO4" s="11" t="s">
        <v>447</v>
      </c>
      <c r="LP4" s="11" t="s">
        <v>448</v>
      </c>
      <c r="LQ4" s="11" t="s">
        <v>449</v>
      </c>
      <c r="LR4" s="11" t="s">
        <v>450</v>
      </c>
      <c r="LS4" s="11" t="s">
        <v>451</v>
      </c>
      <c r="LT4" s="11" t="s">
        <v>452</v>
      </c>
      <c r="LU4" s="11" t="s">
        <v>453</v>
      </c>
      <c r="LV4" s="11" t="s">
        <v>454</v>
      </c>
      <c r="LW4" s="11" t="s">
        <v>455</v>
      </c>
      <c r="LX4" s="11" t="s">
        <v>456</v>
      </c>
      <c r="LY4" s="11" t="s">
        <v>457</v>
      </c>
      <c r="LZ4" s="11" t="s">
        <v>458</v>
      </c>
      <c r="MA4" s="11" t="s">
        <v>459</v>
      </c>
      <c r="MB4" s="11" t="s">
        <v>460</v>
      </c>
      <c r="MC4" s="11" t="s">
        <v>461</v>
      </c>
      <c r="MD4" s="11" t="s">
        <v>462</v>
      </c>
      <c r="ME4" s="11" t="s">
        <v>463</v>
      </c>
      <c r="MF4" s="11" t="s">
        <v>464</v>
      </c>
      <c r="MG4" s="11" t="s">
        <v>465</v>
      </c>
      <c r="MH4" s="11" t="s">
        <v>466</v>
      </c>
      <c r="MI4" s="11" t="s">
        <v>467</v>
      </c>
      <c r="MJ4" s="11" t="s">
        <v>468</v>
      </c>
      <c r="MK4" s="11" t="s">
        <v>469</v>
      </c>
      <c r="ML4" s="11" t="s">
        <v>470</v>
      </c>
      <c r="MM4" s="11" t="s">
        <v>471</v>
      </c>
      <c r="MN4" s="11" t="s">
        <v>472</v>
      </c>
      <c r="MO4" s="11" t="s">
        <v>473</v>
      </c>
      <c r="MP4" s="11" t="s">
        <v>474</v>
      </c>
      <c r="MQ4" s="11" t="s">
        <v>475</v>
      </c>
      <c r="MR4" s="11" t="s">
        <v>476</v>
      </c>
      <c r="MS4" s="11" t="s">
        <v>477</v>
      </c>
      <c r="MT4" s="11" t="s">
        <v>478</v>
      </c>
      <c r="MU4" s="11" t="s">
        <v>479</v>
      </c>
      <c r="MV4" s="11" t="s">
        <v>480</v>
      </c>
      <c r="MW4" s="11" t="s">
        <v>481</v>
      </c>
      <c r="MX4" s="11" t="s">
        <v>482</v>
      </c>
      <c r="MY4" s="11" t="s">
        <v>483</v>
      </c>
      <c r="MZ4" s="11" t="s">
        <v>484</v>
      </c>
      <c r="NA4" s="11" t="s">
        <v>485</v>
      </c>
      <c r="NB4" s="11" t="s">
        <v>486</v>
      </c>
      <c r="NC4" s="11" t="s">
        <v>487</v>
      </c>
      <c r="ND4" s="11" t="s">
        <v>488</v>
      </c>
      <c r="NE4" s="11" t="s">
        <v>489</v>
      </c>
      <c r="NF4" s="11" t="s">
        <v>490</v>
      </c>
      <c r="NG4" s="11" t="s">
        <v>491</v>
      </c>
      <c r="NH4" s="11" t="s">
        <v>492</v>
      </c>
      <c r="NI4" s="11" t="s">
        <v>493</v>
      </c>
      <c r="NJ4" s="11" t="s">
        <v>494</v>
      </c>
      <c r="NK4" s="11" t="s">
        <v>495</v>
      </c>
      <c r="NL4" s="11" t="s">
        <v>496</v>
      </c>
      <c r="NM4" s="11" t="s">
        <v>497</v>
      </c>
      <c r="NN4" s="11" t="s">
        <v>498</v>
      </c>
    </row>
    <row r="5" customFormat="false" ht="15" hidden="false" customHeight="false" outlineLevel="0" collapsed="false">
      <c r="A5" s="0" t="s">
        <v>499</v>
      </c>
      <c r="B5" s="0" t="n">
        <v>64</v>
      </c>
      <c r="C5" s="12" t="n">
        <v>0</v>
      </c>
      <c r="D5" s="13" t="n">
        <f aca="false">B5*C5</f>
        <v>0</v>
      </c>
      <c r="E5" s="14" t="n">
        <f aca="false">IF(C5=0,1,(1+0.45*C5)/(1.04+2.81*C5))</f>
        <v>1</v>
      </c>
      <c r="F5" s="14" t="n">
        <f aca="false">1+Inputs!$B$42*D5</f>
        <v>1</v>
      </c>
      <c r="G5" s="15" t="n">
        <f aca="false">Inputs!$B$31</f>
        <v>0.52</v>
      </c>
      <c r="H5" s="12" t="n">
        <f aca="false">Inputs!$B$37</f>
        <v>0.5</v>
      </c>
      <c r="I5" s="13" t="n">
        <f aca="false">Inputs!$B$39</f>
        <v>2.6</v>
      </c>
      <c r="J5" s="16" t="n">
        <f aca="false">NN5/Inputs!$B$34</f>
        <v>330.28340808652</v>
      </c>
      <c r="K5" s="13" t="n">
        <f aca="false">B5^2/J5</f>
        <v>12.4014706755328</v>
      </c>
      <c r="L5" s="13" t="n">
        <f aca="false">K5</f>
        <v>12.4014706755328</v>
      </c>
      <c r="M5" s="12" t="n">
        <f aca="false">NC5</f>
        <v>19</v>
      </c>
      <c r="N5" s="13"/>
      <c r="O5" s="14" t="n">
        <f aca="false">NM5</f>
        <v>0.315368660160621</v>
      </c>
      <c r="P5" s="13" t="n">
        <f aca="false">NN5/1000</f>
        <v>198.170044851912</v>
      </c>
      <c r="Q5" s="13" t="n">
        <f aca="false">G5*NN5/1000</f>
        <v>103.048423322994</v>
      </c>
      <c r="R5" s="13" t="n">
        <f aca="false">NM5*NN5/1000</f>
        <v>62.4966215289177</v>
      </c>
      <c r="S5" s="13" t="n">
        <f aca="false">NM5*NN5/Inputs!$B$28/1000</f>
        <v>83.3288287052236</v>
      </c>
      <c r="T5" s="17" t="n">
        <f aca="false">R5/Sweep!$R$5-1</f>
        <v>0</v>
      </c>
      <c r="U5" s="17" t="n">
        <f aca="false">R5/SUMIFS(Sweep!$R:$R,Sweep!$A:$A,"Conventional",Sweep!$B:$B,B5)-1</f>
        <v>-3.30513394430909E-013</v>
      </c>
      <c r="V5" s="16" t="n">
        <f aca="false">1*0.54*(J5/1)^1.5/SQRT(L5)*Inputs!$B$46*Inputs!$B$47</f>
        <v>86.0595183811621</v>
      </c>
      <c r="W5" s="18" t="n">
        <f aca="false">MIN(1,V5/S5)</f>
        <v>1</v>
      </c>
      <c r="X5" s="16" t="n">
        <f aca="false">1.23*SQRT(2*Inputs!$B$41*NN5*Inputs!$B$49/(1.225*J5*I5))/0.5144</f>
        <v>128.387239561919</v>
      </c>
      <c r="Y5" s="19" t="n">
        <f aca="false">(11000+6341.6*LN(0.36392/(2*Inputs!$B$50*Inputs!$B$18*(1+ND5)/2*Inputs!$B$34*Inputs!$B$49/((Inputs!$B$12*295.07)^2*H5))))/0.3048</f>
        <v>38661.9819801921</v>
      </c>
      <c r="Z5" s="16" t="n">
        <f aca="false">NN5-MZ5</f>
        <v>0</v>
      </c>
      <c r="AA5" s="20" t="str">
        <f aca="false">IF(ABS(NN5-MZ5)&lt;10,"Yes","No")</f>
        <v>Yes</v>
      </c>
      <c r="AC5" s="15" t="n">
        <f aca="false">Inputs!$B$52/(1-0.3154-G5)/Inputs!$B$34</f>
        <v>330.346294046173</v>
      </c>
      <c r="AD5" s="15" t="n">
        <f aca="false">B5^2/AC5</f>
        <v>12.3991098850575</v>
      </c>
      <c r="AE5" s="15" t="n">
        <f aca="false">Inputs!$B$30</f>
        <v>19</v>
      </c>
      <c r="AF5" s="15" t="n">
        <f aca="false">EXP(-Inputs!$B$11*Inputs!$B$14*Inputs!$B$17/(Inputs!$B$51*AE5*Inputs!$B$16))</f>
        <v>0.749903672132608</v>
      </c>
      <c r="AG5" s="15" t="n">
        <f aca="false">Inputs!$B$50*Inputs!$B$18*AF5*Inputs!$B$19</f>
        <v>0.732749047751556</v>
      </c>
      <c r="AH5" s="15" t="n">
        <f aca="false">1-AG5</f>
        <v>0.267250952248444</v>
      </c>
      <c r="AI5" s="15" t="n">
        <f aca="false">Inputs!$B$20*AH5</f>
        <v>0.00801752856745333</v>
      </c>
      <c r="AJ5" s="15" t="n">
        <f aca="false">0.8*(1-Inputs!$B$50)*(AG5-AI5)</f>
        <v>0.00174559413495898</v>
      </c>
      <c r="AK5" s="15" t="n">
        <f aca="false">AG5-AI5-AJ5</f>
        <v>0.722985925049143</v>
      </c>
      <c r="AL5" s="15" t="n">
        <f aca="false">AK5*(1-Inputs!$B$18*EXP(-Inputs!$B$21*Inputs!$B$14*Inputs!$B$17/(Inputs!$B$22*Inputs!$B$23*Inputs!$B$24*AE5*Inputs!$B$16))*Inputs!$B$19)</f>
        <v>0.0263519047687277</v>
      </c>
      <c r="AM5" s="15" t="n">
        <f aca="false">(AK5-AL5)*(1-EXP(-Inputs!$B$25*Inputs!$B$14*Inputs!$B$17*Inputs!$B$26/(AE5*Inputs!$B$16/0.866)))</f>
        <v>0.00761430571619009</v>
      </c>
      <c r="AN5" s="15" t="n">
        <f aca="false">(AK5-AL5-AM5)*(1-Inputs!$B$19)</f>
        <v>0.00344509857282113</v>
      </c>
      <c r="AO5" s="15" t="n">
        <f aca="false">(AH5+AI5+AJ5+AL5+AM5+AN5)*(1+Inputs!$B$27)</f>
        <v>0.315368660160621</v>
      </c>
      <c r="AP5" s="15" t="n">
        <f aca="false">Inputs!$B$52/(1-AO5-G5)</f>
        <v>198170.044851912</v>
      </c>
      <c r="AQ5" s="15" t="n">
        <f aca="false">AP5/Inputs!$B$34</f>
        <v>330.28340808652</v>
      </c>
      <c r="AR5" s="15" t="n">
        <f aca="false">B5^2/AQ5</f>
        <v>12.4014706755328</v>
      </c>
      <c r="AS5" s="15" t="n">
        <f aca="false">Inputs!$B$30</f>
        <v>19</v>
      </c>
      <c r="AT5" s="15" t="n">
        <f aca="false">EXP(-Inputs!$B$11*Inputs!$B$14*Inputs!$B$17/(Inputs!$B$51*AS5*Inputs!$B$16))</f>
        <v>0.749903672132608</v>
      </c>
      <c r="AU5" s="15" t="n">
        <f aca="false">Inputs!$B$50*Inputs!$B$18*AT5*Inputs!$B$19</f>
        <v>0.732749047751556</v>
      </c>
      <c r="AV5" s="15" t="n">
        <f aca="false">1-AU5</f>
        <v>0.267250952248444</v>
      </c>
      <c r="AW5" s="15" t="n">
        <f aca="false">Inputs!$B$20*AV5</f>
        <v>0.00801752856745333</v>
      </c>
      <c r="AX5" s="15" t="n">
        <f aca="false">0.8*(1-Inputs!$B$50)*(AU5-AW5)</f>
        <v>0.00174559413495898</v>
      </c>
      <c r="AY5" s="15" t="n">
        <f aca="false">AU5-AW5-AX5</f>
        <v>0.722985925049143</v>
      </c>
      <c r="AZ5" s="15" t="n">
        <f aca="false">AY5*(1-Inputs!$B$18*EXP(-Inputs!$B$21*Inputs!$B$14*Inputs!$B$17/(Inputs!$B$22*Inputs!$B$23*Inputs!$B$24*AS5*Inputs!$B$16))*Inputs!$B$19)</f>
        <v>0.0263519047687277</v>
      </c>
      <c r="BA5" s="15" t="n">
        <f aca="false">(AY5-AZ5)*(1-EXP(-Inputs!$B$25*Inputs!$B$14*Inputs!$B$17*Inputs!$B$26/(AS5*Inputs!$B$16/0.866)))</f>
        <v>0.00761430571619009</v>
      </c>
      <c r="BB5" s="15" t="n">
        <f aca="false">(AY5-AZ5-BA5)*(1-Inputs!$B$19)</f>
        <v>0.00344509857282113</v>
      </c>
      <c r="BC5" s="15" t="n">
        <f aca="false">(AV5+AW5+AX5+AZ5+BA5+BB5)*(1+Inputs!$B$27)</f>
        <v>0.315368660160621</v>
      </c>
      <c r="BD5" s="15" t="n">
        <f aca="false">Inputs!$B$52/(1-BC5-G5)</f>
        <v>198170.044851912</v>
      </c>
      <c r="BE5" s="15" t="n">
        <f aca="false">BD5/Inputs!$B$34</f>
        <v>330.28340808652</v>
      </c>
      <c r="BF5" s="15" t="n">
        <f aca="false">B5^2/BE5</f>
        <v>12.4014706755328</v>
      </c>
      <c r="BG5" s="15" t="n">
        <f aca="false">Inputs!$B$30</f>
        <v>19</v>
      </c>
      <c r="BH5" s="15" t="n">
        <f aca="false">EXP(-Inputs!$B$11*Inputs!$B$14*Inputs!$B$17/(Inputs!$B$51*BG5*Inputs!$B$16))</f>
        <v>0.749903672132608</v>
      </c>
      <c r="BI5" s="15" t="n">
        <f aca="false">Inputs!$B$50*Inputs!$B$18*BH5*Inputs!$B$19</f>
        <v>0.732749047751556</v>
      </c>
      <c r="BJ5" s="15" t="n">
        <f aca="false">1-BI5</f>
        <v>0.267250952248444</v>
      </c>
      <c r="BK5" s="15" t="n">
        <f aca="false">Inputs!$B$20*BJ5</f>
        <v>0.00801752856745333</v>
      </c>
      <c r="BL5" s="15" t="n">
        <f aca="false">0.8*(1-Inputs!$B$50)*(BI5-BK5)</f>
        <v>0.00174559413495898</v>
      </c>
      <c r="BM5" s="15" t="n">
        <f aca="false">BI5-BK5-BL5</f>
        <v>0.722985925049143</v>
      </c>
      <c r="BN5" s="15" t="n">
        <f aca="false">BM5*(1-Inputs!$B$18*EXP(-Inputs!$B$21*Inputs!$B$14*Inputs!$B$17/(Inputs!$B$22*Inputs!$B$23*Inputs!$B$24*BG5*Inputs!$B$16))*Inputs!$B$19)</f>
        <v>0.0263519047687277</v>
      </c>
      <c r="BO5" s="15" t="n">
        <f aca="false">(BM5-BN5)*(1-EXP(-Inputs!$B$25*Inputs!$B$14*Inputs!$B$17*Inputs!$B$26/(BG5*Inputs!$B$16/0.866)))</f>
        <v>0.00761430571619009</v>
      </c>
      <c r="BP5" s="15" t="n">
        <f aca="false">(BM5-BN5-BO5)*(1-Inputs!$B$19)</f>
        <v>0.00344509857282113</v>
      </c>
      <c r="BQ5" s="15" t="n">
        <f aca="false">(BJ5+BK5+BL5+BN5+BO5+BP5)*(1+Inputs!$B$27)</f>
        <v>0.315368660160621</v>
      </c>
      <c r="BR5" s="15" t="n">
        <f aca="false">Inputs!$B$52/(1-BQ5-G5)</f>
        <v>198170.044851912</v>
      </c>
      <c r="BS5" s="15" t="n">
        <f aca="false">BR5/Inputs!$B$34</f>
        <v>330.28340808652</v>
      </c>
      <c r="BT5" s="15" t="n">
        <f aca="false">B5^2/BS5</f>
        <v>12.4014706755328</v>
      </c>
      <c r="BU5" s="15" t="n">
        <f aca="false">Inputs!$B$30</f>
        <v>19</v>
      </c>
      <c r="BV5" s="15" t="n">
        <f aca="false">EXP(-Inputs!$B$11*Inputs!$B$14*Inputs!$B$17/(Inputs!$B$51*BU5*Inputs!$B$16))</f>
        <v>0.749903672132608</v>
      </c>
      <c r="BW5" s="15" t="n">
        <f aca="false">Inputs!$B$50*Inputs!$B$18*BV5*Inputs!$B$19</f>
        <v>0.732749047751556</v>
      </c>
      <c r="BX5" s="15" t="n">
        <f aca="false">1-BW5</f>
        <v>0.267250952248444</v>
      </c>
      <c r="BY5" s="15" t="n">
        <f aca="false">Inputs!$B$20*BX5</f>
        <v>0.00801752856745333</v>
      </c>
      <c r="BZ5" s="15" t="n">
        <f aca="false">0.8*(1-Inputs!$B$50)*(BW5-BY5)</f>
        <v>0.00174559413495898</v>
      </c>
      <c r="CA5" s="15" t="n">
        <f aca="false">BW5-BY5-BZ5</f>
        <v>0.722985925049143</v>
      </c>
      <c r="CB5" s="15" t="n">
        <f aca="false">CA5*(1-Inputs!$B$18*EXP(-Inputs!$B$21*Inputs!$B$14*Inputs!$B$17/(Inputs!$B$22*Inputs!$B$23*Inputs!$B$24*BU5*Inputs!$B$16))*Inputs!$B$19)</f>
        <v>0.0263519047687277</v>
      </c>
      <c r="CC5" s="15" t="n">
        <f aca="false">(CA5-CB5)*(1-EXP(-Inputs!$B$25*Inputs!$B$14*Inputs!$B$17*Inputs!$B$26/(BU5*Inputs!$B$16/0.866)))</f>
        <v>0.00761430571619009</v>
      </c>
      <c r="CD5" s="15" t="n">
        <f aca="false">(CA5-CB5-CC5)*(1-Inputs!$B$19)</f>
        <v>0.00344509857282113</v>
      </c>
      <c r="CE5" s="15" t="n">
        <f aca="false">(BX5+BY5+BZ5+CB5+CC5+CD5)*(1+Inputs!$B$27)</f>
        <v>0.315368660160621</v>
      </c>
      <c r="CF5" s="15" t="n">
        <f aca="false">Inputs!$B$52/(1-CE5-G5)</f>
        <v>198170.044851912</v>
      </c>
      <c r="CG5" s="15" t="n">
        <f aca="false">CF5/Inputs!$B$34</f>
        <v>330.28340808652</v>
      </c>
      <c r="CH5" s="15" t="n">
        <f aca="false">B5^2/CG5</f>
        <v>12.4014706755328</v>
      </c>
      <c r="CI5" s="15" t="n">
        <f aca="false">Inputs!$B$30</f>
        <v>19</v>
      </c>
      <c r="CJ5" s="15" t="n">
        <f aca="false">EXP(-Inputs!$B$11*Inputs!$B$14*Inputs!$B$17/(Inputs!$B$51*CI5*Inputs!$B$16))</f>
        <v>0.749903672132608</v>
      </c>
      <c r="CK5" s="15" t="n">
        <f aca="false">Inputs!$B$50*Inputs!$B$18*CJ5*Inputs!$B$19</f>
        <v>0.732749047751556</v>
      </c>
      <c r="CL5" s="15" t="n">
        <f aca="false">1-CK5</f>
        <v>0.267250952248444</v>
      </c>
      <c r="CM5" s="15" t="n">
        <f aca="false">Inputs!$B$20*CL5</f>
        <v>0.00801752856745333</v>
      </c>
      <c r="CN5" s="15" t="n">
        <f aca="false">0.8*(1-Inputs!$B$50)*(CK5-CM5)</f>
        <v>0.00174559413495898</v>
      </c>
      <c r="CO5" s="15" t="n">
        <f aca="false">CK5-CM5-CN5</f>
        <v>0.722985925049143</v>
      </c>
      <c r="CP5" s="15" t="n">
        <f aca="false">CO5*(1-Inputs!$B$18*EXP(-Inputs!$B$21*Inputs!$B$14*Inputs!$B$17/(Inputs!$B$22*Inputs!$B$23*Inputs!$B$24*CI5*Inputs!$B$16))*Inputs!$B$19)</f>
        <v>0.0263519047687277</v>
      </c>
      <c r="CQ5" s="15" t="n">
        <f aca="false">(CO5-CP5)*(1-EXP(-Inputs!$B$25*Inputs!$B$14*Inputs!$B$17*Inputs!$B$26/(CI5*Inputs!$B$16/0.866)))</f>
        <v>0.00761430571619009</v>
      </c>
      <c r="CR5" s="15" t="n">
        <f aca="false">(CO5-CP5-CQ5)*(1-Inputs!$B$19)</f>
        <v>0.00344509857282113</v>
      </c>
      <c r="CS5" s="15" t="n">
        <f aca="false">(CL5+CM5+CN5+CP5+CQ5+CR5)*(1+Inputs!$B$27)</f>
        <v>0.315368660160621</v>
      </c>
      <c r="CT5" s="15" t="n">
        <f aca="false">Inputs!$B$52/(1-CS5-G5)</f>
        <v>198170.044851912</v>
      </c>
      <c r="CU5" s="15" t="n">
        <f aca="false">CT5/Inputs!$B$34</f>
        <v>330.28340808652</v>
      </c>
      <c r="CV5" s="15" t="n">
        <f aca="false">B5^2/CU5</f>
        <v>12.4014706755328</v>
      </c>
      <c r="CW5" s="15" t="n">
        <f aca="false">Inputs!$B$30</f>
        <v>19</v>
      </c>
      <c r="CX5" s="15" t="n">
        <f aca="false">EXP(-Inputs!$B$11*Inputs!$B$14*Inputs!$B$17/(Inputs!$B$51*CW5*Inputs!$B$16))</f>
        <v>0.749903672132608</v>
      </c>
      <c r="CY5" s="15" t="n">
        <f aca="false">Inputs!$B$50*Inputs!$B$18*CX5*Inputs!$B$19</f>
        <v>0.732749047751556</v>
      </c>
      <c r="CZ5" s="15" t="n">
        <f aca="false">1-CY5</f>
        <v>0.267250952248444</v>
      </c>
      <c r="DA5" s="15" t="n">
        <f aca="false">Inputs!$B$20*CZ5</f>
        <v>0.00801752856745333</v>
      </c>
      <c r="DB5" s="15" t="n">
        <f aca="false">0.8*(1-Inputs!$B$50)*(CY5-DA5)</f>
        <v>0.00174559413495898</v>
      </c>
      <c r="DC5" s="15" t="n">
        <f aca="false">CY5-DA5-DB5</f>
        <v>0.722985925049143</v>
      </c>
      <c r="DD5" s="15" t="n">
        <f aca="false">DC5*(1-Inputs!$B$18*EXP(-Inputs!$B$21*Inputs!$B$14*Inputs!$B$17/(Inputs!$B$22*Inputs!$B$23*Inputs!$B$24*CW5*Inputs!$B$16))*Inputs!$B$19)</f>
        <v>0.0263519047687277</v>
      </c>
      <c r="DE5" s="15" t="n">
        <f aca="false">(DC5-DD5)*(1-EXP(-Inputs!$B$25*Inputs!$B$14*Inputs!$B$17*Inputs!$B$26/(CW5*Inputs!$B$16/0.866)))</f>
        <v>0.00761430571619009</v>
      </c>
      <c r="DF5" s="15" t="n">
        <f aca="false">(DC5-DD5-DE5)*(1-Inputs!$B$19)</f>
        <v>0.00344509857282113</v>
      </c>
      <c r="DG5" s="15" t="n">
        <f aca="false">(CZ5+DA5+DB5+DD5+DE5+DF5)*(1+Inputs!$B$27)</f>
        <v>0.315368660160621</v>
      </c>
      <c r="DH5" s="15" t="n">
        <f aca="false">Inputs!$B$52/(1-DG5-G5)</f>
        <v>198170.044851912</v>
      </c>
      <c r="DI5" s="15" t="n">
        <f aca="false">DH5/Inputs!$B$34</f>
        <v>330.28340808652</v>
      </c>
      <c r="DJ5" s="15" t="n">
        <f aca="false">B5^2/DI5</f>
        <v>12.4014706755328</v>
      </c>
      <c r="DK5" s="15" t="n">
        <f aca="false">Inputs!$B$30</f>
        <v>19</v>
      </c>
      <c r="DL5" s="15" t="n">
        <f aca="false">EXP(-Inputs!$B$11*Inputs!$B$14*Inputs!$B$17/(Inputs!$B$51*DK5*Inputs!$B$16))</f>
        <v>0.749903672132608</v>
      </c>
      <c r="DM5" s="15" t="n">
        <f aca="false">Inputs!$B$50*Inputs!$B$18*DL5*Inputs!$B$19</f>
        <v>0.732749047751556</v>
      </c>
      <c r="DN5" s="15" t="n">
        <f aca="false">1-DM5</f>
        <v>0.267250952248444</v>
      </c>
      <c r="DO5" s="15" t="n">
        <f aca="false">Inputs!$B$20*DN5</f>
        <v>0.00801752856745333</v>
      </c>
      <c r="DP5" s="15" t="n">
        <f aca="false">0.8*(1-Inputs!$B$50)*(DM5-DO5)</f>
        <v>0.00174559413495898</v>
      </c>
      <c r="DQ5" s="15" t="n">
        <f aca="false">DM5-DO5-DP5</f>
        <v>0.722985925049143</v>
      </c>
      <c r="DR5" s="15" t="n">
        <f aca="false">DQ5*(1-Inputs!$B$18*EXP(-Inputs!$B$21*Inputs!$B$14*Inputs!$B$17/(Inputs!$B$22*Inputs!$B$23*Inputs!$B$24*DK5*Inputs!$B$16))*Inputs!$B$19)</f>
        <v>0.0263519047687277</v>
      </c>
      <c r="DS5" s="15" t="n">
        <f aca="false">(DQ5-DR5)*(1-EXP(-Inputs!$B$25*Inputs!$B$14*Inputs!$B$17*Inputs!$B$26/(DK5*Inputs!$B$16/0.866)))</f>
        <v>0.00761430571619009</v>
      </c>
      <c r="DT5" s="15" t="n">
        <f aca="false">(DQ5-DR5-DS5)*(1-Inputs!$B$19)</f>
        <v>0.00344509857282113</v>
      </c>
      <c r="DU5" s="15" t="n">
        <f aca="false">(DN5+DO5+DP5+DR5+DS5+DT5)*(1+Inputs!$B$27)</f>
        <v>0.315368660160621</v>
      </c>
      <c r="DV5" s="15" t="n">
        <f aca="false">Inputs!$B$52/(1-DU5-G5)</f>
        <v>198170.044851912</v>
      </c>
      <c r="DW5" s="15" t="n">
        <f aca="false">DV5/Inputs!$B$34</f>
        <v>330.28340808652</v>
      </c>
      <c r="DX5" s="15" t="n">
        <f aca="false">B5^2/DW5</f>
        <v>12.4014706755328</v>
      </c>
      <c r="DY5" s="15" t="n">
        <f aca="false">Inputs!$B$30</f>
        <v>19</v>
      </c>
      <c r="DZ5" s="15" t="n">
        <f aca="false">EXP(-Inputs!$B$11*Inputs!$B$14*Inputs!$B$17/(Inputs!$B$51*DY5*Inputs!$B$16))</f>
        <v>0.749903672132608</v>
      </c>
      <c r="EA5" s="15" t="n">
        <f aca="false">Inputs!$B$50*Inputs!$B$18*DZ5*Inputs!$B$19</f>
        <v>0.732749047751556</v>
      </c>
      <c r="EB5" s="15" t="n">
        <f aca="false">1-EA5</f>
        <v>0.267250952248444</v>
      </c>
      <c r="EC5" s="15" t="n">
        <f aca="false">Inputs!$B$20*EB5</f>
        <v>0.00801752856745333</v>
      </c>
      <c r="ED5" s="15" t="n">
        <f aca="false">0.8*(1-Inputs!$B$50)*(EA5-EC5)</f>
        <v>0.00174559413495898</v>
      </c>
      <c r="EE5" s="15" t="n">
        <f aca="false">EA5-EC5-ED5</f>
        <v>0.722985925049143</v>
      </c>
      <c r="EF5" s="15" t="n">
        <f aca="false">EE5*(1-Inputs!$B$18*EXP(-Inputs!$B$21*Inputs!$B$14*Inputs!$B$17/(Inputs!$B$22*Inputs!$B$23*Inputs!$B$24*DY5*Inputs!$B$16))*Inputs!$B$19)</f>
        <v>0.0263519047687277</v>
      </c>
      <c r="EG5" s="15" t="n">
        <f aca="false">(EE5-EF5)*(1-EXP(-Inputs!$B$25*Inputs!$B$14*Inputs!$B$17*Inputs!$B$26/(DY5*Inputs!$B$16/0.866)))</f>
        <v>0.00761430571619009</v>
      </c>
      <c r="EH5" s="15" t="n">
        <f aca="false">(EE5-EF5-EG5)*(1-Inputs!$B$19)</f>
        <v>0.00344509857282113</v>
      </c>
      <c r="EI5" s="15" t="n">
        <f aca="false">(EB5+EC5+ED5+EF5+EG5+EH5)*(1+Inputs!$B$27)</f>
        <v>0.315368660160621</v>
      </c>
      <c r="EJ5" s="15" t="n">
        <f aca="false">Inputs!$B$52/(1-EI5-G5)</f>
        <v>198170.044851912</v>
      </c>
      <c r="EK5" s="15" t="n">
        <f aca="false">EJ5/Inputs!$B$34</f>
        <v>330.28340808652</v>
      </c>
      <c r="EL5" s="15" t="n">
        <f aca="false">B5^2/EK5</f>
        <v>12.4014706755328</v>
      </c>
      <c r="EM5" s="15" t="n">
        <f aca="false">Inputs!$B$30</f>
        <v>19</v>
      </c>
      <c r="EN5" s="15" t="n">
        <f aca="false">EXP(-Inputs!$B$11*Inputs!$B$14*Inputs!$B$17/(Inputs!$B$51*EM5*Inputs!$B$16))</f>
        <v>0.749903672132608</v>
      </c>
      <c r="EO5" s="15" t="n">
        <f aca="false">Inputs!$B$50*Inputs!$B$18*EN5*Inputs!$B$19</f>
        <v>0.732749047751556</v>
      </c>
      <c r="EP5" s="15" t="n">
        <f aca="false">1-EO5</f>
        <v>0.267250952248444</v>
      </c>
      <c r="EQ5" s="15" t="n">
        <f aca="false">Inputs!$B$20*EP5</f>
        <v>0.00801752856745333</v>
      </c>
      <c r="ER5" s="15" t="n">
        <f aca="false">0.8*(1-Inputs!$B$50)*(EO5-EQ5)</f>
        <v>0.00174559413495898</v>
      </c>
      <c r="ES5" s="15" t="n">
        <f aca="false">EO5-EQ5-ER5</f>
        <v>0.722985925049143</v>
      </c>
      <c r="ET5" s="15" t="n">
        <f aca="false">ES5*(1-Inputs!$B$18*EXP(-Inputs!$B$21*Inputs!$B$14*Inputs!$B$17/(Inputs!$B$22*Inputs!$B$23*Inputs!$B$24*EM5*Inputs!$B$16))*Inputs!$B$19)</f>
        <v>0.0263519047687277</v>
      </c>
      <c r="EU5" s="15" t="n">
        <f aca="false">(ES5-ET5)*(1-EXP(-Inputs!$B$25*Inputs!$B$14*Inputs!$B$17*Inputs!$B$26/(EM5*Inputs!$B$16/0.866)))</f>
        <v>0.00761430571619009</v>
      </c>
      <c r="EV5" s="15" t="n">
        <f aca="false">(ES5-ET5-EU5)*(1-Inputs!$B$19)</f>
        <v>0.00344509857282113</v>
      </c>
      <c r="EW5" s="15" t="n">
        <f aca="false">(EP5+EQ5+ER5+ET5+EU5+EV5)*(1+Inputs!$B$27)</f>
        <v>0.315368660160621</v>
      </c>
      <c r="EX5" s="15" t="n">
        <f aca="false">Inputs!$B$52/(1-EW5-G5)</f>
        <v>198170.044851912</v>
      </c>
      <c r="EY5" s="15" t="n">
        <f aca="false">EX5/Inputs!$B$34</f>
        <v>330.28340808652</v>
      </c>
      <c r="EZ5" s="15" t="n">
        <f aca="false">B5^2/EY5</f>
        <v>12.4014706755328</v>
      </c>
      <c r="FA5" s="15" t="n">
        <f aca="false">Inputs!$B$30</f>
        <v>19</v>
      </c>
      <c r="FB5" s="15" t="n">
        <f aca="false">EXP(-Inputs!$B$11*Inputs!$B$14*Inputs!$B$17/(Inputs!$B$51*FA5*Inputs!$B$16))</f>
        <v>0.749903672132608</v>
      </c>
      <c r="FC5" s="15" t="n">
        <f aca="false">Inputs!$B$50*Inputs!$B$18*FB5*Inputs!$B$19</f>
        <v>0.732749047751556</v>
      </c>
      <c r="FD5" s="15" t="n">
        <f aca="false">1-FC5</f>
        <v>0.267250952248444</v>
      </c>
      <c r="FE5" s="15" t="n">
        <f aca="false">Inputs!$B$20*FD5</f>
        <v>0.00801752856745333</v>
      </c>
      <c r="FF5" s="15" t="n">
        <f aca="false">0.8*(1-Inputs!$B$50)*(FC5-FE5)</f>
        <v>0.00174559413495898</v>
      </c>
      <c r="FG5" s="15" t="n">
        <f aca="false">FC5-FE5-FF5</f>
        <v>0.722985925049143</v>
      </c>
      <c r="FH5" s="15" t="n">
        <f aca="false">FG5*(1-Inputs!$B$18*EXP(-Inputs!$B$21*Inputs!$B$14*Inputs!$B$17/(Inputs!$B$22*Inputs!$B$23*Inputs!$B$24*FA5*Inputs!$B$16))*Inputs!$B$19)</f>
        <v>0.0263519047687277</v>
      </c>
      <c r="FI5" s="15" t="n">
        <f aca="false">(FG5-FH5)*(1-EXP(-Inputs!$B$25*Inputs!$B$14*Inputs!$B$17*Inputs!$B$26/(FA5*Inputs!$B$16/0.866)))</f>
        <v>0.00761430571619009</v>
      </c>
      <c r="FJ5" s="15" t="n">
        <f aca="false">(FG5-FH5-FI5)*(1-Inputs!$B$19)</f>
        <v>0.00344509857282113</v>
      </c>
      <c r="FK5" s="15" t="n">
        <f aca="false">(FD5+FE5+FF5+FH5+FI5+FJ5)*(1+Inputs!$B$27)</f>
        <v>0.315368660160621</v>
      </c>
      <c r="FL5" s="15" t="n">
        <f aca="false">Inputs!$B$52/(1-FK5-G5)</f>
        <v>198170.044851912</v>
      </c>
      <c r="FM5" s="15" t="n">
        <f aca="false">FL5/Inputs!$B$34</f>
        <v>330.28340808652</v>
      </c>
      <c r="FN5" s="15" t="n">
        <f aca="false">B5^2/FM5</f>
        <v>12.4014706755328</v>
      </c>
      <c r="FO5" s="15" t="n">
        <f aca="false">Inputs!$B$30</f>
        <v>19</v>
      </c>
      <c r="FP5" s="15" t="n">
        <f aca="false">EXP(-Inputs!$B$11*Inputs!$B$14*Inputs!$B$17/(Inputs!$B$51*FO5*Inputs!$B$16))</f>
        <v>0.749903672132608</v>
      </c>
      <c r="FQ5" s="15" t="n">
        <f aca="false">Inputs!$B$50*Inputs!$B$18*FP5*Inputs!$B$19</f>
        <v>0.732749047751556</v>
      </c>
      <c r="FR5" s="15" t="n">
        <f aca="false">1-FQ5</f>
        <v>0.267250952248444</v>
      </c>
      <c r="FS5" s="15" t="n">
        <f aca="false">Inputs!$B$20*FR5</f>
        <v>0.00801752856745333</v>
      </c>
      <c r="FT5" s="15" t="n">
        <f aca="false">0.8*(1-Inputs!$B$50)*(FQ5-FS5)</f>
        <v>0.00174559413495898</v>
      </c>
      <c r="FU5" s="15" t="n">
        <f aca="false">FQ5-FS5-FT5</f>
        <v>0.722985925049143</v>
      </c>
      <c r="FV5" s="15" t="n">
        <f aca="false">FU5*(1-Inputs!$B$18*EXP(-Inputs!$B$21*Inputs!$B$14*Inputs!$B$17/(Inputs!$B$22*Inputs!$B$23*Inputs!$B$24*FO5*Inputs!$B$16))*Inputs!$B$19)</f>
        <v>0.0263519047687277</v>
      </c>
      <c r="FW5" s="15" t="n">
        <f aca="false">(FU5-FV5)*(1-EXP(-Inputs!$B$25*Inputs!$B$14*Inputs!$B$17*Inputs!$B$26/(FO5*Inputs!$B$16/0.866)))</f>
        <v>0.00761430571619009</v>
      </c>
      <c r="FX5" s="15" t="n">
        <f aca="false">(FU5-FV5-FW5)*(1-Inputs!$B$19)</f>
        <v>0.00344509857282113</v>
      </c>
      <c r="FY5" s="15" t="n">
        <f aca="false">(FR5+FS5+FT5+FV5+FW5+FX5)*(1+Inputs!$B$27)</f>
        <v>0.315368660160621</v>
      </c>
      <c r="FZ5" s="15" t="n">
        <f aca="false">Inputs!$B$52/(1-FY5-G5)</f>
        <v>198170.044851912</v>
      </c>
      <c r="GA5" s="15" t="n">
        <f aca="false">FZ5/Inputs!$B$34</f>
        <v>330.28340808652</v>
      </c>
      <c r="GB5" s="15" t="n">
        <f aca="false">B5^2/GA5</f>
        <v>12.4014706755328</v>
      </c>
      <c r="GC5" s="15" t="n">
        <f aca="false">Inputs!$B$30</f>
        <v>19</v>
      </c>
      <c r="GD5" s="15" t="n">
        <f aca="false">EXP(-Inputs!$B$11*Inputs!$B$14*Inputs!$B$17/(Inputs!$B$51*GC5*Inputs!$B$16))</f>
        <v>0.749903672132608</v>
      </c>
      <c r="GE5" s="15" t="n">
        <f aca="false">Inputs!$B$50*Inputs!$B$18*GD5*Inputs!$B$19</f>
        <v>0.732749047751556</v>
      </c>
      <c r="GF5" s="15" t="n">
        <f aca="false">1-GE5</f>
        <v>0.267250952248444</v>
      </c>
      <c r="GG5" s="15" t="n">
        <f aca="false">Inputs!$B$20*GF5</f>
        <v>0.00801752856745333</v>
      </c>
      <c r="GH5" s="15" t="n">
        <f aca="false">0.8*(1-Inputs!$B$50)*(GE5-GG5)</f>
        <v>0.00174559413495898</v>
      </c>
      <c r="GI5" s="15" t="n">
        <f aca="false">GE5-GG5-GH5</f>
        <v>0.722985925049143</v>
      </c>
      <c r="GJ5" s="15" t="n">
        <f aca="false">GI5*(1-Inputs!$B$18*EXP(-Inputs!$B$21*Inputs!$B$14*Inputs!$B$17/(Inputs!$B$22*Inputs!$B$23*Inputs!$B$24*GC5*Inputs!$B$16))*Inputs!$B$19)</f>
        <v>0.0263519047687277</v>
      </c>
      <c r="GK5" s="15" t="n">
        <f aca="false">(GI5-GJ5)*(1-EXP(-Inputs!$B$25*Inputs!$B$14*Inputs!$B$17*Inputs!$B$26/(GC5*Inputs!$B$16/0.866)))</f>
        <v>0.00761430571619009</v>
      </c>
      <c r="GL5" s="15" t="n">
        <f aca="false">(GI5-GJ5-GK5)*(1-Inputs!$B$19)</f>
        <v>0.00344509857282113</v>
      </c>
      <c r="GM5" s="15" t="n">
        <f aca="false">(GF5+GG5+GH5+GJ5+GK5+GL5)*(1+Inputs!$B$27)</f>
        <v>0.315368660160621</v>
      </c>
      <c r="GN5" s="15" t="n">
        <f aca="false">Inputs!$B$52/(1-GM5-G5)</f>
        <v>198170.044851912</v>
      </c>
      <c r="GO5" s="15" t="n">
        <f aca="false">GN5/Inputs!$B$34</f>
        <v>330.28340808652</v>
      </c>
      <c r="GP5" s="15" t="n">
        <f aca="false">B5^2/GO5</f>
        <v>12.4014706755328</v>
      </c>
      <c r="GQ5" s="15" t="n">
        <f aca="false">Inputs!$B$30</f>
        <v>19</v>
      </c>
      <c r="GR5" s="15" t="n">
        <f aca="false">EXP(-Inputs!$B$11*Inputs!$B$14*Inputs!$B$17/(Inputs!$B$51*GQ5*Inputs!$B$16))</f>
        <v>0.749903672132608</v>
      </c>
      <c r="GS5" s="15" t="n">
        <f aca="false">Inputs!$B$50*Inputs!$B$18*GR5*Inputs!$B$19</f>
        <v>0.732749047751556</v>
      </c>
      <c r="GT5" s="15" t="n">
        <f aca="false">1-GS5</f>
        <v>0.267250952248444</v>
      </c>
      <c r="GU5" s="15" t="n">
        <f aca="false">Inputs!$B$20*GT5</f>
        <v>0.00801752856745333</v>
      </c>
      <c r="GV5" s="15" t="n">
        <f aca="false">0.8*(1-Inputs!$B$50)*(GS5-GU5)</f>
        <v>0.00174559413495898</v>
      </c>
      <c r="GW5" s="15" t="n">
        <f aca="false">GS5-GU5-GV5</f>
        <v>0.722985925049143</v>
      </c>
      <c r="GX5" s="15" t="n">
        <f aca="false">GW5*(1-Inputs!$B$18*EXP(-Inputs!$B$21*Inputs!$B$14*Inputs!$B$17/(Inputs!$B$22*Inputs!$B$23*Inputs!$B$24*GQ5*Inputs!$B$16))*Inputs!$B$19)</f>
        <v>0.0263519047687277</v>
      </c>
      <c r="GY5" s="15" t="n">
        <f aca="false">(GW5-GX5)*(1-EXP(-Inputs!$B$25*Inputs!$B$14*Inputs!$B$17*Inputs!$B$26/(GQ5*Inputs!$B$16/0.866)))</f>
        <v>0.00761430571619009</v>
      </c>
      <c r="GZ5" s="15" t="n">
        <f aca="false">(GW5-GX5-GY5)*(1-Inputs!$B$19)</f>
        <v>0.00344509857282113</v>
      </c>
      <c r="HA5" s="15" t="n">
        <f aca="false">(GT5+GU5+GV5+GX5+GY5+GZ5)*(1+Inputs!$B$27)</f>
        <v>0.315368660160621</v>
      </c>
      <c r="HB5" s="15" t="n">
        <f aca="false">Inputs!$B$52/(1-HA5-G5)</f>
        <v>198170.044851912</v>
      </c>
      <c r="HC5" s="15" t="n">
        <f aca="false">HB5/Inputs!$B$34</f>
        <v>330.28340808652</v>
      </c>
      <c r="HD5" s="15" t="n">
        <f aca="false">B5^2/HC5</f>
        <v>12.4014706755328</v>
      </c>
      <c r="HE5" s="15" t="n">
        <f aca="false">Inputs!$B$30</f>
        <v>19</v>
      </c>
      <c r="HF5" s="15" t="n">
        <f aca="false">EXP(-Inputs!$B$11*Inputs!$B$14*Inputs!$B$17/(Inputs!$B$51*HE5*Inputs!$B$16))</f>
        <v>0.749903672132608</v>
      </c>
      <c r="HG5" s="15" t="n">
        <f aca="false">Inputs!$B$50*Inputs!$B$18*HF5*Inputs!$B$19</f>
        <v>0.732749047751556</v>
      </c>
      <c r="HH5" s="15" t="n">
        <f aca="false">1-HG5</f>
        <v>0.267250952248444</v>
      </c>
      <c r="HI5" s="15" t="n">
        <f aca="false">Inputs!$B$20*HH5</f>
        <v>0.00801752856745333</v>
      </c>
      <c r="HJ5" s="15" t="n">
        <f aca="false">0.8*(1-Inputs!$B$50)*(HG5-HI5)</f>
        <v>0.00174559413495898</v>
      </c>
      <c r="HK5" s="15" t="n">
        <f aca="false">HG5-HI5-HJ5</f>
        <v>0.722985925049143</v>
      </c>
      <c r="HL5" s="15" t="n">
        <f aca="false">HK5*(1-Inputs!$B$18*EXP(-Inputs!$B$21*Inputs!$B$14*Inputs!$B$17/(Inputs!$B$22*Inputs!$B$23*Inputs!$B$24*HE5*Inputs!$B$16))*Inputs!$B$19)</f>
        <v>0.0263519047687277</v>
      </c>
      <c r="HM5" s="15" t="n">
        <f aca="false">(HK5-HL5)*(1-EXP(-Inputs!$B$25*Inputs!$B$14*Inputs!$B$17*Inputs!$B$26/(HE5*Inputs!$B$16/0.866)))</f>
        <v>0.00761430571619009</v>
      </c>
      <c r="HN5" s="15" t="n">
        <f aca="false">(HK5-HL5-HM5)*(1-Inputs!$B$19)</f>
        <v>0.00344509857282113</v>
      </c>
      <c r="HO5" s="15" t="n">
        <f aca="false">(HH5+HI5+HJ5+HL5+HM5+HN5)*(1+Inputs!$B$27)</f>
        <v>0.315368660160621</v>
      </c>
      <c r="HP5" s="15" t="n">
        <f aca="false">Inputs!$B$52/(1-HO5-G5)</f>
        <v>198170.044851912</v>
      </c>
      <c r="HQ5" s="15" t="n">
        <f aca="false">HP5/Inputs!$B$34</f>
        <v>330.28340808652</v>
      </c>
      <c r="HR5" s="15" t="n">
        <f aca="false">B5^2/HQ5</f>
        <v>12.4014706755328</v>
      </c>
      <c r="HS5" s="15" t="n">
        <f aca="false">Inputs!$B$30</f>
        <v>19</v>
      </c>
      <c r="HT5" s="15" t="n">
        <f aca="false">EXP(-Inputs!$B$11*Inputs!$B$14*Inputs!$B$17/(Inputs!$B$51*HS5*Inputs!$B$16))</f>
        <v>0.749903672132608</v>
      </c>
      <c r="HU5" s="15" t="n">
        <f aca="false">Inputs!$B$50*Inputs!$B$18*HT5*Inputs!$B$19</f>
        <v>0.732749047751556</v>
      </c>
      <c r="HV5" s="15" t="n">
        <f aca="false">1-HU5</f>
        <v>0.267250952248444</v>
      </c>
      <c r="HW5" s="15" t="n">
        <f aca="false">Inputs!$B$20*HV5</f>
        <v>0.00801752856745333</v>
      </c>
      <c r="HX5" s="15" t="n">
        <f aca="false">0.8*(1-Inputs!$B$50)*(HU5-HW5)</f>
        <v>0.00174559413495898</v>
      </c>
      <c r="HY5" s="15" t="n">
        <f aca="false">HU5-HW5-HX5</f>
        <v>0.722985925049143</v>
      </c>
      <c r="HZ5" s="15" t="n">
        <f aca="false">HY5*(1-Inputs!$B$18*EXP(-Inputs!$B$21*Inputs!$B$14*Inputs!$B$17/(Inputs!$B$22*Inputs!$B$23*Inputs!$B$24*HS5*Inputs!$B$16))*Inputs!$B$19)</f>
        <v>0.0263519047687277</v>
      </c>
      <c r="IA5" s="15" t="n">
        <f aca="false">(HY5-HZ5)*(1-EXP(-Inputs!$B$25*Inputs!$B$14*Inputs!$B$17*Inputs!$B$26/(HS5*Inputs!$B$16/0.866)))</f>
        <v>0.00761430571619009</v>
      </c>
      <c r="IB5" s="15" t="n">
        <f aca="false">(HY5-HZ5-IA5)*(1-Inputs!$B$19)</f>
        <v>0.00344509857282113</v>
      </c>
      <c r="IC5" s="15" t="n">
        <f aca="false">(HV5+HW5+HX5+HZ5+IA5+IB5)*(1+Inputs!$B$27)</f>
        <v>0.315368660160621</v>
      </c>
      <c r="ID5" s="15" t="n">
        <f aca="false">Inputs!$B$52/(1-IC5-G5)</f>
        <v>198170.044851912</v>
      </c>
      <c r="IE5" s="15" t="n">
        <f aca="false">ID5/Inputs!$B$34</f>
        <v>330.28340808652</v>
      </c>
      <c r="IF5" s="15" t="n">
        <f aca="false">B5^2/IE5</f>
        <v>12.4014706755328</v>
      </c>
      <c r="IG5" s="15" t="n">
        <f aca="false">Inputs!$B$30</f>
        <v>19</v>
      </c>
      <c r="IH5" s="15" t="n">
        <f aca="false">EXP(-Inputs!$B$11*Inputs!$B$14*Inputs!$B$17/(Inputs!$B$51*IG5*Inputs!$B$16))</f>
        <v>0.749903672132608</v>
      </c>
      <c r="II5" s="15" t="n">
        <f aca="false">Inputs!$B$50*Inputs!$B$18*IH5*Inputs!$B$19</f>
        <v>0.732749047751556</v>
      </c>
      <c r="IJ5" s="15" t="n">
        <f aca="false">1-II5</f>
        <v>0.267250952248444</v>
      </c>
      <c r="IK5" s="15" t="n">
        <f aca="false">Inputs!$B$20*IJ5</f>
        <v>0.00801752856745333</v>
      </c>
      <c r="IL5" s="15" t="n">
        <f aca="false">0.8*(1-Inputs!$B$50)*(II5-IK5)</f>
        <v>0.00174559413495898</v>
      </c>
      <c r="IM5" s="15" t="n">
        <f aca="false">II5-IK5-IL5</f>
        <v>0.722985925049143</v>
      </c>
      <c r="IN5" s="15" t="n">
        <f aca="false">IM5*(1-Inputs!$B$18*EXP(-Inputs!$B$21*Inputs!$B$14*Inputs!$B$17/(Inputs!$B$22*Inputs!$B$23*Inputs!$B$24*IG5*Inputs!$B$16))*Inputs!$B$19)</f>
        <v>0.0263519047687277</v>
      </c>
      <c r="IO5" s="15" t="n">
        <f aca="false">(IM5-IN5)*(1-EXP(-Inputs!$B$25*Inputs!$B$14*Inputs!$B$17*Inputs!$B$26/(IG5*Inputs!$B$16/0.866)))</f>
        <v>0.00761430571619009</v>
      </c>
      <c r="IP5" s="15" t="n">
        <f aca="false">(IM5-IN5-IO5)*(1-Inputs!$B$19)</f>
        <v>0.00344509857282113</v>
      </c>
      <c r="IQ5" s="15" t="n">
        <f aca="false">(IJ5+IK5+IL5+IN5+IO5+IP5)*(1+Inputs!$B$27)</f>
        <v>0.315368660160621</v>
      </c>
      <c r="IR5" s="15" t="n">
        <f aca="false">Inputs!$B$52/(1-IQ5-G5)</f>
        <v>198170.044851912</v>
      </c>
      <c r="IS5" s="15" t="n">
        <f aca="false">IR5/Inputs!$B$34</f>
        <v>330.28340808652</v>
      </c>
      <c r="IT5" s="15" t="n">
        <f aca="false">B5^2/IS5</f>
        <v>12.4014706755328</v>
      </c>
      <c r="IU5" s="15" t="n">
        <f aca="false">Inputs!$B$30</f>
        <v>19</v>
      </c>
      <c r="IV5" s="15" t="n">
        <f aca="false">EXP(-Inputs!$B$11*Inputs!$B$14*Inputs!$B$17/(Inputs!$B$51*IU5*Inputs!$B$16))</f>
        <v>0.749903672132608</v>
      </c>
      <c r="IW5" s="15" t="n">
        <f aca="false">Inputs!$B$50*Inputs!$B$18*IV5*Inputs!$B$19</f>
        <v>0.732749047751556</v>
      </c>
      <c r="IX5" s="15" t="n">
        <f aca="false">1-IW5</f>
        <v>0.267250952248444</v>
      </c>
      <c r="IY5" s="15" t="n">
        <f aca="false">Inputs!$B$20*IX5</f>
        <v>0.00801752856745333</v>
      </c>
      <c r="IZ5" s="15" t="n">
        <f aca="false">0.8*(1-Inputs!$B$50)*(IW5-IY5)</f>
        <v>0.00174559413495898</v>
      </c>
      <c r="JA5" s="15" t="n">
        <f aca="false">IW5-IY5-IZ5</f>
        <v>0.722985925049143</v>
      </c>
      <c r="JB5" s="15" t="n">
        <f aca="false">JA5*(1-Inputs!$B$18*EXP(-Inputs!$B$21*Inputs!$B$14*Inputs!$B$17/(Inputs!$B$22*Inputs!$B$23*Inputs!$B$24*IU5*Inputs!$B$16))*Inputs!$B$19)</f>
        <v>0.0263519047687277</v>
      </c>
      <c r="JC5" s="15" t="n">
        <f aca="false">(JA5-JB5)*(1-EXP(-Inputs!$B$25*Inputs!$B$14*Inputs!$B$17*Inputs!$B$26/(IU5*Inputs!$B$16/0.866)))</f>
        <v>0.00761430571619009</v>
      </c>
      <c r="JD5" s="15" t="n">
        <f aca="false">(JA5-JB5-JC5)*(1-Inputs!$B$19)</f>
        <v>0.00344509857282113</v>
      </c>
      <c r="JE5" s="15" t="n">
        <f aca="false">(IX5+IY5+IZ5+JB5+JC5+JD5)*(1+Inputs!$B$27)</f>
        <v>0.315368660160621</v>
      </c>
      <c r="JF5" s="15" t="n">
        <f aca="false">Inputs!$B$52/(1-JE5-G5)</f>
        <v>198170.044851912</v>
      </c>
      <c r="JG5" s="15" t="n">
        <f aca="false">JF5/Inputs!$B$34</f>
        <v>330.28340808652</v>
      </c>
      <c r="JH5" s="15" t="n">
        <f aca="false">B5^2/JG5</f>
        <v>12.4014706755328</v>
      </c>
      <c r="JI5" s="15" t="n">
        <f aca="false">Inputs!$B$30</f>
        <v>19</v>
      </c>
      <c r="JJ5" s="15" t="n">
        <f aca="false">EXP(-Inputs!$B$11*Inputs!$B$14*Inputs!$B$17/(Inputs!$B$51*JI5*Inputs!$B$16))</f>
        <v>0.749903672132608</v>
      </c>
      <c r="JK5" s="15" t="n">
        <f aca="false">Inputs!$B$50*Inputs!$B$18*JJ5*Inputs!$B$19</f>
        <v>0.732749047751556</v>
      </c>
      <c r="JL5" s="15" t="n">
        <f aca="false">1-JK5</f>
        <v>0.267250952248444</v>
      </c>
      <c r="JM5" s="15" t="n">
        <f aca="false">Inputs!$B$20*JL5</f>
        <v>0.00801752856745333</v>
      </c>
      <c r="JN5" s="15" t="n">
        <f aca="false">0.8*(1-Inputs!$B$50)*(JK5-JM5)</f>
        <v>0.00174559413495898</v>
      </c>
      <c r="JO5" s="15" t="n">
        <f aca="false">JK5-JM5-JN5</f>
        <v>0.722985925049143</v>
      </c>
      <c r="JP5" s="15" t="n">
        <f aca="false">JO5*(1-Inputs!$B$18*EXP(-Inputs!$B$21*Inputs!$B$14*Inputs!$B$17/(Inputs!$B$22*Inputs!$B$23*Inputs!$B$24*JI5*Inputs!$B$16))*Inputs!$B$19)</f>
        <v>0.0263519047687277</v>
      </c>
      <c r="JQ5" s="15" t="n">
        <f aca="false">(JO5-JP5)*(1-EXP(-Inputs!$B$25*Inputs!$B$14*Inputs!$B$17*Inputs!$B$26/(JI5*Inputs!$B$16/0.866)))</f>
        <v>0.00761430571619009</v>
      </c>
      <c r="JR5" s="15" t="n">
        <f aca="false">(JO5-JP5-JQ5)*(1-Inputs!$B$19)</f>
        <v>0.00344509857282113</v>
      </c>
      <c r="JS5" s="15" t="n">
        <f aca="false">(JL5+JM5+JN5+JP5+JQ5+JR5)*(1+Inputs!$B$27)</f>
        <v>0.315368660160621</v>
      </c>
      <c r="JT5" s="15" t="n">
        <f aca="false">Inputs!$B$52/(1-JS5-G5)</f>
        <v>198170.044851912</v>
      </c>
      <c r="JU5" s="15" t="n">
        <f aca="false">JT5/Inputs!$B$34</f>
        <v>330.28340808652</v>
      </c>
      <c r="JV5" s="15" t="n">
        <f aca="false">B5^2/JU5</f>
        <v>12.4014706755328</v>
      </c>
      <c r="JW5" s="15" t="n">
        <f aca="false">Inputs!$B$30</f>
        <v>19</v>
      </c>
      <c r="JX5" s="15" t="n">
        <f aca="false">EXP(-Inputs!$B$11*Inputs!$B$14*Inputs!$B$17/(Inputs!$B$51*JW5*Inputs!$B$16))</f>
        <v>0.749903672132608</v>
      </c>
      <c r="JY5" s="15" t="n">
        <f aca="false">Inputs!$B$50*Inputs!$B$18*JX5*Inputs!$B$19</f>
        <v>0.732749047751556</v>
      </c>
      <c r="JZ5" s="15" t="n">
        <f aca="false">1-JY5</f>
        <v>0.267250952248444</v>
      </c>
      <c r="KA5" s="15" t="n">
        <f aca="false">Inputs!$B$20*JZ5</f>
        <v>0.00801752856745333</v>
      </c>
      <c r="KB5" s="15" t="n">
        <f aca="false">0.8*(1-Inputs!$B$50)*(JY5-KA5)</f>
        <v>0.00174559413495898</v>
      </c>
      <c r="KC5" s="15" t="n">
        <f aca="false">JY5-KA5-KB5</f>
        <v>0.722985925049143</v>
      </c>
      <c r="KD5" s="15" t="n">
        <f aca="false">KC5*(1-Inputs!$B$18*EXP(-Inputs!$B$21*Inputs!$B$14*Inputs!$B$17/(Inputs!$B$22*Inputs!$B$23*Inputs!$B$24*JW5*Inputs!$B$16))*Inputs!$B$19)</f>
        <v>0.0263519047687277</v>
      </c>
      <c r="KE5" s="15" t="n">
        <f aca="false">(KC5-KD5)*(1-EXP(-Inputs!$B$25*Inputs!$B$14*Inputs!$B$17*Inputs!$B$26/(JW5*Inputs!$B$16/0.866)))</f>
        <v>0.00761430571619009</v>
      </c>
      <c r="KF5" s="15" t="n">
        <f aca="false">(KC5-KD5-KE5)*(1-Inputs!$B$19)</f>
        <v>0.00344509857282113</v>
      </c>
      <c r="KG5" s="15" t="n">
        <f aca="false">(JZ5+KA5+KB5+KD5+KE5+KF5)*(1+Inputs!$B$27)</f>
        <v>0.315368660160621</v>
      </c>
      <c r="KH5" s="15" t="n">
        <f aca="false">Inputs!$B$52/(1-KG5-G5)</f>
        <v>198170.044851912</v>
      </c>
      <c r="KI5" s="15" t="n">
        <f aca="false">KH5/Inputs!$B$34</f>
        <v>330.28340808652</v>
      </c>
      <c r="KJ5" s="15" t="n">
        <f aca="false">B5^2/KI5</f>
        <v>12.4014706755328</v>
      </c>
      <c r="KK5" s="15" t="n">
        <f aca="false">Inputs!$B$30</f>
        <v>19</v>
      </c>
      <c r="KL5" s="15" t="n">
        <f aca="false">EXP(-Inputs!$B$11*Inputs!$B$14*Inputs!$B$17/(Inputs!$B$51*KK5*Inputs!$B$16))</f>
        <v>0.749903672132608</v>
      </c>
      <c r="KM5" s="15" t="n">
        <f aca="false">Inputs!$B$50*Inputs!$B$18*KL5*Inputs!$B$19</f>
        <v>0.732749047751556</v>
      </c>
      <c r="KN5" s="15" t="n">
        <f aca="false">1-KM5</f>
        <v>0.267250952248444</v>
      </c>
      <c r="KO5" s="15" t="n">
        <f aca="false">Inputs!$B$20*KN5</f>
        <v>0.00801752856745333</v>
      </c>
      <c r="KP5" s="15" t="n">
        <f aca="false">0.8*(1-Inputs!$B$50)*(KM5-KO5)</f>
        <v>0.00174559413495898</v>
      </c>
      <c r="KQ5" s="15" t="n">
        <f aca="false">KM5-KO5-KP5</f>
        <v>0.722985925049143</v>
      </c>
      <c r="KR5" s="15" t="n">
        <f aca="false">KQ5*(1-Inputs!$B$18*EXP(-Inputs!$B$21*Inputs!$B$14*Inputs!$B$17/(Inputs!$B$22*Inputs!$B$23*Inputs!$B$24*KK5*Inputs!$B$16))*Inputs!$B$19)</f>
        <v>0.0263519047687277</v>
      </c>
      <c r="KS5" s="15" t="n">
        <f aca="false">(KQ5-KR5)*(1-EXP(-Inputs!$B$25*Inputs!$B$14*Inputs!$B$17*Inputs!$B$26/(KK5*Inputs!$B$16/0.866)))</f>
        <v>0.00761430571619009</v>
      </c>
      <c r="KT5" s="15" t="n">
        <f aca="false">(KQ5-KR5-KS5)*(1-Inputs!$B$19)</f>
        <v>0.00344509857282113</v>
      </c>
      <c r="KU5" s="15" t="n">
        <f aca="false">(KN5+KO5+KP5+KR5+KS5+KT5)*(1+Inputs!$B$27)</f>
        <v>0.315368660160621</v>
      </c>
      <c r="KV5" s="15" t="n">
        <f aca="false">Inputs!$B$52/(1-KU5-G5)</f>
        <v>198170.044851912</v>
      </c>
      <c r="KW5" s="15" t="n">
        <f aca="false">KV5/Inputs!$B$34</f>
        <v>330.28340808652</v>
      </c>
      <c r="KX5" s="15" t="n">
        <f aca="false">B5^2/KW5</f>
        <v>12.4014706755328</v>
      </c>
      <c r="KY5" s="15" t="n">
        <f aca="false">Inputs!$B$30</f>
        <v>19</v>
      </c>
      <c r="KZ5" s="15" t="n">
        <f aca="false">EXP(-Inputs!$B$11*Inputs!$B$14*Inputs!$B$17/(Inputs!$B$51*KY5*Inputs!$B$16))</f>
        <v>0.749903672132608</v>
      </c>
      <c r="LA5" s="15" t="n">
        <f aca="false">Inputs!$B$50*Inputs!$B$18*KZ5*Inputs!$B$19</f>
        <v>0.732749047751556</v>
      </c>
      <c r="LB5" s="15" t="n">
        <f aca="false">1-LA5</f>
        <v>0.267250952248444</v>
      </c>
      <c r="LC5" s="15" t="n">
        <f aca="false">Inputs!$B$20*LB5</f>
        <v>0.00801752856745333</v>
      </c>
      <c r="LD5" s="15" t="n">
        <f aca="false">0.8*(1-Inputs!$B$50)*(LA5-LC5)</f>
        <v>0.00174559413495898</v>
      </c>
      <c r="LE5" s="15" t="n">
        <f aca="false">LA5-LC5-LD5</f>
        <v>0.722985925049143</v>
      </c>
      <c r="LF5" s="15" t="n">
        <f aca="false">LE5*(1-Inputs!$B$18*EXP(-Inputs!$B$21*Inputs!$B$14*Inputs!$B$17/(Inputs!$B$22*Inputs!$B$23*Inputs!$B$24*KY5*Inputs!$B$16))*Inputs!$B$19)</f>
        <v>0.0263519047687277</v>
      </c>
      <c r="LG5" s="15" t="n">
        <f aca="false">(LE5-LF5)*(1-EXP(-Inputs!$B$25*Inputs!$B$14*Inputs!$B$17*Inputs!$B$26/(KY5*Inputs!$B$16/0.866)))</f>
        <v>0.00761430571619009</v>
      </c>
      <c r="LH5" s="15" t="n">
        <f aca="false">(LE5-LF5-LG5)*(1-Inputs!$B$19)</f>
        <v>0.00344509857282113</v>
      </c>
      <c r="LI5" s="15" t="n">
        <f aca="false">(LB5+LC5+LD5+LF5+LG5+LH5)*(1+Inputs!$B$27)</f>
        <v>0.315368660160621</v>
      </c>
      <c r="LJ5" s="15" t="n">
        <f aca="false">Inputs!$B$52/(1-LI5-G5)</f>
        <v>198170.044851912</v>
      </c>
      <c r="LK5" s="15" t="n">
        <f aca="false">LJ5/Inputs!$B$34</f>
        <v>330.28340808652</v>
      </c>
      <c r="LL5" s="15" t="n">
        <f aca="false">B5^2/LK5</f>
        <v>12.4014706755328</v>
      </c>
      <c r="LM5" s="15" t="n">
        <f aca="false">Inputs!$B$30</f>
        <v>19</v>
      </c>
      <c r="LN5" s="15" t="n">
        <f aca="false">EXP(-Inputs!$B$11*Inputs!$B$14*Inputs!$B$17/(Inputs!$B$51*LM5*Inputs!$B$16))</f>
        <v>0.749903672132608</v>
      </c>
      <c r="LO5" s="15" t="n">
        <f aca="false">Inputs!$B$50*Inputs!$B$18*LN5*Inputs!$B$19</f>
        <v>0.732749047751556</v>
      </c>
      <c r="LP5" s="15" t="n">
        <f aca="false">1-LO5</f>
        <v>0.267250952248444</v>
      </c>
      <c r="LQ5" s="15" t="n">
        <f aca="false">Inputs!$B$20*LP5</f>
        <v>0.00801752856745333</v>
      </c>
      <c r="LR5" s="15" t="n">
        <f aca="false">0.8*(1-Inputs!$B$50)*(LO5-LQ5)</f>
        <v>0.00174559413495898</v>
      </c>
      <c r="LS5" s="15" t="n">
        <f aca="false">LO5-LQ5-LR5</f>
        <v>0.722985925049143</v>
      </c>
      <c r="LT5" s="15" t="n">
        <f aca="false">LS5*(1-Inputs!$B$18*EXP(-Inputs!$B$21*Inputs!$B$14*Inputs!$B$17/(Inputs!$B$22*Inputs!$B$23*Inputs!$B$24*LM5*Inputs!$B$16))*Inputs!$B$19)</f>
        <v>0.0263519047687277</v>
      </c>
      <c r="LU5" s="15" t="n">
        <f aca="false">(LS5-LT5)*(1-EXP(-Inputs!$B$25*Inputs!$B$14*Inputs!$B$17*Inputs!$B$26/(LM5*Inputs!$B$16/0.866)))</f>
        <v>0.00761430571619009</v>
      </c>
      <c r="LV5" s="15" t="n">
        <f aca="false">(LS5-LT5-LU5)*(1-Inputs!$B$19)</f>
        <v>0.00344509857282113</v>
      </c>
      <c r="LW5" s="15" t="n">
        <f aca="false">(LP5+LQ5+LR5+LT5+LU5+LV5)*(1+Inputs!$B$27)</f>
        <v>0.315368660160621</v>
      </c>
      <c r="LX5" s="15" t="n">
        <f aca="false">Inputs!$B$52/(1-LW5-G5)</f>
        <v>198170.044851912</v>
      </c>
      <c r="LY5" s="15" t="n">
        <f aca="false">LX5/Inputs!$B$34</f>
        <v>330.28340808652</v>
      </c>
      <c r="LZ5" s="15" t="n">
        <f aca="false">B5^2/LY5</f>
        <v>12.4014706755328</v>
      </c>
      <c r="MA5" s="15" t="n">
        <f aca="false">Inputs!$B$30</f>
        <v>19</v>
      </c>
      <c r="MB5" s="15" t="n">
        <f aca="false">EXP(-Inputs!$B$11*Inputs!$B$14*Inputs!$B$17/(Inputs!$B$51*MA5*Inputs!$B$16))</f>
        <v>0.749903672132608</v>
      </c>
      <c r="MC5" s="15" t="n">
        <f aca="false">Inputs!$B$50*Inputs!$B$18*MB5*Inputs!$B$19</f>
        <v>0.732749047751556</v>
      </c>
      <c r="MD5" s="15" t="n">
        <f aca="false">1-MC5</f>
        <v>0.267250952248444</v>
      </c>
      <c r="ME5" s="15" t="n">
        <f aca="false">Inputs!$B$20*MD5</f>
        <v>0.00801752856745333</v>
      </c>
      <c r="MF5" s="15" t="n">
        <f aca="false">0.8*(1-Inputs!$B$50)*(MC5-ME5)</f>
        <v>0.00174559413495898</v>
      </c>
      <c r="MG5" s="15" t="n">
        <f aca="false">MC5-ME5-MF5</f>
        <v>0.722985925049143</v>
      </c>
      <c r="MH5" s="15" t="n">
        <f aca="false">MG5*(1-Inputs!$B$18*EXP(-Inputs!$B$21*Inputs!$B$14*Inputs!$B$17/(Inputs!$B$22*Inputs!$B$23*Inputs!$B$24*MA5*Inputs!$B$16))*Inputs!$B$19)</f>
        <v>0.0263519047687277</v>
      </c>
      <c r="MI5" s="15" t="n">
        <f aca="false">(MG5-MH5)*(1-EXP(-Inputs!$B$25*Inputs!$B$14*Inputs!$B$17*Inputs!$B$26/(MA5*Inputs!$B$16/0.866)))</f>
        <v>0.00761430571619009</v>
      </c>
      <c r="MJ5" s="15" t="n">
        <f aca="false">(MG5-MH5-MI5)*(1-Inputs!$B$19)</f>
        <v>0.00344509857282113</v>
      </c>
      <c r="MK5" s="15" t="n">
        <f aca="false">(MD5+ME5+MF5+MH5+MI5+MJ5)*(1+Inputs!$B$27)</f>
        <v>0.315368660160621</v>
      </c>
      <c r="ML5" s="15" t="n">
        <f aca="false">Inputs!$B$52/(1-MK5-G5)</f>
        <v>198170.044851912</v>
      </c>
      <c r="MM5" s="15" t="n">
        <f aca="false">ML5/Inputs!$B$34</f>
        <v>330.28340808652</v>
      </c>
      <c r="MN5" s="15" t="n">
        <f aca="false">B5^2/MM5</f>
        <v>12.4014706755328</v>
      </c>
      <c r="MO5" s="15" t="n">
        <f aca="false">Inputs!$B$30</f>
        <v>19</v>
      </c>
      <c r="MP5" s="15" t="n">
        <f aca="false">EXP(-Inputs!$B$11*Inputs!$B$14*Inputs!$B$17/(Inputs!$B$51*MO5*Inputs!$B$16))</f>
        <v>0.749903672132608</v>
      </c>
      <c r="MQ5" s="15" t="n">
        <f aca="false">Inputs!$B$50*Inputs!$B$18*MP5*Inputs!$B$19</f>
        <v>0.732749047751556</v>
      </c>
      <c r="MR5" s="15" t="n">
        <f aca="false">1-MQ5</f>
        <v>0.267250952248444</v>
      </c>
      <c r="MS5" s="15" t="n">
        <f aca="false">Inputs!$B$20*MR5</f>
        <v>0.00801752856745333</v>
      </c>
      <c r="MT5" s="15" t="n">
        <f aca="false">0.8*(1-Inputs!$B$50)*(MQ5-MS5)</f>
        <v>0.00174559413495898</v>
      </c>
      <c r="MU5" s="15" t="n">
        <f aca="false">MQ5-MS5-MT5</f>
        <v>0.722985925049143</v>
      </c>
      <c r="MV5" s="15" t="n">
        <f aca="false">MU5*(1-Inputs!$B$18*EXP(-Inputs!$B$21*Inputs!$B$14*Inputs!$B$17/(Inputs!$B$22*Inputs!$B$23*Inputs!$B$24*MO5*Inputs!$B$16))*Inputs!$B$19)</f>
        <v>0.0263519047687277</v>
      </c>
      <c r="MW5" s="15" t="n">
        <f aca="false">(MU5-MV5)*(1-EXP(-Inputs!$B$25*Inputs!$B$14*Inputs!$B$17*Inputs!$B$26/(MO5*Inputs!$B$16/0.866)))</f>
        <v>0.00761430571619009</v>
      </c>
      <c r="MX5" s="15" t="n">
        <f aca="false">(MU5-MV5-MW5)*(1-Inputs!$B$19)</f>
        <v>0.00344509857282113</v>
      </c>
      <c r="MY5" s="15" t="n">
        <f aca="false">(MR5+MS5+MT5+MV5+MW5+MX5)*(1+Inputs!$B$27)</f>
        <v>0.315368660160621</v>
      </c>
      <c r="MZ5" s="15" t="n">
        <f aca="false">Inputs!$B$52/(1-MY5-G5)</f>
        <v>198170.044851912</v>
      </c>
      <c r="NA5" s="15" t="n">
        <f aca="false">MZ5/Inputs!$B$34</f>
        <v>330.28340808652</v>
      </c>
      <c r="NB5" s="15" t="n">
        <f aca="false">B5^2/NA5</f>
        <v>12.4014706755328</v>
      </c>
      <c r="NC5" s="15" t="n">
        <f aca="false">Inputs!$B$30</f>
        <v>19</v>
      </c>
      <c r="ND5" s="15" t="n">
        <f aca="false">EXP(-Inputs!$B$11*Inputs!$B$14*Inputs!$B$17/(Inputs!$B$51*NC5*Inputs!$B$16))</f>
        <v>0.749903672132608</v>
      </c>
      <c r="NE5" s="15" t="n">
        <f aca="false">Inputs!$B$50*Inputs!$B$18*ND5*Inputs!$B$19</f>
        <v>0.732749047751556</v>
      </c>
      <c r="NF5" s="15" t="n">
        <f aca="false">1-NE5</f>
        <v>0.267250952248444</v>
      </c>
      <c r="NG5" s="15" t="n">
        <f aca="false">Inputs!$B$20*NF5</f>
        <v>0.00801752856745333</v>
      </c>
      <c r="NH5" s="15" t="n">
        <f aca="false">0.8*(1-Inputs!$B$50)*(NE5-NG5)</f>
        <v>0.00174559413495898</v>
      </c>
      <c r="NI5" s="15" t="n">
        <f aca="false">NE5-NG5-NH5</f>
        <v>0.722985925049143</v>
      </c>
      <c r="NJ5" s="15" t="n">
        <f aca="false">NI5*(1-Inputs!$B$18*EXP(-Inputs!$B$21*Inputs!$B$14*Inputs!$B$17/(Inputs!$B$22*Inputs!$B$23*Inputs!$B$24*NC5*Inputs!$B$16))*Inputs!$B$19)</f>
        <v>0.0263519047687277</v>
      </c>
      <c r="NK5" s="15" t="n">
        <f aca="false">(NI5-NJ5)*(1-EXP(-Inputs!$B$25*Inputs!$B$14*Inputs!$B$17*Inputs!$B$26/(NC5*Inputs!$B$16/0.866)))</f>
        <v>0.00761430571619009</v>
      </c>
      <c r="NL5" s="15" t="n">
        <f aca="false">(NI5-NJ5-NK5)*(1-Inputs!$B$19)</f>
        <v>0.00344509857282113</v>
      </c>
      <c r="NM5" s="15" t="n">
        <f aca="false">(NF5+NG5+NH5+NJ5+NK5+NL5)*(1+Inputs!$B$27)</f>
        <v>0.315368660160621</v>
      </c>
      <c r="NN5" s="15" t="n">
        <f aca="false">Inputs!$B$52/(1-NM5-G5)</f>
        <v>198170.044851912</v>
      </c>
    </row>
    <row r="6" customFormat="false" ht="15" hidden="false" customHeight="false" outlineLevel="0" collapsed="false">
      <c r="A6" s="0" t="s">
        <v>500</v>
      </c>
      <c r="B6" s="0" t="n">
        <v>56</v>
      </c>
      <c r="C6" s="12" t="n">
        <v>0</v>
      </c>
      <c r="D6" s="13" t="n">
        <f aca="false">B6*C6</f>
        <v>0</v>
      </c>
      <c r="E6" s="14" t="n">
        <f aca="false">IF(C6=0,1,(1+0.45*C6)/(1.04+2.81*C6))</f>
        <v>1</v>
      </c>
      <c r="F6" s="14" t="n">
        <f aca="false">1+Inputs!$B$42*D6</f>
        <v>1</v>
      </c>
      <c r="G6" s="15" t="n">
        <f aca="false">Inputs!$B$31+Inputs!$B$43*(B6/Inputs!$B$32-1)</f>
        <v>0.50625</v>
      </c>
      <c r="H6" s="12" t="n">
        <f aca="false">Inputs!$B$37</f>
        <v>0.5</v>
      </c>
      <c r="I6" s="13" t="n">
        <f aca="false">Inputs!$B$39</f>
        <v>2.6</v>
      </c>
      <c r="J6" s="16" t="n">
        <f aca="false">NN6/Inputs!$B$34</f>
        <v>381.101881182704</v>
      </c>
      <c r="K6" s="13" t="n">
        <f aca="false">B6^2/J6</f>
        <v>8.22877071681672</v>
      </c>
      <c r="L6" s="13" t="n">
        <f aca="false">K6</f>
        <v>8.22877071681672</v>
      </c>
      <c r="M6" s="12" t="n">
        <f aca="false">NC6</f>
        <v>16.3434006196086</v>
      </c>
      <c r="N6" s="13" t="n">
        <f aca="false">B6/SQRT(E6)</f>
        <v>56</v>
      </c>
      <c r="O6" s="14" t="n">
        <f aca="false">NM6</f>
        <v>0.351071617434021</v>
      </c>
      <c r="P6" s="13" t="n">
        <f aca="false">NN6/1000</f>
        <v>228.661128709623</v>
      </c>
      <c r="Q6" s="13" t="n">
        <f aca="false">G6*NN6/1000</f>
        <v>115.759696409246</v>
      </c>
      <c r="R6" s="13" t="n">
        <f aca="false">NM6*NN6/1000</f>
        <v>80.2764323003761</v>
      </c>
      <c r="S6" s="13" t="n">
        <f aca="false">NM6*NN6/Inputs!$B$28/1000</f>
        <v>107.035243067168</v>
      </c>
      <c r="T6" s="17" t="n">
        <f aca="false">R6/Sweep!$R$5-1</f>
        <v>0.284492350730216</v>
      </c>
      <c r="U6" s="17" t="n">
        <f aca="false">R6/SUMIFS(Sweep!$R:$R,Sweep!$A:$A,"Conventional",Sweep!$B:$B,B6)-1</f>
        <v>0</v>
      </c>
      <c r="V6" s="16" t="n">
        <f aca="false">1*0.54*(J6/1)^1.5/SQRT(L6)*Inputs!$B$46*Inputs!$B$47</f>
        <v>130.948198705926</v>
      </c>
      <c r="W6" s="18" t="n">
        <f aca="false">MIN(1,V6/S6)</f>
        <v>1</v>
      </c>
      <c r="X6" s="16" t="n">
        <f aca="false">1.23*SQRT(2*Inputs!$B$41*NN6*Inputs!$B$49/(1.225*J6*I6))/0.5144</f>
        <v>128.387239561919</v>
      </c>
      <c r="Y6" s="19" t="n">
        <f aca="false">(11000+6341.6*LN(0.36392/(2*Inputs!$B$50*Inputs!$B$18*(1+ND6)/2*Inputs!$B$34*Inputs!$B$49/((Inputs!$B$12*295.07)^2*H6))))/0.3048</f>
        <v>39073.5433538992</v>
      </c>
      <c r="Z6" s="16" t="n">
        <f aca="false">NN6-MZ6</f>
        <v>3.7822322784632</v>
      </c>
      <c r="AA6" s="20" t="str">
        <f aca="false">IF(ABS(NN6-MZ6)&lt;10,"Yes","No")</f>
        <v>Yes</v>
      </c>
      <c r="AC6" s="15" t="n">
        <f aca="false">Inputs!$B$52/(1-0.3154-G6)/Inputs!$B$34</f>
        <v>304.878048780488</v>
      </c>
      <c r="AD6" s="15" t="n">
        <f aca="false">B6^2/AC6</f>
        <v>10.28608</v>
      </c>
      <c r="AE6" s="15" t="n">
        <f aca="false">Inputs!$B$54*H6/(Inputs!$B$35*F6+E6*H6^2/(PI()*AD6*Inputs!$B$36))</f>
        <v>17.8248599972641</v>
      </c>
      <c r="AF6" s="15" t="n">
        <f aca="false">EXP(-Inputs!$B$11*Inputs!$B$14*Inputs!$B$17/(Inputs!$B$51*AE6*Inputs!$B$16))</f>
        <v>0.735808775978235</v>
      </c>
      <c r="AG6" s="15" t="n">
        <f aca="false">Inputs!$B$50*Inputs!$B$18*AF6*Inputs!$B$19</f>
        <v>0.71897658320834</v>
      </c>
      <c r="AH6" s="15" t="n">
        <f aca="false">1-AG6</f>
        <v>0.28102341679166</v>
      </c>
      <c r="AI6" s="15" t="n">
        <f aca="false">Inputs!$B$20*AH6</f>
        <v>0.00843070250374981</v>
      </c>
      <c r="AJ6" s="15" t="n">
        <f aca="false">0.8*(1-Inputs!$B$50)*(AG6-AI6)</f>
        <v>0.00171142649263212</v>
      </c>
      <c r="AK6" s="15" t="n">
        <f aca="false">AG6-AI6-AJ6</f>
        <v>0.708834454211958</v>
      </c>
      <c r="AL6" s="15" t="n">
        <f aca="false">AK6*(1-Inputs!$B$18*EXP(-Inputs!$B$21*Inputs!$B$14*Inputs!$B$17/(Inputs!$B$22*Inputs!$B$23*Inputs!$B$24*AE6*Inputs!$B$16))*Inputs!$B$19)</f>
        <v>0.0266013020035494</v>
      </c>
      <c r="AM6" s="15" t="n">
        <f aca="false">(AK6-AL6)*(1-EXP(-Inputs!$B$25*Inputs!$B$14*Inputs!$B$17*Inputs!$B$26/(AE6*Inputs!$B$16/0.866)))</f>
        <v>0.00794564001863713</v>
      </c>
      <c r="AN6" s="15" t="n">
        <f aca="false">(AK6-AL6-AM6)*(1-Inputs!$B$19)</f>
        <v>0.00337143756094886</v>
      </c>
      <c r="AO6" s="15" t="n">
        <f aca="false">(AH6+AI6+AJ6+AL6+AM6+AN6)*(1+Inputs!$B$27)</f>
        <v>0.330071177147291</v>
      </c>
      <c r="AP6" s="15" t="n">
        <f aca="false">Inputs!$B$52/(1-AO6-G6)</f>
        <v>199323.280992548</v>
      </c>
      <c r="AQ6" s="15" t="n">
        <f aca="false">AP6/Inputs!$B$34</f>
        <v>332.205468320914</v>
      </c>
      <c r="AR6" s="15" t="n">
        <f aca="false">B6^2/AQ6</f>
        <v>9.43994093730749</v>
      </c>
      <c r="AS6" s="15" t="n">
        <f aca="false">Inputs!$B$54*H6/(Inputs!$B$35*F6+E6*H6^2/(PI()*AR6*Inputs!$B$36))</f>
        <v>17.2637772608806</v>
      </c>
      <c r="AT6" s="15" t="n">
        <f aca="false">EXP(-Inputs!$B$11*Inputs!$B$14*Inputs!$B$17/(Inputs!$B$51*AS6*Inputs!$B$16))</f>
        <v>0.728508708556023</v>
      </c>
      <c r="AU6" s="15" t="n">
        <f aca="false">Inputs!$B$50*Inputs!$B$18*AT6*Inputs!$B$19</f>
        <v>0.711843510453893</v>
      </c>
      <c r="AV6" s="15" t="n">
        <f aca="false">1-AU6</f>
        <v>0.288156489546107</v>
      </c>
      <c r="AW6" s="15" t="n">
        <f aca="false">Inputs!$B$20*AV6</f>
        <v>0.00864469468638321</v>
      </c>
      <c r="AX6" s="15" t="n">
        <f aca="false">0.8*(1-Inputs!$B$50)*(AU6-AW6)</f>
        <v>0.00169373029324815</v>
      </c>
      <c r="AY6" s="15" t="n">
        <f aca="false">AU6-AW6-AX6</f>
        <v>0.701505085474262</v>
      </c>
      <c r="AZ6" s="15" t="n">
        <f aca="false">AY6*(1-Inputs!$B$18*EXP(-Inputs!$B$21*Inputs!$B$14*Inputs!$B$17/(Inputs!$B$22*Inputs!$B$23*Inputs!$B$24*AS6*Inputs!$B$16))*Inputs!$B$19)</f>
        <v>0.0267238422840191</v>
      </c>
      <c r="BA6" s="15" t="n">
        <f aca="false">(AY6-AZ6)*(1-EXP(-Inputs!$B$25*Inputs!$B$14*Inputs!$B$17*Inputs!$B$26/(AS6*Inputs!$B$16/0.866)))</f>
        <v>0.00811272693768171</v>
      </c>
      <c r="BB6" s="15" t="n">
        <f aca="false">(AY6-AZ6-BA6)*(1-Inputs!$B$19)</f>
        <v>0.00333334258126281</v>
      </c>
      <c r="BC6" s="15" t="n">
        <f aca="false">(AV6+AW6+AX6+AZ6+BA6+BB6)*(1+Inputs!$B$27)</f>
        <v>0.337674820807688</v>
      </c>
      <c r="BD6" s="15" t="n">
        <f aca="false">Inputs!$B$52/(1-BC6-G6)</f>
        <v>209033.878217114</v>
      </c>
      <c r="BE6" s="15" t="n">
        <f aca="false">BD6/Inputs!$B$34</f>
        <v>348.389797028523</v>
      </c>
      <c r="BF6" s="15" t="n">
        <f aca="false">B6^2/BE6</f>
        <v>9.00141171396949</v>
      </c>
      <c r="BG6" s="15" t="n">
        <f aca="false">Inputs!$B$54*H6/(Inputs!$B$35*F6+E6*H6^2/(PI()*BF6*Inputs!$B$36))</f>
        <v>16.9478326070577</v>
      </c>
      <c r="BH6" s="15" t="n">
        <f aca="false">EXP(-Inputs!$B$11*Inputs!$B$14*Inputs!$B$17/(Inputs!$B$51*BG6*Inputs!$B$16))</f>
        <v>0.724219527264367</v>
      </c>
      <c r="BI6" s="15" t="n">
        <f aca="false">Inputs!$B$50*Inputs!$B$18*BH6*Inputs!$B$19</f>
        <v>0.707652447489557</v>
      </c>
      <c r="BJ6" s="15" t="n">
        <f aca="false">1-BI6</f>
        <v>0.292347552510443</v>
      </c>
      <c r="BK6" s="15" t="n">
        <f aca="false">Inputs!$B$20*BJ6</f>
        <v>0.00877042657531329</v>
      </c>
      <c r="BL6" s="15" t="n">
        <f aca="false">0.8*(1-Inputs!$B$50)*(BI6-BK6)</f>
        <v>0.00168333282663022</v>
      </c>
      <c r="BM6" s="15" t="n">
        <f aca="false">BI6-BK6-BL6</f>
        <v>0.697198688087614</v>
      </c>
      <c r="BN6" s="15" t="n">
        <f aca="false">BM6*(1-Inputs!$B$18*EXP(-Inputs!$B$21*Inputs!$B$14*Inputs!$B$17/(Inputs!$B$22*Inputs!$B$23*Inputs!$B$24*BG6*Inputs!$B$16))*Inputs!$B$19)</f>
        <v>0.0267937076306171</v>
      </c>
      <c r="BO6" s="15" t="n">
        <f aca="false">(BM6-BN6)*(1-EXP(-Inputs!$B$25*Inputs!$B$14*Inputs!$B$17*Inputs!$B$26/(BG6*Inputs!$B$16/0.866)))</f>
        <v>0.00820944659715223</v>
      </c>
      <c r="BP6" s="15" t="n">
        <f aca="false">(BM6-BN6-BO6)*(1-Inputs!$B$19)</f>
        <v>0.00331097766929922</v>
      </c>
      <c r="BQ6" s="15" t="n">
        <f aca="false">(BJ6+BK6+BL6+BN6+BO6+BP6)*(1+Inputs!$B$27)</f>
        <v>0.342138790140883</v>
      </c>
      <c r="BR6" s="15" t="n">
        <f aca="false">Inputs!$B$52/(1-BQ6-G6)</f>
        <v>215188.57365703</v>
      </c>
      <c r="BS6" s="15" t="n">
        <f aca="false">BR6/Inputs!$B$34</f>
        <v>358.647622761717</v>
      </c>
      <c r="BT6" s="15" t="n">
        <f aca="false">B6^2/BS6</f>
        <v>8.74395869642649</v>
      </c>
      <c r="BU6" s="15" t="n">
        <f aca="false">Inputs!$B$54*H6/(Inputs!$B$35*F6+E6*H6^2/(PI()*BT6*Inputs!$B$36))</f>
        <v>16.7535019081598</v>
      </c>
      <c r="BV6" s="15" t="n">
        <f aca="false">EXP(-Inputs!$B$11*Inputs!$B$14*Inputs!$B$17/(Inputs!$B$51*BU6*Inputs!$B$16))</f>
        <v>0.721514076205283</v>
      </c>
      <c r="BW6" s="15" t="n">
        <f aca="false">Inputs!$B$50*Inputs!$B$18*BV6*Inputs!$B$19</f>
        <v>0.705008885708289</v>
      </c>
      <c r="BX6" s="15" t="n">
        <f aca="false">1-BW6</f>
        <v>0.294991114291711</v>
      </c>
      <c r="BY6" s="15" t="n">
        <f aca="false">Inputs!$B$20*BX6</f>
        <v>0.00884973342875133</v>
      </c>
      <c r="BZ6" s="15" t="n">
        <f aca="false">0.8*(1-Inputs!$B$50)*(BW6-BY6)</f>
        <v>0.00167677450345371</v>
      </c>
      <c r="CA6" s="15" t="n">
        <f aca="false">BW6-BY6-BZ6</f>
        <v>0.694482377776084</v>
      </c>
      <c r="CB6" s="15" t="n">
        <f aca="false">CA6*(1-Inputs!$B$18*EXP(-Inputs!$B$21*Inputs!$B$14*Inputs!$B$17/(Inputs!$B$22*Inputs!$B$23*Inputs!$B$24*BU6*Inputs!$B$16))*Inputs!$B$19)</f>
        <v>0.0268369585422227</v>
      </c>
      <c r="CC6" s="15" t="n">
        <f aca="false">(CA6-CB6)*(1-EXP(-Inputs!$B$25*Inputs!$B$14*Inputs!$B$17*Inputs!$B$26/(BU6*Inputs!$B$16/0.866)))</f>
        <v>0.00826989737187416</v>
      </c>
      <c r="CD6" s="15" t="n">
        <f aca="false">(CA6-CB6-CC6)*(1-Inputs!$B$19)</f>
        <v>0.00329687760930994</v>
      </c>
      <c r="CE6" s="15" t="n">
        <f aca="false">(BX6+BY6+BZ6+CB6+CC6+CD6)*(1+Inputs!$B$27)</f>
        <v>0.344953119814565</v>
      </c>
      <c r="CF6" s="15" t="n">
        <f aca="false">Inputs!$B$52/(1-CE6-G6)</f>
        <v>219258.629343181</v>
      </c>
      <c r="CG6" s="15" t="n">
        <f aca="false">CF6/Inputs!$B$34</f>
        <v>365.431048905301</v>
      </c>
      <c r="CH6" s="15" t="n">
        <f aca="false">B6^2/CG6</f>
        <v>8.58164627607402</v>
      </c>
      <c r="CI6" s="15" t="n">
        <f aca="false">Inputs!$B$54*H6/(Inputs!$B$35*F6+E6*H6^2/(PI()*CH6*Inputs!$B$36))</f>
        <v>16.6274219808919</v>
      </c>
      <c r="CJ6" s="15" t="n">
        <f aca="false">EXP(-Inputs!$B$11*Inputs!$B$14*Inputs!$B$17/(Inputs!$B$51*CI6*Inputs!$B$16))</f>
        <v>0.719730534897036</v>
      </c>
      <c r="CK6" s="15" t="n">
        <f aca="false">Inputs!$B$50*Inputs!$B$18*CJ6*Inputs!$B$19</f>
        <v>0.703266144281878</v>
      </c>
      <c r="CL6" s="15" t="n">
        <f aca="false">1-CK6</f>
        <v>0.296733855718122</v>
      </c>
      <c r="CM6" s="15" t="n">
        <f aca="false">Inputs!$B$20*CL6</f>
        <v>0.00890201567154367</v>
      </c>
      <c r="CN6" s="15" t="n">
        <f aca="false">0.8*(1-Inputs!$B$50)*(CK6-CM6)</f>
        <v>0.00167245099508388</v>
      </c>
      <c r="CO6" s="15" t="n">
        <f aca="false">CK6-CM6-CN6</f>
        <v>0.69269167761525</v>
      </c>
      <c r="CP6" s="15" t="n">
        <f aca="false">CO6*(1-Inputs!$B$18*EXP(-Inputs!$B$21*Inputs!$B$14*Inputs!$B$17/(Inputs!$B$22*Inputs!$B$23*Inputs!$B$24*CI6*Inputs!$B$16))*Inputs!$B$19)</f>
        <v>0.0268651240424049</v>
      </c>
      <c r="CQ6" s="15" t="n">
        <f aca="false">(CO6-CP6)*(1-EXP(-Inputs!$B$25*Inputs!$B$14*Inputs!$B$17*Inputs!$B$26/(CI6*Inputs!$B$16/0.866)))</f>
        <v>0.00830951274788453</v>
      </c>
      <c r="CR6" s="15" t="n">
        <f aca="false">(CO6-CP6-CQ6)*(1-Inputs!$B$19)</f>
        <v>0.00328758520412481</v>
      </c>
      <c r="CS6" s="15" t="n">
        <f aca="false">(CL6+CM6+CN6+CP6+CQ6+CR6)*(1+Inputs!$B$27)</f>
        <v>0.346807856012302</v>
      </c>
      <c r="CT6" s="15" t="n">
        <f aca="false">Inputs!$B$52/(1-CS6-G6)</f>
        <v>222026.160192214</v>
      </c>
      <c r="CU6" s="15" t="n">
        <f aca="false">CT6/Inputs!$B$34</f>
        <v>370.043600320356</v>
      </c>
      <c r="CV6" s="15" t="n">
        <f aca="false">B6^2/CU6</f>
        <v>8.4746770307204</v>
      </c>
      <c r="CW6" s="15" t="n">
        <f aca="false">Inputs!$B$54*H6/(Inputs!$B$35*F6+E6*H6^2/(PI()*CV6*Inputs!$B$36))</f>
        <v>16.5427693065434</v>
      </c>
      <c r="CX6" s="15" t="n">
        <f aca="false">EXP(-Inputs!$B$11*Inputs!$B$14*Inputs!$B$17/(Inputs!$B$51*CW6*Inputs!$B$16))</f>
        <v>0.718520292544592</v>
      </c>
      <c r="CY6" s="15" t="n">
        <f aca="false">Inputs!$B$50*Inputs!$B$18*CX6*Inputs!$B$19</f>
        <v>0.702083587155868</v>
      </c>
      <c r="CZ6" s="15" t="n">
        <f aca="false">1-CY6</f>
        <v>0.297916412844133</v>
      </c>
      <c r="DA6" s="15" t="n">
        <f aca="false">Inputs!$B$20*CZ6</f>
        <v>0.00893749238532397</v>
      </c>
      <c r="DB6" s="15" t="n">
        <f aca="false">0.8*(1-Inputs!$B$50)*(CY6-DA6)</f>
        <v>0.00166951722903309</v>
      </c>
      <c r="DC6" s="15" t="n">
        <f aca="false">CY6-DA6-DB6</f>
        <v>0.691476577541511</v>
      </c>
      <c r="DD6" s="15" t="n">
        <f aca="false">DC6*(1-Inputs!$B$18*EXP(-Inputs!$B$21*Inputs!$B$14*Inputs!$B$17/(Inputs!$B$22*Inputs!$B$23*Inputs!$B$24*CW6*Inputs!$B$16))*Inputs!$B$19)</f>
        <v>0.0268840785245946</v>
      </c>
      <c r="DE6" s="15" t="n">
        <f aca="false">(DC6-DD6)*(1-EXP(-Inputs!$B$25*Inputs!$B$14*Inputs!$B$17*Inputs!$B$26/(CW6*Inputs!$B$16/0.866)))</f>
        <v>0.0083362870823872</v>
      </c>
      <c r="DF6" s="15" t="n">
        <f aca="false">(DC6-DD6-DE6)*(1-Inputs!$B$19)</f>
        <v>0.00328128105967265</v>
      </c>
      <c r="DG6" s="15" t="n">
        <f aca="false">(CZ6+DA6+DB6+DD6+DE6+DF6)*(1+Inputs!$B$27)</f>
        <v>0.348066144332519</v>
      </c>
      <c r="DH6" s="15" t="n">
        <f aca="false">Inputs!$B$52/(1-DG6-G6)</f>
        <v>223943.82583109</v>
      </c>
      <c r="DI6" s="15" t="n">
        <f aca="false">DH6/Inputs!$B$34</f>
        <v>373.239709718484</v>
      </c>
      <c r="DJ6" s="15" t="n">
        <f aca="false">B6^2/DI6</f>
        <v>8.40210705973737</v>
      </c>
      <c r="DK6" s="15" t="n">
        <f aca="false">Inputs!$B$54*H6/(Inputs!$B$35*F6+E6*H6^2/(PI()*DJ6*Inputs!$B$36))</f>
        <v>16.4846159197053</v>
      </c>
      <c r="DL6" s="15" t="n">
        <f aca="false">EXP(-Inputs!$B$11*Inputs!$B$14*Inputs!$B$17/(Inputs!$B$51*DK6*Inputs!$B$16))</f>
        <v>0.717682890400349</v>
      </c>
      <c r="DM6" s="15" t="n">
        <f aca="false">Inputs!$B$50*Inputs!$B$18*DL6*Inputs!$B$19</f>
        <v>0.701265341230982</v>
      </c>
      <c r="DN6" s="15" t="n">
        <f aca="false">1-DM6</f>
        <v>0.298734658769018</v>
      </c>
      <c r="DO6" s="15" t="n">
        <f aca="false">Inputs!$B$20*DN6</f>
        <v>0.00896203976307054</v>
      </c>
      <c r="DP6" s="15" t="n">
        <f aca="false">0.8*(1-Inputs!$B$50)*(DM6-DO6)</f>
        <v>0.00166748727034202</v>
      </c>
      <c r="DQ6" s="15" t="n">
        <f aca="false">DM6-DO6-DP6</f>
        <v>0.690635814197569</v>
      </c>
      <c r="DR6" s="15" t="n">
        <f aca="false">DQ6*(1-Inputs!$B$18*EXP(-Inputs!$B$21*Inputs!$B$14*Inputs!$B$17/(Inputs!$B$22*Inputs!$B$23*Inputs!$B$24*DK6*Inputs!$B$16))*Inputs!$B$19)</f>
        <v>0.0268971190001166</v>
      </c>
      <c r="DS6" s="15" t="n">
        <f aca="false">(DQ6-DR6)*(1-EXP(-Inputs!$B$25*Inputs!$B$14*Inputs!$B$17*Inputs!$B$26/(DK6*Inputs!$B$16/0.866)))</f>
        <v>0.00835476224923455</v>
      </c>
      <c r="DT6" s="15" t="n">
        <f aca="false">(DQ6-DR6-DS6)*(1-Inputs!$B$19)</f>
        <v>0.00327691966474109</v>
      </c>
      <c r="DU6" s="15" t="n">
        <f aca="false">(DN6+DO6+DP6+DR6+DS6+DT6)*(1+Inputs!$B$27)</f>
        <v>0.348936665676673</v>
      </c>
      <c r="DV6" s="15" t="n">
        <f aca="false">Inputs!$B$52/(1-DU6-G6)</f>
        <v>225290.027002331</v>
      </c>
      <c r="DW6" s="15" t="n">
        <f aca="false">DV6/Inputs!$B$34</f>
        <v>375.483378337218</v>
      </c>
      <c r="DX6" s="15" t="n">
        <f aca="false">B6^2/DW6</f>
        <v>8.35190099196239</v>
      </c>
      <c r="DY6" s="15" t="n">
        <f aca="false">Inputs!$B$54*H6/(Inputs!$B$35*F6+E6*H6^2/(PI()*DX6*Inputs!$B$36))</f>
        <v>16.4440358962946</v>
      </c>
      <c r="DZ6" s="15" t="n">
        <f aca="false">EXP(-Inputs!$B$11*Inputs!$B$14*Inputs!$B$17/(Inputs!$B$51*DY6*Inputs!$B$16))</f>
        <v>0.717095617245919</v>
      </c>
      <c r="EA6" s="15" t="n">
        <f aca="false">Inputs!$B$50*Inputs!$B$18*DZ6*Inputs!$B$19</f>
        <v>0.700691502402516</v>
      </c>
      <c r="EB6" s="15" t="n">
        <f aca="false">1-EA6</f>
        <v>0.299308497597484</v>
      </c>
      <c r="EC6" s="15" t="n">
        <f aca="false">Inputs!$B$20*EB6</f>
        <v>0.00897925492792453</v>
      </c>
      <c r="ED6" s="15" t="n">
        <f aca="false">0.8*(1-Inputs!$B$50)*(EA6-EC6)</f>
        <v>0.00166606365296528</v>
      </c>
      <c r="EE6" s="15" t="n">
        <f aca="false">EA6-EC6-ED6</f>
        <v>0.690046183821626</v>
      </c>
      <c r="EF6" s="15" t="n">
        <f aca="false">EE6*(1-Inputs!$B$18*EXP(-Inputs!$B$21*Inputs!$B$14*Inputs!$B$17/(Inputs!$B$22*Inputs!$B$23*Inputs!$B$24*DY6*Inputs!$B$16))*Inputs!$B$19)</f>
        <v>0.026906227846849</v>
      </c>
      <c r="EG6" s="15" t="n">
        <f aca="false">(EE6-EF6)*(1-EXP(-Inputs!$B$25*Inputs!$B$14*Inputs!$B$17*Inputs!$B$26/(DY6*Inputs!$B$16/0.866)))</f>
        <v>0.00836769414655879</v>
      </c>
      <c r="EH6" s="15" t="n">
        <f aca="false">(EE6-EF6-EG6)*(1-Inputs!$B$19)</f>
        <v>0.00327386130914109</v>
      </c>
      <c r="EI6" s="15" t="n">
        <f aca="false">(EB6+EC6+ED6+EF6+EG6+EH6)*(1+Inputs!$B$27)</f>
        <v>0.349547104279366</v>
      </c>
      <c r="EJ6" s="15" t="n">
        <f aca="false">Inputs!$B$52/(1-EI6-G6)</f>
        <v>226243.723033168</v>
      </c>
      <c r="EK6" s="15" t="n">
        <f aca="false">EJ6/Inputs!$B$34</f>
        <v>377.072871721947</v>
      </c>
      <c r="EL6" s="15" t="n">
        <f aca="false">B6^2/EK6</f>
        <v>8.31669482261902</v>
      </c>
      <c r="EM6" s="15" t="n">
        <f aca="false">Inputs!$B$54*H6/(Inputs!$B$35*F6+E6*H6^2/(PI()*EL6*Inputs!$B$36))</f>
        <v>16.4154082817914</v>
      </c>
      <c r="EN6" s="15" t="n">
        <f aca="false">EXP(-Inputs!$B$11*Inputs!$B$14*Inputs!$B$17/(Inputs!$B$51*EM6*Inputs!$B$16))</f>
        <v>0.716679863224693</v>
      </c>
      <c r="EO6" s="15" t="n">
        <f aca="false">Inputs!$B$50*Inputs!$B$18*EN6*Inputs!$B$19</f>
        <v>0.700285259074909</v>
      </c>
      <c r="EP6" s="15" t="n">
        <f aca="false">1-EO6</f>
        <v>0.299714740925091</v>
      </c>
      <c r="EQ6" s="15" t="n">
        <f aca="false">Inputs!$B$20*EP6</f>
        <v>0.00899144222775274</v>
      </c>
      <c r="ER6" s="15" t="n">
        <f aca="false">0.8*(1-Inputs!$B$50)*(EO6-EQ6)</f>
        <v>0.0016650558176086</v>
      </c>
      <c r="ES6" s="15" t="n">
        <f aca="false">EO6-EQ6-ER6</f>
        <v>0.689628761029547</v>
      </c>
      <c r="ET6" s="15" t="n">
        <f aca="false">ES6*(1-Inputs!$B$18*EXP(-Inputs!$B$21*Inputs!$B$14*Inputs!$B$17/(Inputs!$B$22*Inputs!$B$23*Inputs!$B$24*EM6*Inputs!$B$16))*Inputs!$B$19)</f>
        <v>0.0269126581612829</v>
      </c>
      <c r="EU6" s="15" t="n">
        <f aca="false">(ES6-ET6)*(1-EXP(-Inputs!$B$25*Inputs!$B$14*Inputs!$B$17*Inputs!$B$26/(EM6*Inputs!$B$16/0.866)))</f>
        <v>0.00837683677893264</v>
      </c>
      <c r="EV6" s="15" t="n">
        <f aca="false">(ES6-ET6-EU6)*(1-Inputs!$B$19)</f>
        <v>0.00327169633044666</v>
      </c>
      <c r="EW6" s="15" t="n">
        <f aca="false">(EP6+EQ6+ER6+ET6+EU6+EV6)*(1+Inputs!$B$27)</f>
        <v>0.349979227531838</v>
      </c>
      <c r="EX6" s="15" t="n">
        <f aca="false">Inputs!$B$52/(1-EW6-G6)</f>
        <v>226923.730323734</v>
      </c>
      <c r="EY6" s="15" t="n">
        <f aca="false">EX6/Inputs!$B$34</f>
        <v>378.206217206223</v>
      </c>
      <c r="EZ6" s="15" t="n">
        <f aca="false">B6^2/EY6</f>
        <v>8.29177273489941</v>
      </c>
      <c r="FA6" s="15" t="n">
        <f aca="false">Inputs!$B$54*H6/(Inputs!$B$35*F6+E6*H6^2/(PI()*EZ6*Inputs!$B$36))</f>
        <v>16.3950569297397</v>
      </c>
      <c r="FB6" s="15" t="n">
        <f aca="false">EXP(-Inputs!$B$11*Inputs!$B$14*Inputs!$B$17/(Inputs!$B$51*FA6*Inputs!$B$16))</f>
        <v>0.716383568224503</v>
      </c>
      <c r="FC6" s="15" t="n">
        <f aca="false">Inputs!$B$50*Inputs!$B$18*FB6*Inputs!$B$19</f>
        <v>0.699995742051175</v>
      </c>
      <c r="FD6" s="15" t="n">
        <f aca="false">1-FC6</f>
        <v>0.300004257948825</v>
      </c>
      <c r="FE6" s="15" t="n">
        <f aca="false">Inputs!$B$20*FD6</f>
        <v>0.00900012773846474</v>
      </c>
      <c r="FF6" s="15" t="n">
        <f aca="false">0.8*(1-Inputs!$B$50)*(FC6-FE6)</f>
        <v>0.00166433756459851</v>
      </c>
      <c r="FG6" s="15" t="n">
        <f aca="false">FC6-FE6-FF6</f>
        <v>0.689331276748112</v>
      </c>
      <c r="FH6" s="15" t="n">
        <f aca="false">FG6*(1-Inputs!$B$18*EXP(-Inputs!$B$21*Inputs!$B$14*Inputs!$B$17/(Inputs!$B$22*Inputs!$B$23*Inputs!$B$24*FA6*Inputs!$B$16))*Inputs!$B$19)</f>
        <v>0.0269172316335476</v>
      </c>
      <c r="FI6" s="15" t="n">
        <f aca="false">(FG6-FH6)*(1-EXP(-Inputs!$B$25*Inputs!$B$14*Inputs!$B$17*Inputs!$B$26/(FA6*Inputs!$B$16/0.866)))</f>
        <v>0.00838334618693598</v>
      </c>
      <c r="FJ6" s="15" t="n">
        <f aca="false">(FG6-FH6-FI6)*(1-Inputs!$B$19)</f>
        <v>0.00327015349463815</v>
      </c>
      <c r="FK6" s="15" t="n">
        <f aca="false">(FD6+FE6+FF6+FH6+FI6+FJ6)*(1+Inputs!$B$27)</f>
        <v>0.350287172930711</v>
      </c>
      <c r="FL6" s="15" t="n">
        <f aca="false">Inputs!$B$52/(1-FK6-G6)</f>
        <v>227410.825971266</v>
      </c>
      <c r="FM6" s="15" t="n">
        <f aca="false">FL6/Inputs!$B$34</f>
        <v>379.018043285443</v>
      </c>
      <c r="FN6" s="15" t="n">
        <f aca="false">B6^2/FM6</f>
        <v>8.27401242646973</v>
      </c>
      <c r="FO6" s="15" t="n">
        <f aca="false">Inputs!$B$54*H6/(Inputs!$B$35*F6+E6*H6^2/(PI()*FN6*Inputs!$B$36))</f>
        <v>16.3805100556828</v>
      </c>
      <c r="FP6" s="15" t="n">
        <f aca="false">EXP(-Inputs!$B$11*Inputs!$B$14*Inputs!$B$17/(Inputs!$B$51*FO6*Inputs!$B$16))</f>
        <v>0.716171404618248</v>
      </c>
      <c r="FQ6" s="15" t="n">
        <f aca="false">Inputs!$B$50*Inputs!$B$18*FP6*Inputs!$B$19</f>
        <v>0.699788431850908</v>
      </c>
      <c r="FR6" s="15" t="n">
        <f aca="false">1-FQ6</f>
        <v>0.300211568149092</v>
      </c>
      <c r="FS6" s="15" t="n">
        <f aca="false">Inputs!$B$20*FR6</f>
        <v>0.00900634704447277</v>
      </c>
      <c r="FT6" s="15" t="n">
        <f aca="false">0.8*(1-Inputs!$B$50)*(FQ6-FS6)</f>
        <v>0.00166382325572146</v>
      </c>
      <c r="FU6" s="15" t="n">
        <f aca="false">FQ6-FS6-FT6</f>
        <v>0.689118261550713</v>
      </c>
      <c r="FV6" s="15" t="n">
        <f aca="false">FU6*(1-Inputs!$B$18*EXP(-Inputs!$B$21*Inputs!$B$14*Inputs!$B$17/(Inputs!$B$22*Inputs!$B$23*Inputs!$B$24*FO6*Inputs!$B$16))*Inputs!$B$19)</f>
        <v>0.0269205017796205</v>
      </c>
      <c r="FW6" s="15" t="n">
        <f aca="false">(FU6-FV6)*(1-EXP(-Inputs!$B$25*Inputs!$B$14*Inputs!$B$17*Inputs!$B$26/(FO6*Inputs!$B$16/0.866)))</f>
        <v>0.00838800407965566</v>
      </c>
      <c r="FX6" s="15" t="n">
        <f aca="false">(FU6-FV6-FW6)*(1-Inputs!$B$19)</f>
        <v>0.00326904877845719</v>
      </c>
      <c r="FY6" s="15" t="n">
        <f aca="false">(FR6+FS6+FT6+FV6+FW6+FX6)*(1+Inputs!$B$27)</f>
        <v>0.350507670966281</v>
      </c>
      <c r="FZ6" s="15" t="n">
        <f aca="false">Inputs!$B$52/(1-FY6-G6)</f>
        <v>227760.887581772</v>
      </c>
      <c r="GA6" s="15" t="n">
        <f aca="false">FZ6/Inputs!$B$34</f>
        <v>379.601479302953</v>
      </c>
      <c r="GB6" s="15" t="n">
        <f aca="false">B6^2/GA6</f>
        <v>8.26129551907573</v>
      </c>
      <c r="GC6" s="15" t="n">
        <f aca="false">Inputs!$B$54*H6/(Inputs!$B$35*F6+E6*H6^2/(PI()*GB6*Inputs!$B$36))</f>
        <v>16.3700715684236</v>
      </c>
      <c r="GD6" s="15" t="n">
        <f aca="false">EXP(-Inputs!$B$11*Inputs!$B$14*Inputs!$B$17/(Inputs!$B$51*GC6*Inputs!$B$16))</f>
        <v>0.716018967552273</v>
      </c>
      <c r="GE6" s="15" t="n">
        <f aca="false">Inputs!$B$50*Inputs!$B$18*GD6*Inputs!$B$19</f>
        <v>0.699639481900286</v>
      </c>
      <c r="GF6" s="15" t="n">
        <f aca="false">1-GE6</f>
        <v>0.300360518099714</v>
      </c>
      <c r="GG6" s="15" t="n">
        <f aca="false">Inputs!$B$20*GF6</f>
        <v>0.00901081554299142</v>
      </c>
      <c r="GH6" s="15" t="n">
        <f aca="false">0.8*(1-Inputs!$B$50)*(GE6-GG6)</f>
        <v>0.00166345373081751</v>
      </c>
      <c r="GI6" s="15" t="n">
        <f aca="false">GE6-GG6-GH6</f>
        <v>0.688965212626477</v>
      </c>
      <c r="GJ6" s="15" t="n">
        <f aca="false">GI6*(1-Inputs!$B$18*EXP(-Inputs!$B$21*Inputs!$B$14*Inputs!$B$17/(Inputs!$B$22*Inputs!$B$23*Inputs!$B$24*GC6*Inputs!$B$16))*Inputs!$B$19)</f>
        <v>0.0269228489123724</v>
      </c>
      <c r="GK6" s="15" t="n">
        <f aca="false">(GI6-GJ6)*(1-EXP(-Inputs!$B$25*Inputs!$B$14*Inputs!$B$17*Inputs!$B$26/(GC6*Inputs!$B$16/0.866)))</f>
        <v>0.00839134907015619</v>
      </c>
      <c r="GL6" s="15" t="n">
        <f aca="false">(GI6-GJ6-GK6)*(1-Inputs!$B$19)</f>
        <v>0.00326825507321975</v>
      </c>
      <c r="GM6" s="15" t="n">
        <f aca="false">(GF6+GG6+GH6+GJ6+GK6+GL6)*(1+Inputs!$B$27)</f>
        <v>0.350666092150559</v>
      </c>
      <c r="GN6" s="15" t="n">
        <f aca="false">Inputs!$B$52/(1-GM6-G6)</f>
        <v>228013.062337726</v>
      </c>
      <c r="GO6" s="15" t="n">
        <f aca="false">GN6/Inputs!$B$34</f>
        <v>380.021770562877</v>
      </c>
      <c r="GP6" s="15" t="n">
        <f aca="false">B6^2/GO6</f>
        <v>8.25215880488914</v>
      </c>
      <c r="GQ6" s="15" t="n">
        <f aca="false">Inputs!$B$54*H6/(Inputs!$B$35*F6+E6*H6^2/(PI()*GP6*Inputs!$B$36))</f>
        <v>16.3625602093219</v>
      </c>
      <c r="GR6" s="15" t="n">
        <f aca="false">EXP(-Inputs!$B$11*Inputs!$B$14*Inputs!$B$17/(Inputs!$B$51*GQ6*Inputs!$B$16))</f>
        <v>0.715909176188492</v>
      </c>
      <c r="GS6" s="15" t="n">
        <f aca="false">Inputs!$B$50*Inputs!$B$18*GR6*Inputs!$B$19</f>
        <v>0.699532202098558</v>
      </c>
      <c r="GT6" s="15" t="n">
        <f aca="false">1-GS6</f>
        <v>0.300467797901442</v>
      </c>
      <c r="GU6" s="15" t="n">
        <f aca="false">Inputs!$B$20*GT6</f>
        <v>0.00901403393704327</v>
      </c>
      <c r="GV6" s="15" t="n">
        <f aca="false">0.8*(1-Inputs!$B$50)*(GS6-GU6)</f>
        <v>0.00166318758397917</v>
      </c>
      <c r="GW6" s="15" t="n">
        <f aca="false">GS6-GU6-GV6</f>
        <v>0.688854980577535</v>
      </c>
      <c r="GX6" s="15" t="n">
        <f aca="false">GW6*(1-Inputs!$B$18*EXP(-Inputs!$B$21*Inputs!$B$14*Inputs!$B$17/(Inputs!$B$22*Inputs!$B$23*Inputs!$B$24*GQ6*Inputs!$B$16))*Inputs!$B$19)</f>
        <v>0.0269245381542031</v>
      </c>
      <c r="GY6" s="15" t="n">
        <f aca="false">(GW6-GX6)*(1-EXP(-Inputs!$B$25*Inputs!$B$14*Inputs!$B$17*Inputs!$B$26/(GQ6*Inputs!$B$16/0.866)))</f>
        <v>0.00839375741278893</v>
      </c>
      <c r="GZ6" s="15" t="n">
        <f aca="false">(GW6-GX6-GY6)*(1-Inputs!$B$19)</f>
        <v>0.00326768342505272</v>
      </c>
      <c r="HA6" s="15" t="n">
        <f aca="false">(GT6+GU6+GV6+GX6+GY6+GZ6)*(1+Inputs!$B$27)</f>
        <v>0.350780191409753</v>
      </c>
      <c r="HB6" s="15" t="n">
        <f aca="false">Inputs!$B$52/(1-HA6-G6)</f>
        <v>228195.031676258</v>
      </c>
      <c r="HC6" s="15" t="n">
        <f aca="false">HB6/Inputs!$B$34</f>
        <v>380.325052793764</v>
      </c>
      <c r="HD6" s="15" t="n">
        <f aca="false">B6^2/HC6</f>
        <v>8.24557829405084</v>
      </c>
      <c r="HE6" s="15" t="n">
        <f aca="false">Inputs!$B$54*H6/(Inputs!$B$35*F6+E6*H6^2/(PI()*HD6*Inputs!$B$36))</f>
        <v>16.3571442918367</v>
      </c>
      <c r="HF6" s="15" t="n">
        <f aca="false">EXP(-Inputs!$B$11*Inputs!$B$14*Inputs!$B$17/(Inputs!$B$51*HE6*Inputs!$B$16))</f>
        <v>0.715829961182544</v>
      </c>
      <c r="HG6" s="15" t="n">
        <f aca="false">Inputs!$B$50*Inputs!$B$18*HF6*Inputs!$B$19</f>
        <v>0.699454799196915</v>
      </c>
      <c r="HH6" s="15" t="n">
        <f aca="false">1-HG6</f>
        <v>0.300545200803085</v>
      </c>
      <c r="HI6" s="15" t="n">
        <f aca="false">Inputs!$B$20*HH6</f>
        <v>0.00901635602409256</v>
      </c>
      <c r="HJ6" s="15" t="n">
        <f aca="false">0.8*(1-Inputs!$B$50)*(HG6-HI6)</f>
        <v>0.00166299555773361</v>
      </c>
      <c r="HK6" s="15" t="n">
        <f aca="false">HG6-HI6-HJ6</f>
        <v>0.688775447615088</v>
      </c>
      <c r="HL6" s="15" t="n">
        <f aca="false">HK6*(1-Inputs!$B$18*EXP(-Inputs!$B$21*Inputs!$B$14*Inputs!$B$17/(Inputs!$B$22*Inputs!$B$23*Inputs!$B$24*HE6*Inputs!$B$16))*Inputs!$B$19)</f>
        <v>0.0269257562958911</v>
      </c>
      <c r="HM6" s="15" t="n">
        <f aca="false">(HK6-HL6)*(1-EXP(-Inputs!$B$25*Inputs!$B$14*Inputs!$B$17*Inputs!$B$26/(HE6*Inputs!$B$16/0.866)))</f>
        <v>0.00839549459891018</v>
      </c>
      <c r="HN6" s="15" t="n">
        <f aca="false">(HK6-HL6-HM6)*(1-Inputs!$B$19)</f>
        <v>0.00326727098360144</v>
      </c>
      <c r="HO6" s="15" t="n">
        <f aca="false">(HH6+HI6+HJ6+HL6+HM6+HN6)*(1+Inputs!$B$27)</f>
        <v>0.350862513486104</v>
      </c>
      <c r="HP6" s="15" t="n">
        <f aca="false">Inputs!$B$52/(1-HO6-G6)</f>
        <v>228326.502172933</v>
      </c>
      <c r="HQ6" s="15" t="n">
        <f aca="false">HP6/Inputs!$B$34</f>
        <v>380.544170288222</v>
      </c>
      <c r="HR6" s="15" t="n">
        <f aca="false">B6^2/HQ6</f>
        <v>8.24083048657614</v>
      </c>
      <c r="HS6" s="15" t="n">
        <f aca="false">Inputs!$B$54*H6/(Inputs!$B$35*F6+E6*H6^2/(PI()*HR6*Inputs!$B$36))</f>
        <v>16.353233591769</v>
      </c>
      <c r="HT6" s="15" t="n">
        <f aca="false">EXP(-Inputs!$B$11*Inputs!$B$14*Inputs!$B$17/(Inputs!$B$51*HS6*Inputs!$B$16))</f>
        <v>0.715772734817961</v>
      </c>
      <c r="HU6" s="15" t="n">
        <f aca="false">Inputs!$B$50*Inputs!$B$18*HT6*Inputs!$B$19</f>
        <v>0.69939888192952</v>
      </c>
      <c r="HV6" s="15" t="n">
        <f aca="false">1-HU6</f>
        <v>0.30060111807048</v>
      </c>
      <c r="HW6" s="15" t="n">
        <f aca="false">Inputs!$B$20*HV6</f>
        <v>0.0090180335421144</v>
      </c>
      <c r="HX6" s="15" t="n">
        <f aca="false">0.8*(1-Inputs!$B$50)*(HU6-HW6)</f>
        <v>0.00166285683447269</v>
      </c>
      <c r="HY6" s="15" t="n">
        <f aca="false">HU6-HW6-HX6</f>
        <v>0.688717991552933</v>
      </c>
      <c r="HZ6" s="15" t="n">
        <f aca="false">HY6*(1-Inputs!$B$18*EXP(-Inputs!$B$21*Inputs!$B$14*Inputs!$B$17/(Inputs!$B$22*Inputs!$B$23*Inputs!$B$24*HS6*Inputs!$B$16))*Inputs!$B$19)</f>
        <v>0.0269266359622643</v>
      </c>
      <c r="IA6" s="15" t="n">
        <f aca="false">(HY6-HZ6)*(1-EXP(-Inputs!$B$25*Inputs!$B$14*Inputs!$B$17*Inputs!$B$26/(HS6*Inputs!$B$16/0.866)))</f>
        <v>0.00839674934181369</v>
      </c>
      <c r="IB6" s="15" t="n">
        <f aca="false">(HY6-HZ6-IA6)*(1-Inputs!$B$19)</f>
        <v>0.00326697303124428</v>
      </c>
      <c r="IC6" s="15" t="n">
        <f aca="false">(HV6+HW6+HX6+HZ6+IA6+IB6)*(1+Inputs!$B$27)</f>
        <v>0.350921983882736</v>
      </c>
      <c r="ID6" s="15" t="n">
        <f aca="false">Inputs!$B$52/(1-IC6-G6)</f>
        <v>228421.57223002</v>
      </c>
      <c r="IE6" s="15" t="n">
        <f aca="false">ID6/Inputs!$B$34</f>
        <v>380.702620383367</v>
      </c>
      <c r="IF6" s="15" t="n">
        <f aca="false">B6^2/IE6</f>
        <v>8.23740061689634</v>
      </c>
      <c r="IG6" s="15" t="n">
        <f aca="false">Inputs!$B$54*H6/(Inputs!$B$35*F6+E6*H6^2/(PI()*IF6*Inputs!$B$36))</f>
        <v>16.3504068180946</v>
      </c>
      <c r="IH6" s="15" t="n">
        <f aca="false">EXP(-Inputs!$B$11*Inputs!$B$14*Inputs!$B$17/(Inputs!$B$51*IG6*Inputs!$B$16))</f>
        <v>0.715731355655665</v>
      </c>
      <c r="II6" s="15" t="n">
        <f aca="false">Inputs!$B$50*Inputs!$B$18*IH6*Inputs!$B$19</f>
        <v>0.699358449347449</v>
      </c>
      <c r="IJ6" s="15" t="n">
        <f aca="false">1-II6</f>
        <v>0.300641550652552</v>
      </c>
      <c r="IK6" s="15" t="n">
        <f aca="false">Inputs!$B$20*IJ6</f>
        <v>0.00901924651957655</v>
      </c>
      <c r="IL6" s="15" t="n">
        <f aca="false">0.8*(1-Inputs!$B$50)*(II6-IK6)</f>
        <v>0.00166275652664484</v>
      </c>
      <c r="IM6" s="15" t="n">
        <f aca="false">II6-IK6-IL6</f>
        <v>0.688676446301227</v>
      </c>
      <c r="IN6" s="15" t="n">
        <f aca="false">IM6*(1-Inputs!$B$18*EXP(-Inputs!$B$21*Inputs!$B$14*Inputs!$B$17/(Inputs!$B$22*Inputs!$B$23*Inputs!$B$24*IG6*Inputs!$B$16))*Inputs!$B$19)</f>
        <v>0.0269272718518217</v>
      </c>
      <c r="IO6" s="15" t="n">
        <f aca="false">(IM6-IN6)*(1-EXP(-Inputs!$B$25*Inputs!$B$14*Inputs!$B$17*Inputs!$B$26/(IG6*Inputs!$B$16/0.866)))</f>
        <v>0.00839765649835869</v>
      </c>
      <c r="IP6" s="15" t="n">
        <f aca="false">(IM6-IN6-IO6)*(1-Inputs!$B$19)</f>
        <v>0.00326675758975524</v>
      </c>
      <c r="IQ6" s="15" t="n">
        <f aca="false">(IJ6+IK6+IL6+IN6+IO6+IP6)*(1+Inputs!$B$27)</f>
        <v>0.350964985357625</v>
      </c>
      <c r="IR6" s="15" t="n">
        <f aca="false">Inputs!$B$52/(1-IQ6-G6)</f>
        <v>228490.364214436</v>
      </c>
      <c r="IS6" s="15" t="n">
        <f aca="false">IR6/Inputs!$B$34</f>
        <v>380.817273690727</v>
      </c>
      <c r="IT6" s="15" t="n">
        <f aca="false">B6^2/IS6</f>
        <v>8.23492056861591</v>
      </c>
      <c r="IU6" s="15" t="n">
        <f aca="false">Inputs!$B$54*H6/(Inputs!$B$35*F6+E6*H6^2/(PI()*IT6*Inputs!$B$36))</f>
        <v>16.348361995072</v>
      </c>
      <c r="IV6" s="15" t="n">
        <f aca="false">EXP(-Inputs!$B$11*Inputs!$B$14*Inputs!$B$17/(Inputs!$B$51*IU6*Inputs!$B$16))</f>
        <v>0.715701415494099</v>
      </c>
      <c r="IW6" s="15" t="n">
        <f aca="false">Inputs!$B$50*Inputs!$B$18*IV6*Inputs!$B$19</f>
        <v>0.699329194090151</v>
      </c>
      <c r="IX6" s="15" t="n">
        <f aca="false">1-IW6</f>
        <v>0.30067080590985</v>
      </c>
      <c r="IY6" s="15" t="n">
        <f aca="false">Inputs!$B$20*IX6</f>
        <v>0.00902012417729549</v>
      </c>
      <c r="IZ6" s="15" t="n">
        <f aca="false">0.8*(1-Inputs!$B$50)*(IW6-IY6)</f>
        <v>0.00166268394826466</v>
      </c>
      <c r="JA6" s="15" t="n">
        <f aca="false">IW6-IY6-IZ6</f>
        <v>0.68864638596459</v>
      </c>
      <c r="JB6" s="15" t="n">
        <f aca="false">JA6*(1-Inputs!$B$18*EXP(-Inputs!$B$21*Inputs!$B$14*Inputs!$B$17/(Inputs!$B$22*Inputs!$B$23*Inputs!$B$24*IU6*Inputs!$B$16))*Inputs!$B$19)</f>
        <v>0.0269277318604645</v>
      </c>
      <c r="JC6" s="15" t="n">
        <f aca="false">(JA6-JB6)*(1-EXP(-Inputs!$B$25*Inputs!$B$14*Inputs!$B$17*Inputs!$B$26/(IU6*Inputs!$B$16/0.866)))</f>
        <v>0.00839831281390648</v>
      </c>
      <c r="JD6" s="15" t="n">
        <f aca="false">(JA6-JB6-JC6)*(1-Inputs!$B$19)</f>
        <v>0.0032666017064511</v>
      </c>
      <c r="JE6" s="15" t="n">
        <f aca="false">(IX6+IY6+IZ6+JB6+JC6+JD6)*(1+Inputs!$B$27)</f>
        <v>0.35099609919748</v>
      </c>
      <c r="JF6" s="15" t="n">
        <f aca="false">Inputs!$B$52/(1-JE6-G6)</f>
        <v>228540.164693168</v>
      </c>
      <c r="JG6" s="15" t="n">
        <f aca="false">JF6/Inputs!$B$34</f>
        <v>380.900274488613</v>
      </c>
      <c r="JH6" s="15" t="n">
        <f aca="false">B6^2/JG6</f>
        <v>8.233126122606</v>
      </c>
      <c r="JI6" s="15" t="n">
        <f aca="false">Inputs!$B$54*H6/(Inputs!$B$35*F6+E6*H6^2/(PI()*JH6*Inputs!$B$36))</f>
        <v>16.3468820085127</v>
      </c>
      <c r="JJ6" s="15" t="n">
        <f aca="false">EXP(-Inputs!$B$11*Inputs!$B$14*Inputs!$B$17/(Inputs!$B$51*JI6*Inputs!$B$16))</f>
        <v>0.715679741739096</v>
      </c>
      <c r="JK6" s="15" t="n">
        <f aca="false">Inputs!$B$50*Inputs!$B$18*JJ6*Inputs!$B$19</f>
        <v>0.699308016138995</v>
      </c>
      <c r="JL6" s="15" t="n">
        <f aca="false">1-JK6</f>
        <v>0.300691983861005</v>
      </c>
      <c r="JM6" s="15" t="n">
        <f aca="false">Inputs!$B$20*JL6</f>
        <v>0.00902075951583014</v>
      </c>
      <c r="JN6" s="15" t="n">
        <f aca="false">0.8*(1-Inputs!$B$50)*(JK6-JM6)</f>
        <v>0.00166263140860061</v>
      </c>
      <c r="JO6" s="15" t="n">
        <f aca="false">JK6-JM6-JN6</f>
        <v>0.688624625214565</v>
      </c>
      <c r="JP6" s="15" t="n">
        <f aca="false">JO6*(1-Inputs!$B$18*EXP(-Inputs!$B$21*Inputs!$B$14*Inputs!$B$17/(Inputs!$B$22*Inputs!$B$23*Inputs!$B$24*JI6*Inputs!$B$16))*Inputs!$B$19)</f>
        <v>0.0269280648129074</v>
      </c>
      <c r="JQ6" s="15" t="n">
        <f aca="false">(JO6-JP6)*(1-EXP(-Inputs!$B$25*Inputs!$B$14*Inputs!$B$17*Inputs!$B$26/(JI6*Inputs!$B$16/0.866)))</f>
        <v>0.00839878788906308</v>
      </c>
      <c r="JR6" s="15" t="n">
        <f aca="false">(JO6-JP6-JQ6)*(1-Inputs!$B$19)</f>
        <v>0.00326648886256297</v>
      </c>
      <c r="JS6" s="15" t="n">
        <f aca="false">(JL6+JM6+JN6+JP6+JQ6+JR6)*(1+Inputs!$B$27)</f>
        <v>0.351018622499019</v>
      </c>
      <c r="JT6" s="15" t="n">
        <f aca="false">Inputs!$B$52/(1-JS6-G6)</f>
        <v>228576.228795772</v>
      </c>
      <c r="JU6" s="15" t="n">
        <f aca="false">JT6/Inputs!$B$34</f>
        <v>380.960381326287</v>
      </c>
      <c r="JV6" s="15" t="n">
        <f aca="false">B6^2/JU6</f>
        <v>8.23182712355084</v>
      </c>
      <c r="JW6" s="15" t="n">
        <f aca="false">Inputs!$B$54*H6/(Inputs!$B$35*F6+E6*H6^2/(PI()*JV6*Inputs!$B$36))</f>
        <v>16.3458104112503</v>
      </c>
      <c r="JX6" s="15" t="n">
        <f aca="false">EXP(-Inputs!$B$11*Inputs!$B$14*Inputs!$B$17/(Inputs!$B$51*JW6*Inputs!$B$16))</f>
        <v>0.715664046626561</v>
      </c>
      <c r="JY6" s="15" t="n">
        <f aca="false">Inputs!$B$50*Inputs!$B$18*JX6*Inputs!$B$19</f>
        <v>0.699292680064254</v>
      </c>
      <c r="JZ6" s="15" t="n">
        <f aca="false">1-JY6</f>
        <v>0.300707319935746</v>
      </c>
      <c r="KA6" s="15" t="n">
        <f aca="false">Inputs!$B$20*JZ6</f>
        <v>0.00902121959807237</v>
      </c>
      <c r="KB6" s="15" t="n">
        <f aca="false">0.8*(1-Inputs!$B$50)*(JY6-KA6)</f>
        <v>0.00166259336185053</v>
      </c>
      <c r="KC6" s="15" t="n">
        <f aca="false">JY6-KA6-KB6</f>
        <v>0.688608867104331</v>
      </c>
      <c r="KD6" s="15" t="n">
        <f aca="false">KC6*(1-Inputs!$B$18*EXP(-Inputs!$B$21*Inputs!$B$14*Inputs!$B$17/(Inputs!$B$22*Inputs!$B$23*Inputs!$B$24*JW6*Inputs!$B$16))*Inputs!$B$19)</f>
        <v>0.0269283058957351</v>
      </c>
      <c r="KE6" s="15" t="n">
        <f aca="false">(KC6-KD6)*(1-EXP(-Inputs!$B$25*Inputs!$B$14*Inputs!$B$17*Inputs!$B$26/(JW6*Inputs!$B$16/0.866)))</f>
        <v>0.00839913189868334</v>
      </c>
      <c r="KF6" s="15" t="n">
        <f aca="false">(KC6-KD6-KE6)*(1-Inputs!$B$19)</f>
        <v>0.00326640714654957</v>
      </c>
      <c r="KG6" s="15" t="n">
        <f aca="false">(JZ6+KA6+KB6+KD6+KE6+KF6)*(1+Inputs!$B$27)</f>
        <v>0.351034932770147</v>
      </c>
      <c r="KH6" s="15" t="n">
        <f aca="false">Inputs!$B$52/(1-KG6-G6)</f>
        <v>228602.351757681</v>
      </c>
      <c r="KI6" s="15" t="n">
        <f aca="false">KH6/Inputs!$B$34</f>
        <v>381.003919596134</v>
      </c>
      <c r="KJ6" s="15" t="n">
        <f aca="false">B6^2/KI6</f>
        <v>8.23088645209785</v>
      </c>
      <c r="KK6" s="15" t="n">
        <f aca="false">Inputs!$B$54*H6/(Inputs!$B$35*F6+E6*H6^2/(PI()*KJ6*Inputs!$B$36))</f>
        <v>16.3450342896138</v>
      </c>
      <c r="KL6" s="15" t="n">
        <f aca="false">EXP(-Inputs!$B$11*Inputs!$B$14*Inputs!$B$17/(Inputs!$B$51*KK6*Inputs!$B$16))</f>
        <v>0.715652678117572</v>
      </c>
      <c r="KM6" s="15" t="n">
        <f aca="false">Inputs!$B$50*Inputs!$B$18*KL6*Inputs!$B$19</f>
        <v>0.699281571618669</v>
      </c>
      <c r="KN6" s="15" t="n">
        <f aca="false">1-KM6</f>
        <v>0.300718428381331</v>
      </c>
      <c r="KO6" s="15" t="n">
        <f aca="false">Inputs!$B$20*KN6</f>
        <v>0.00902155285143993</v>
      </c>
      <c r="KP6" s="15" t="n">
        <f aca="false">0.8*(1-Inputs!$B$50)*(KM6-KO6)</f>
        <v>0.0016625658032829</v>
      </c>
      <c r="KQ6" s="15" t="n">
        <f aca="false">KM6-KO6-KP6</f>
        <v>0.688597452963946</v>
      </c>
      <c r="KR6" s="15" t="n">
        <f aca="false">KQ6*(1-Inputs!$B$18*EXP(-Inputs!$B$21*Inputs!$B$14*Inputs!$B$17/(Inputs!$B$22*Inputs!$B$23*Inputs!$B$24*KK6*Inputs!$B$16))*Inputs!$B$19)</f>
        <v>0.0269284805068505</v>
      </c>
      <c r="KS6" s="15" t="n">
        <f aca="false">(KQ6-KR6)*(1-EXP(-Inputs!$B$25*Inputs!$B$14*Inputs!$B$17*Inputs!$B$26/(KK6*Inputs!$B$16/0.866)))</f>
        <v>0.00839938106752007</v>
      </c>
      <c r="KT6" s="15" t="n">
        <f aca="false">(KQ6-KR6-KS6)*(1-Inputs!$B$19)</f>
        <v>0.00326634795694788</v>
      </c>
      <c r="KU6" s="15" t="n">
        <f aca="false">(KN6+KO6+KP6+KR6+KS6+KT6)*(1+Inputs!$B$27)</f>
        <v>0.351046746837074</v>
      </c>
      <c r="KV6" s="15" t="n">
        <f aca="false">Inputs!$B$52/(1-KU6-G6)</f>
        <v>228621.277209089</v>
      </c>
      <c r="KW6" s="15" t="n">
        <f aca="false">KV6/Inputs!$B$34</f>
        <v>381.035462015148</v>
      </c>
      <c r="KX6" s="15" t="n">
        <f aca="false">B6^2/KW6</f>
        <v>8.23020509276202</v>
      </c>
      <c r="KY6" s="15" t="n">
        <f aca="false">Inputs!$B$54*H6/(Inputs!$B$35*F6+E6*H6^2/(PI()*KX6*Inputs!$B$36))</f>
        <v>16.3444720543775</v>
      </c>
      <c r="KZ6" s="15" t="n">
        <f aca="false">EXP(-Inputs!$B$11*Inputs!$B$14*Inputs!$B$17/(Inputs!$B$51*KY6*Inputs!$B$16))</f>
        <v>0.715644442021747</v>
      </c>
      <c r="LA6" s="15" t="n">
        <f aca="false">Inputs!$B$50*Inputs!$B$18*KZ6*Inputs!$B$19</f>
        <v>0.699273523929883</v>
      </c>
      <c r="LB6" s="15" t="n">
        <f aca="false">1-LA6</f>
        <v>0.300726476070117</v>
      </c>
      <c r="LC6" s="15" t="n">
        <f aca="false">Inputs!$B$20*LB6</f>
        <v>0.00902179428210351</v>
      </c>
      <c r="LD6" s="15" t="n">
        <f aca="false">0.8*(1-Inputs!$B$50)*(LA6-LC6)</f>
        <v>0.00166254583804348</v>
      </c>
      <c r="LE6" s="15" t="n">
        <f aca="false">LA6-LC6-LD6</f>
        <v>0.688589183809736</v>
      </c>
      <c r="LF6" s="15" t="n">
        <f aca="false">LE6*(1-Inputs!$B$18*EXP(-Inputs!$B$21*Inputs!$B$14*Inputs!$B$17/(Inputs!$B$22*Inputs!$B$23*Inputs!$B$24*KY6*Inputs!$B$16))*Inputs!$B$19)</f>
        <v>0.0269286069995684</v>
      </c>
      <c r="LG6" s="15" t="n">
        <f aca="false">(LE6-LF6)*(1-EXP(-Inputs!$B$25*Inputs!$B$14*Inputs!$B$17*Inputs!$B$26/(KY6*Inputs!$B$16/0.866)))</f>
        <v>0.00839956157701862</v>
      </c>
      <c r="LH6" s="15" t="n">
        <f aca="false">(LE6-LF6-LG6)*(1-Inputs!$B$19)</f>
        <v>0.00326630507616575</v>
      </c>
      <c r="LI6" s="15" t="n">
        <f aca="false">(LB6+LC6+LD6+LF6+LG6+LH6)*(1+Inputs!$B$27)</f>
        <v>0.351055305712546</v>
      </c>
      <c r="LJ6" s="15" t="n">
        <f aca="false">Inputs!$B$52/(1-LI6-G6)</f>
        <v>228634.989989732</v>
      </c>
      <c r="LK6" s="15" t="n">
        <f aca="false">LJ6/Inputs!$B$34</f>
        <v>381.058316649554</v>
      </c>
      <c r="LL6" s="15" t="n">
        <f aca="false">B6^2/LK6</f>
        <v>8.22971147191644</v>
      </c>
      <c r="LM6" s="15" t="n">
        <f aca="false">Inputs!$B$54*H6/(Inputs!$B$35*F6+E6*H6^2/(PI()*LL6*Inputs!$B$36))</f>
        <v>16.3440647007586</v>
      </c>
      <c r="LN6" s="15" t="n">
        <f aca="false">EXP(-Inputs!$B$11*Inputs!$B$14*Inputs!$B$17/(Inputs!$B$51*LM6*Inputs!$B$16))</f>
        <v>0.715638474467674</v>
      </c>
      <c r="LO6" s="15" t="n">
        <f aca="false">Inputs!$B$50*Inputs!$B$18*LN6*Inputs!$B$19</f>
        <v>0.699267692888208</v>
      </c>
      <c r="LP6" s="15" t="n">
        <f aca="false">1-LO6</f>
        <v>0.300732307111792</v>
      </c>
      <c r="LQ6" s="15" t="n">
        <f aca="false">Inputs!$B$20*LP6</f>
        <v>0.00902196921335377</v>
      </c>
      <c r="LR6" s="15" t="n">
        <f aca="false">0.8*(1-Inputs!$B$50)*(LO6-LQ6)</f>
        <v>0.00166253137200904</v>
      </c>
      <c r="LS6" s="15" t="n">
        <f aca="false">LO6-LQ6-LR6</f>
        <v>0.688583192302845</v>
      </c>
      <c r="LT6" s="15" t="n">
        <f aca="false">LS6*(1-Inputs!$B$18*EXP(-Inputs!$B$21*Inputs!$B$14*Inputs!$B$17/(Inputs!$B$22*Inputs!$B$23*Inputs!$B$24*LM6*Inputs!$B$16))*Inputs!$B$19)</f>
        <v>0.0269286986475553</v>
      </c>
      <c r="LU6" s="15" t="n">
        <f aca="false">(LS6-LT6)*(1-EXP(-Inputs!$B$25*Inputs!$B$14*Inputs!$B$17*Inputs!$B$26/(LM6*Inputs!$B$16/0.866)))</f>
        <v>0.00839969236464734</v>
      </c>
      <c r="LV6" s="15" t="n">
        <f aca="false">(LS6-LT6-LU6)*(1-Inputs!$B$19)</f>
        <v>0.00326627400645321</v>
      </c>
      <c r="LW6" s="15" t="n">
        <f aca="false">(LP6+LQ6+LR6+LT6+LU6+LV6)*(1+Inputs!$B$27)</f>
        <v>0.351061507133958</v>
      </c>
      <c r="LX6" s="15" t="n">
        <f aca="false">Inputs!$B$52/(1-LW6-G6)</f>
        <v>228644.926754037</v>
      </c>
      <c r="LY6" s="15" t="n">
        <f aca="false">LX6/Inputs!$B$34</f>
        <v>381.074877923395</v>
      </c>
      <c r="LZ6" s="15" t="n">
        <f aca="false">B6^2/LY6</f>
        <v>8.22935381384655</v>
      </c>
      <c r="MA6" s="15" t="n">
        <f aca="false">Inputs!$B$54*H6/(Inputs!$B$35*F6+E6*H6^2/(PI()*LZ6*Inputs!$B$36))</f>
        <v>16.3437695306526</v>
      </c>
      <c r="MB6" s="15" t="n">
        <f aca="false">EXP(-Inputs!$B$11*Inputs!$B$14*Inputs!$B$17/(Inputs!$B$51*MA6*Inputs!$B$16))</f>
        <v>0.715634150198698</v>
      </c>
      <c r="MC6" s="15" t="n">
        <f aca="false">Inputs!$B$50*Inputs!$B$18*MB6*Inputs!$B$19</f>
        <v>0.699263467540217</v>
      </c>
      <c r="MD6" s="15" t="n">
        <f aca="false">1-MC6</f>
        <v>0.300736532459783</v>
      </c>
      <c r="ME6" s="15" t="n">
        <f aca="false">Inputs!$B$20*MD6</f>
        <v>0.00902209597379349</v>
      </c>
      <c r="MF6" s="15" t="n">
        <f aca="false">0.8*(1-Inputs!$B$50)*(MC6-ME6)</f>
        <v>0.00166252088948586</v>
      </c>
      <c r="MG6" s="15" t="n">
        <f aca="false">MC6-ME6-MF6</f>
        <v>0.688578850676938</v>
      </c>
      <c r="MH6" s="15" t="n">
        <f aca="false">MG6*(1-Inputs!$B$18*EXP(-Inputs!$B$21*Inputs!$B$14*Inputs!$B$17/(Inputs!$B$22*Inputs!$B$23*Inputs!$B$24*MA6*Inputs!$B$16))*Inputs!$B$19)</f>
        <v>0.0269287650564938</v>
      </c>
      <c r="MI6" s="15" t="n">
        <f aca="false">(MG6-MH6)*(1-EXP(-Inputs!$B$25*Inputs!$B$14*Inputs!$B$17*Inputs!$B$26/(MA6*Inputs!$B$16/0.866)))</f>
        <v>0.00839978713596986</v>
      </c>
      <c r="MJ6" s="15" t="n">
        <f aca="false">(MG6-MH6-MI6)*(1-Inputs!$B$19)</f>
        <v>0.00326625149242237</v>
      </c>
      <c r="MK6" s="15" t="n">
        <f aca="false">(MD6+ME6+MF6+MH6+MI6+MJ6)*(1+Inputs!$B$27)</f>
        <v>0.351066000866972</v>
      </c>
      <c r="ML6" s="15" t="n">
        <f aca="false">Inputs!$B$52/(1-MK6-G6)</f>
        <v>228652.127766498</v>
      </c>
      <c r="MM6" s="15" t="n">
        <f aca="false">ML6/Inputs!$B$34</f>
        <v>381.08687961083</v>
      </c>
      <c r="MN6" s="15" t="n">
        <f aca="false">B6^2/MM6</f>
        <v>8.2290946442515</v>
      </c>
      <c r="MO6" s="15" t="n">
        <f aca="false">Inputs!$B$54*H6/(Inputs!$B$35*F6+E6*H6^2/(PI()*MN6*Inputs!$B$36))</f>
        <v>16.3435556323108</v>
      </c>
      <c r="MP6" s="15" t="n">
        <f aca="false">EXP(-Inputs!$B$11*Inputs!$B$14*Inputs!$B$17/(Inputs!$B$51*MO6*Inputs!$B$16))</f>
        <v>0.715631016487203</v>
      </c>
      <c r="MQ6" s="15" t="n">
        <f aca="false">Inputs!$B$50*Inputs!$B$18*MP6*Inputs!$B$19</f>
        <v>0.699260405514787</v>
      </c>
      <c r="MR6" s="15" t="n">
        <f aca="false">1-MQ6</f>
        <v>0.300739594485213</v>
      </c>
      <c r="MS6" s="15" t="n">
        <f aca="false">Inputs!$B$20*MR6</f>
        <v>0.00902218783455638</v>
      </c>
      <c r="MT6" s="15" t="n">
        <f aca="false">0.8*(1-Inputs!$B$50)*(MQ6-MS6)</f>
        <v>0.00166251329301035</v>
      </c>
      <c r="MU6" s="15" t="n">
        <f aca="false">MQ6-MS6-MT6</f>
        <v>0.688575704387221</v>
      </c>
      <c r="MV6" s="15" t="n">
        <f aca="false">MU6*(1-Inputs!$B$18*EXP(-Inputs!$B$21*Inputs!$B$14*Inputs!$B$17/(Inputs!$B$22*Inputs!$B$23*Inputs!$B$24*MO6*Inputs!$B$16))*Inputs!$B$19)</f>
        <v>0.026928813180705</v>
      </c>
      <c r="MW6" s="15" t="n">
        <f aca="false">(MU6-MV6)*(1-EXP(-Inputs!$B$25*Inputs!$B$14*Inputs!$B$17*Inputs!$B$26/(MO6*Inputs!$B$16/0.866)))</f>
        <v>0.00839985581416272</v>
      </c>
      <c r="MX6" s="15" t="n">
        <f aca="false">(MU6-MV6-MW6)*(1-Inputs!$B$19)</f>
        <v>0.00326623517696177</v>
      </c>
      <c r="MY6" s="15" t="n">
        <f aca="false">(MR6+MS6+MT6+MV6+MW6+MX6)*(1+Inputs!$B$27)</f>
        <v>0.351069257383963</v>
      </c>
      <c r="MZ6" s="15" t="n">
        <f aca="false">Inputs!$B$52/(1-MY6-G6)</f>
        <v>228657.346477344</v>
      </c>
      <c r="NA6" s="15" t="n">
        <f aca="false">MZ6/Inputs!$B$34</f>
        <v>381.09557746224</v>
      </c>
      <c r="NB6" s="15" t="n">
        <f aca="false">B6^2/NA6</f>
        <v>8.22890682931298</v>
      </c>
      <c r="NC6" s="15" t="n">
        <f aca="false">Inputs!$B$54*H6/(Inputs!$B$35*F6+E6*H6^2/(PI()*NB6*Inputs!$B$36))</f>
        <v>16.3434006196086</v>
      </c>
      <c r="ND6" s="15" t="n">
        <f aca="false">EXP(-Inputs!$B$11*Inputs!$B$14*Inputs!$B$17/(Inputs!$B$51*NC6*Inputs!$B$16))</f>
        <v>0.715628745435389</v>
      </c>
      <c r="NE6" s="15" t="n">
        <f aca="false">Inputs!$B$50*Inputs!$B$18*ND6*Inputs!$B$19</f>
        <v>0.699258186415034</v>
      </c>
      <c r="NF6" s="15" t="n">
        <f aca="false">1-NE6</f>
        <v>0.300741813584966</v>
      </c>
      <c r="NG6" s="15" t="n">
        <f aca="false">Inputs!$B$20*NF6</f>
        <v>0.00902225440754898</v>
      </c>
      <c r="NH6" s="15" t="n">
        <f aca="false">0.8*(1-Inputs!$B$50)*(NE6-NG6)</f>
        <v>0.00166250778772069</v>
      </c>
      <c r="NI6" s="15" t="n">
        <f aca="false">NE6-NG6-NH6</f>
        <v>0.688573424219764</v>
      </c>
      <c r="NJ6" s="15" t="n">
        <f aca="false">NI6*(1-Inputs!$B$18*EXP(-Inputs!$B$21*Inputs!$B$14*Inputs!$B$17/(Inputs!$B$22*Inputs!$B$23*Inputs!$B$24*NC6*Inputs!$B$16))*Inputs!$B$19)</f>
        <v>0.0269288480565687</v>
      </c>
      <c r="NK6" s="15" t="n">
        <f aca="false">(NI6-NJ6)*(1-EXP(-Inputs!$B$25*Inputs!$B$14*Inputs!$B$17*Inputs!$B$26/(NC6*Inputs!$B$16/0.866)))</f>
        <v>0.00839990558600408</v>
      </c>
      <c r="NL6" s="15" t="n">
        <f aca="false">(NI6-NJ6-NK6)*(1-Inputs!$B$19)</f>
        <v>0.00326622335288596</v>
      </c>
      <c r="NM6" s="15" t="n">
        <f aca="false">(NF6+NG6+NH6+NJ6+NK6+NL6)*(1+Inputs!$B$27)</f>
        <v>0.351071617434021</v>
      </c>
      <c r="NN6" s="15" t="n">
        <f aca="false">Inputs!$B$52/(1-NM6-G6)</f>
        <v>228661.128709622</v>
      </c>
    </row>
    <row r="7" customFormat="false" ht="15" hidden="false" customHeight="false" outlineLevel="0" collapsed="false">
      <c r="A7" s="21" t="s">
        <v>501</v>
      </c>
      <c r="B7" s="21" t="n">
        <v>56</v>
      </c>
      <c r="C7" s="22" t="n">
        <v>0.05</v>
      </c>
      <c r="D7" s="23" t="n">
        <f aca="false">B7*C7</f>
        <v>2.8</v>
      </c>
      <c r="E7" s="24" t="n">
        <f aca="false">IF(C7=0,1,(1+0.45*C7)/(1.04+2.81*C7))</f>
        <v>0.866158407454468</v>
      </c>
      <c r="F7" s="24" t="n">
        <f aca="false">1+Inputs!$B$42*D7</f>
        <v>1.014</v>
      </c>
      <c r="G7" s="25" t="n">
        <f aca="false">Inputs!$B$31+Inputs!$B$43*(B7/Inputs!$B$32-1)+Inputs!$B$44+Inputs!$B$45*D7</f>
        <v>0.51193</v>
      </c>
      <c r="H7" s="22" t="n">
        <f aca="false">Inputs!$B$38</f>
        <v>0.5</v>
      </c>
      <c r="I7" s="23" t="n">
        <f aca="false">Inputs!$B$40</f>
        <v>2.4</v>
      </c>
      <c r="J7" s="26" t="n">
        <f aca="false">NN7/Inputs!$B$34</f>
        <v>345.071769251472</v>
      </c>
      <c r="K7" s="23" t="n">
        <f aca="false">B7^2/J7</f>
        <v>9.0879645321395</v>
      </c>
      <c r="L7" s="23" t="n">
        <f aca="false">2*K7</f>
        <v>18.175929064279</v>
      </c>
      <c r="M7" s="22" t="n">
        <f aca="false">NC7</f>
        <v>17.7928628848759</v>
      </c>
      <c r="N7" s="23" t="n">
        <f aca="false">B7/SQRT(E7)</f>
        <v>60.1712958234721</v>
      </c>
      <c r="O7" s="24" t="n">
        <f aca="false">NM7</f>
        <v>0.330494084363812</v>
      </c>
      <c r="P7" s="23" t="n">
        <f aca="false">NN7/1000</f>
        <v>207.043061550883</v>
      </c>
      <c r="Q7" s="23" t="n">
        <f aca="false">G7*NN7/1000</f>
        <v>105.991554499744</v>
      </c>
      <c r="R7" s="23" t="n">
        <f aca="false">NM7*NN7/1000</f>
        <v>68.4265070511395</v>
      </c>
      <c r="S7" s="23" t="n">
        <f aca="false">NM7*NN7/Inputs!$B$28/1000</f>
        <v>91.2353427348526</v>
      </c>
      <c r="T7" s="27" t="n">
        <f aca="false">R7/Sweep!$R$5-1</f>
        <v>0.0948832973231679</v>
      </c>
      <c r="U7" s="27" t="n">
        <f aca="false">R7/SUMIFS(Sweep!$R:$R,Sweep!$A:$A,"Conventional",Sweep!$B:$B,B7)-1</f>
        <v>-0.147613999646832</v>
      </c>
      <c r="V7" s="26" t="n">
        <f aca="false">2*0.54*(J7/2)^1.5/SQRT(L7)*Inputs!$B$46*Inputs!$B$47</f>
        <v>53.679221557365</v>
      </c>
      <c r="W7" s="28" t="n">
        <f aca="false">MIN(1,V7/S7)</f>
        <v>0.588359948549402</v>
      </c>
      <c r="X7" s="26" t="n">
        <f aca="false">1.23*SQRT(2*Inputs!$B$41*NN7*Inputs!$B$49/(1.225*J7*I7))/0.5144</f>
        <v>133.62967568068</v>
      </c>
      <c r="Y7" s="29" t="n">
        <f aca="false">(11000+6341.6*LN(0.36392/(2*Inputs!$B$50*Inputs!$B$18*(1+ND7)/2*Inputs!$B$34*Inputs!$B$49/((Inputs!$B$12*295.07)^2*H7))))/0.3048</f>
        <v>38835.1091172181</v>
      </c>
      <c r="Z7" s="26" t="n">
        <f aca="false">NN7-MZ7</f>
        <v>0.00191586054279469</v>
      </c>
      <c r="AA7" s="30" t="str">
        <f aca="false">IF(ABS(NN7-MZ7)&lt;10,"Yes","No")</f>
        <v>Yes</v>
      </c>
      <c r="AC7" s="15" t="n">
        <f aca="false">Inputs!$B$52/(1-0.3154-G7)/Inputs!$B$34</f>
        <v>314.907048126484</v>
      </c>
      <c r="AD7" s="15" t="n">
        <f aca="false">B7^2/AC7</f>
        <v>9.95849416091954</v>
      </c>
      <c r="AE7" s="15" t="n">
        <f aca="false">Inputs!$B$54*H7/(Inputs!$B$35*F7+E7*H7^2/(PI()*AD7*Inputs!$B$36))</f>
        <v>18.3624218833972</v>
      </c>
      <c r="AF7" s="15" t="n">
        <f aca="false">EXP(-Inputs!$B$11*Inputs!$B$14*Inputs!$B$17/(Inputs!$B$51*AE7*Inputs!$B$16))</f>
        <v>0.742446960193316</v>
      </c>
      <c r="AG7" s="15" t="n">
        <f aca="false">Inputs!$B$50*Inputs!$B$18*AF7*Inputs!$B$19</f>
        <v>0.725462913844069</v>
      </c>
      <c r="AH7" s="15" t="n">
        <f aca="false">1-AG7</f>
        <v>0.274537086155931</v>
      </c>
      <c r="AI7" s="15" t="n">
        <f aca="false">Inputs!$B$20*AH7</f>
        <v>0.00823611258467794</v>
      </c>
      <c r="AJ7" s="15" t="n">
        <f aca="false">0.8*(1-Inputs!$B$50)*(AG7-AI7)</f>
        <v>0.00172751821132778</v>
      </c>
      <c r="AK7" s="15" t="n">
        <f aca="false">AG7-AI7-AJ7</f>
        <v>0.715499283048063</v>
      </c>
      <c r="AL7" s="15" t="n">
        <f aca="false">AK7*(1-Inputs!$B$18*EXP(-Inputs!$B$21*Inputs!$B$14*Inputs!$B$17/(Inputs!$B$22*Inputs!$B$23*Inputs!$B$24*AE7*Inputs!$B$16))*Inputs!$B$19)</f>
        <v>0.0264859327584998</v>
      </c>
      <c r="AM7" s="15" t="n">
        <f aca="false">(AK7-AL7)*(1-EXP(-Inputs!$B$25*Inputs!$B$14*Inputs!$B$17*Inputs!$B$26/(AE7*Inputs!$B$16/0.866)))</f>
        <v>0.00779101780730002</v>
      </c>
      <c r="AN7" s="15" t="n">
        <f aca="false">(AK7-AL7-AM7)*(1-Inputs!$B$19)</f>
        <v>0.00340611166241132</v>
      </c>
      <c r="AO7" s="15" t="n">
        <f aca="false">(AH7+AI7+AJ7+AL7+AM7+AN7)*(1+Inputs!$B$27)</f>
        <v>0.323150330517689</v>
      </c>
      <c r="AP7" s="15" t="n">
        <f aca="false">Inputs!$B$52/(1-AO7-G7)</f>
        <v>197823.58345982</v>
      </c>
      <c r="AQ7" s="15" t="n">
        <f aca="false">AP7/Inputs!$B$34</f>
        <v>329.705972433034</v>
      </c>
      <c r="AR7" s="15" t="n">
        <f aca="false">B7^2/AQ7</f>
        <v>9.5115049838442</v>
      </c>
      <c r="AS7" s="15" t="n">
        <f aca="false">Inputs!$B$54*H7/(Inputs!$B$35*F7+E7*H7^2/(PI()*AR7*Inputs!$B$36))</f>
        <v>18.0785081791559</v>
      </c>
      <c r="AT7" s="15" t="n">
        <f aca="false">EXP(-Inputs!$B$11*Inputs!$B$14*Inputs!$B$17/(Inputs!$B$51*AS7*Inputs!$B$16))</f>
        <v>0.738982749249954</v>
      </c>
      <c r="AU7" s="15" t="n">
        <f aca="false">Inputs!$B$50*Inputs!$B$18*AT7*Inputs!$B$19</f>
        <v>0.722077949395582</v>
      </c>
      <c r="AV7" s="15" t="n">
        <f aca="false">1-AU7</f>
        <v>0.277922050604418</v>
      </c>
      <c r="AW7" s="15" t="n">
        <f aca="false">Inputs!$B$20*AV7</f>
        <v>0.00833766151813255</v>
      </c>
      <c r="AX7" s="15" t="n">
        <f aca="false">0.8*(1-Inputs!$B$50)*(AU7-AW7)</f>
        <v>0.00171912056730393</v>
      </c>
      <c r="AY7" s="15" t="n">
        <f aca="false">AU7-AW7-AX7</f>
        <v>0.712021167310145</v>
      </c>
      <c r="AZ7" s="15" t="n">
        <f aca="false">AY7*(1-Inputs!$B$18*EXP(-Inputs!$B$21*Inputs!$B$14*Inputs!$B$17/(Inputs!$B$22*Inputs!$B$23*Inputs!$B$24*AS7*Inputs!$B$16))*Inputs!$B$19)</f>
        <v>0.0265466054826343</v>
      </c>
      <c r="BA7" s="15" t="n">
        <f aca="false">(AY7-AZ7)*(1-EXP(-Inputs!$B$25*Inputs!$B$14*Inputs!$B$17*Inputs!$B$26/(AS7*Inputs!$B$16/0.866)))</f>
        <v>0.00787202686704207</v>
      </c>
      <c r="BB7" s="15" t="n">
        <f aca="false">(AY7-AZ7-BA7)*(1-Inputs!$B$19)</f>
        <v>0.00338801267480235</v>
      </c>
      <c r="BC7" s="15" t="n">
        <f aca="false">(AV7+AW7+AX7+AZ7+BA7+BB7)*(1+Inputs!$B$27)</f>
        <v>0.326762834147477</v>
      </c>
      <c r="BD7" s="15" t="n">
        <f aca="false">Inputs!$B$52/(1-BC7-G7)</f>
        <v>202253.878974154</v>
      </c>
      <c r="BE7" s="15" t="n">
        <f aca="false">BD7/Inputs!$B$34</f>
        <v>337.089798290256</v>
      </c>
      <c r="BF7" s="15" t="n">
        <f aca="false">B7^2/BE7</f>
        <v>9.30315902737496</v>
      </c>
      <c r="BG7" s="15" t="n">
        <f aca="false">Inputs!$B$54*H7/(Inputs!$B$35*F7+E7*H7^2/(PI()*BF7*Inputs!$B$36))</f>
        <v>17.9401092357405</v>
      </c>
      <c r="BH7" s="15" t="n">
        <f aca="false">EXP(-Inputs!$B$11*Inputs!$B$14*Inputs!$B$17/(Inputs!$B$51*BG7*Inputs!$B$16))</f>
        <v>0.737260353076517</v>
      </c>
      <c r="BI7" s="15" t="n">
        <f aca="false">Inputs!$B$50*Inputs!$B$18*BH7*Inputs!$B$19</f>
        <v>0.720394954361903</v>
      </c>
      <c r="BJ7" s="15" t="n">
        <f aca="false">1-BI7</f>
        <v>0.279605045638097</v>
      </c>
      <c r="BK7" s="15" t="n">
        <f aca="false">Inputs!$B$20*BJ7</f>
        <v>0.00838815136914291</v>
      </c>
      <c r="BL7" s="15" t="n">
        <f aca="false">0.8*(1-Inputs!$B$50)*(BI7-BK7)</f>
        <v>0.00171494528174279</v>
      </c>
      <c r="BM7" s="15" t="n">
        <f aca="false">BI7-BK7-BL7</f>
        <v>0.710291857711017</v>
      </c>
      <c r="BN7" s="15" t="n">
        <f aca="false">BM7*(1-Inputs!$B$18*EXP(-Inputs!$B$21*Inputs!$B$14*Inputs!$B$17/(Inputs!$B$22*Inputs!$B$23*Inputs!$B$24*BG7*Inputs!$B$16))*Inputs!$B$19)</f>
        <v>0.0265763934335774</v>
      </c>
      <c r="BO7" s="15" t="n">
        <f aca="false">(BM7-BN7)*(1-EXP(-Inputs!$B$25*Inputs!$B$14*Inputs!$B$17*Inputs!$B$26/(BG7*Inputs!$B$16/0.866)))</f>
        <v>0.00791204635586275</v>
      </c>
      <c r="BP7" s="15" t="n">
        <f aca="false">(BM7-BN7-BO7)*(1-Inputs!$B$19)</f>
        <v>0.00337901708960789</v>
      </c>
      <c r="BQ7" s="15" t="n">
        <f aca="false">(BJ7+BK7+BL7+BN7+BO7+BP7)*(1+Inputs!$B$27)</f>
        <v>0.328558325965535</v>
      </c>
      <c r="BR7" s="15" t="n">
        <f aca="false">Inputs!$B$52/(1-BQ7-G7)</f>
        <v>204530.484665033</v>
      </c>
      <c r="BS7" s="15" t="n">
        <f aca="false">BR7/Inputs!$B$34</f>
        <v>340.884141108389</v>
      </c>
      <c r="BT7" s="15" t="n">
        <f aca="false">B7^2/BS7</f>
        <v>9.19960661649808</v>
      </c>
      <c r="BU7" s="15" t="n">
        <f aca="false">Inputs!$B$54*H7/(Inputs!$B$35*F7+E7*H7^2/(PI()*BT7*Inputs!$B$36))</f>
        <v>17.8698108647028</v>
      </c>
      <c r="BV7" s="15" t="n">
        <f aca="false">EXP(-Inputs!$B$11*Inputs!$B$14*Inputs!$B$17/(Inputs!$B$51*BU7*Inputs!$B$16))</f>
        <v>0.736376823675363</v>
      </c>
      <c r="BW7" s="15" t="n">
        <f aca="false">Inputs!$B$50*Inputs!$B$18*BV7*Inputs!$B$19</f>
        <v>0.719531636376654</v>
      </c>
      <c r="BX7" s="15" t="n">
        <f aca="false">1-BW7</f>
        <v>0.280468363623346</v>
      </c>
      <c r="BY7" s="15" t="n">
        <f aca="false">Inputs!$B$20*BX7</f>
        <v>0.00841405090870039</v>
      </c>
      <c r="BZ7" s="15" t="n">
        <f aca="false">0.8*(1-Inputs!$B$50)*(BW7-BY7)</f>
        <v>0.0017128035052988</v>
      </c>
      <c r="CA7" s="15" t="n">
        <f aca="false">BW7-BY7-BZ7</f>
        <v>0.709404781962655</v>
      </c>
      <c r="CB7" s="15" t="n">
        <f aca="false">CA7*(1-Inputs!$B$18*EXP(-Inputs!$B$21*Inputs!$B$14*Inputs!$B$17/(Inputs!$B$22*Inputs!$B$23*Inputs!$B$24*BU7*Inputs!$B$16))*Inputs!$B$19)</f>
        <v>0.0265915758414189</v>
      </c>
      <c r="CC7" s="15" t="n">
        <f aca="false">(CA7-CB7)*(1-EXP(-Inputs!$B$25*Inputs!$B$14*Inputs!$B$17*Inputs!$B$26/(BU7*Inputs!$B$16/0.866)))</f>
        <v>0.00793250831093682</v>
      </c>
      <c r="CD7" s="15" t="n">
        <f aca="false">(CA7-CB7-CC7)*(1-Inputs!$B$19)</f>
        <v>0.0033744034890515</v>
      </c>
      <c r="CE7" s="15" t="n">
        <f aca="false">(BX7+BY7+BZ7+CB7+CC7+CD7)*(1+Inputs!$B$27)</f>
        <v>0.329479186795789</v>
      </c>
      <c r="CF7" s="15" t="n">
        <f aca="false">Inputs!$B$52/(1-CE7-G7)</f>
        <v>205718.09514584</v>
      </c>
      <c r="CG7" s="15" t="n">
        <f aca="false">CF7/Inputs!$B$34</f>
        <v>342.863491909733</v>
      </c>
      <c r="CH7" s="15" t="n">
        <f aca="false">B7^2/CG7</f>
        <v>9.14649729118908</v>
      </c>
      <c r="CI7" s="15" t="n">
        <f aca="false">Inputs!$B$54*H7/(Inputs!$B$35*F7+E7*H7^2/(PI()*CH7*Inputs!$B$36))</f>
        <v>17.8333573426632</v>
      </c>
      <c r="CJ7" s="15" t="n">
        <f aca="false">EXP(-Inputs!$B$11*Inputs!$B$14*Inputs!$B$17/(Inputs!$B$51*CI7*Inputs!$B$16))</f>
        <v>0.735916343459668</v>
      </c>
      <c r="CK7" s="15" t="n">
        <f aca="false">Inputs!$B$50*Inputs!$B$18*CJ7*Inputs!$B$19</f>
        <v>0.719081690000742</v>
      </c>
      <c r="CL7" s="15" t="n">
        <f aca="false">1-CK7</f>
        <v>0.280918309999258</v>
      </c>
      <c r="CM7" s="15" t="n">
        <f aca="false">Inputs!$B$20*CL7</f>
        <v>0.00842754929997773</v>
      </c>
      <c r="CN7" s="15" t="n">
        <f aca="false">0.8*(1-Inputs!$B$50)*(CK7-CM7)</f>
        <v>0.00171168724852499</v>
      </c>
      <c r="CO7" s="15" t="n">
        <f aca="false">CK7-CM7-CN7</f>
        <v>0.70894245345224</v>
      </c>
      <c r="CP7" s="15" t="n">
        <f aca="false">CO7*(1-Inputs!$B$18*EXP(-Inputs!$B$21*Inputs!$B$14*Inputs!$B$17/(Inputs!$B$22*Inputs!$B$23*Inputs!$B$24*CI7*Inputs!$B$16))*Inputs!$B$19)</f>
        <v>0.0265994623314615</v>
      </c>
      <c r="CQ7" s="15" t="n">
        <f aca="false">(CO7-CP7)*(1-EXP(-Inputs!$B$25*Inputs!$B$14*Inputs!$B$17*Inputs!$B$26/(CI7*Inputs!$B$16/0.866)))</f>
        <v>0.00794315478942435</v>
      </c>
      <c r="CR7" s="15" t="n">
        <f aca="false">(CO7-CP7-CQ7)*(1-Inputs!$B$19)</f>
        <v>0.00337199918165677</v>
      </c>
      <c r="CS7" s="15" t="n">
        <f aca="false">(CL7+CM7+CN7+CP7+CQ7+CR7)*(1+Inputs!$B$27)</f>
        <v>0.329959079338854</v>
      </c>
      <c r="CT7" s="15" t="n">
        <f aca="false">Inputs!$B$52/(1-CS7-G7)</f>
        <v>206342.483261608</v>
      </c>
      <c r="CU7" s="15" t="n">
        <f aca="false">CT7/Inputs!$B$34</f>
        <v>343.904138769347</v>
      </c>
      <c r="CV7" s="15" t="n">
        <f aca="false">B7^2/CU7</f>
        <v>9.11882017826858</v>
      </c>
      <c r="CW7" s="15" t="n">
        <f aca="false">Inputs!$B$54*H7/(Inputs!$B$35*F7+E7*H7^2/(PI()*CV7*Inputs!$B$36))</f>
        <v>17.8142514328433</v>
      </c>
      <c r="CX7" s="15" t="n">
        <f aca="false">EXP(-Inputs!$B$11*Inputs!$B$14*Inputs!$B$17/(Inputs!$B$51*CW7*Inputs!$B$16))</f>
        <v>0.735674360752026</v>
      </c>
      <c r="CY7" s="15" t="n">
        <f aca="false">Inputs!$B$50*Inputs!$B$18*CX7*Inputs!$B$19</f>
        <v>0.718845242834011</v>
      </c>
      <c r="CZ7" s="15" t="n">
        <f aca="false">1-CY7</f>
        <v>0.281154757165989</v>
      </c>
      <c r="DA7" s="15" t="n">
        <f aca="false">Inputs!$B$20*CZ7</f>
        <v>0.00843464271497967</v>
      </c>
      <c r="DB7" s="15" t="n">
        <f aca="false">0.8*(1-Inputs!$B$50)*(CY7-DA7)</f>
        <v>0.0017111006547315</v>
      </c>
      <c r="DC7" s="15" t="n">
        <f aca="false">CY7-DA7-DB7</f>
        <v>0.7086994994643</v>
      </c>
      <c r="DD7" s="15" t="n">
        <f aca="false">DC7*(1-Inputs!$B$18*EXP(-Inputs!$B$21*Inputs!$B$14*Inputs!$B$17/(Inputs!$B$22*Inputs!$B$23*Inputs!$B$24*CW7*Inputs!$B$16))*Inputs!$B$19)</f>
        <v>0.0266035994545324</v>
      </c>
      <c r="DE7" s="15" t="n">
        <f aca="false">(DC7-DD7)*(1-EXP(-Inputs!$B$25*Inputs!$B$14*Inputs!$B$17*Inputs!$B$26/(CW7*Inputs!$B$16/0.866)))</f>
        <v>0.00794874459213288</v>
      </c>
      <c r="DF7" s="15" t="n">
        <f aca="false">(DC7-DD7-DE7)*(1-Inputs!$B$19)</f>
        <v>0.00337073577708818</v>
      </c>
      <c r="DG7" s="15" t="n">
        <f aca="false">(CZ7+DA7+DB7+DD7+DE7+DF7)*(1+Inputs!$B$27)</f>
        <v>0.330211251100532</v>
      </c>
      <c r="DH7" s="15" t="n">
        <f aca="false">Inputs!$B$52/(1-DG7-G7)</f>
        <v>206672.105457881</v>
      </c>
      <c r="DI7" s="15" t="n">
        <f aca="false">DH7/Inputs!$B$34</f>
        <v>344.453509096469</v>
      </c>
      <c r="DJ7" s="15" t="n">
        <f aca="false">B7^2/DI7</f>
        <v>9.10427653422954</v>
      </c>
      <c r="DK7" s="15" t="n">
        <f aca="false">Inputs!$B$54*H7/(Inputs!$B$35*F7+E7*H7^2/(PI()*DJ7*Inputs!$B$36))</f>
        <v>17.8041816883865</v>
      </c>
      <c r="DL7" s="15" t="n">
        <f aca="false">EXP(-Inputs!$B$11*Inputs!$B$14*Inputs!$B$17/(Inputs!$B$51*DK7*Inputs!$B$16))</f>
        <v>0.735546647184371</v>
      </c>
      <c r="DM7" s="15" t="n">
        <f aca="false">Inputs!$B$50*Inputs!$B$18*DL7*Inputs!$B$19</f>
        <v>0.718720450812633</v>
      </c>
      <c r="DN7" s="15" t="n">
        <f aca="false">1-DM7</f>
        <v>0.281279549187367</v>
      </c>
      <c r="DO7" s="15" t="n">
        <f aca="false">Inputs!$B$20*DN7</f>
        <v>0.00843838647562101</v>
      </c>
      <c r="DP7" s="15" t="n">
        <f aca="false">0.8*(1-Inputs!$B$50)*(DM7-DO7)</f>
        <v>0.00171079106241864</v>
      </c>
      <c r="DQ7" s="15" t="n">
        <f aca="false">DM7-DO7-DP7</f>
        <v>0.708571273274593</v>
      </c>
      <c r="DR7" s="15" t="n">
        <f aca="false">DQ7*(1-Inputs!$B$18*EXP(-Inputs!$B$21*Inputs!$B$14*Inputs!$B$17/(Inputs!$B$22*Inputs!$B$23*Inputs!$B$24*DK7*Inputs!$B$16))*Inputs!$B$19)</f>
        <v>0.0266057809342822</v>
      </c>
      <c r="DS7" s="15" t="n">
        <f aca="false">(DQ7-DR7)*(1-EXP(-Inputs!$B$25*Inputs!$B$14*Inputs!$B$17*Inputs!$B$26/(DK7*Inputs!$B$16/0.866)))</f>
        <v>0.00795169340688439</v>
      </c>
      <c r="DT7" s="15" t="n">
        <f aca="false">(DQ7-DR7-DS7)*(1-Inputs!$B$19)</f>
        <v>0.00337006899466714</v>
      </c>
      <c r="DU7" s="15" t="n">
        <f aca="false">(DN7+DO7+DP7+DR7+DS7+DT7)*(1+Inputs!$B$27)</f>
        <v>0.330344338871424</v>
      </c>
      <c r="DV7" s="15" t="n">
        <f aca="false">Inputs!$B$52/(1-DU7-G7)</f>
        <v>206846.493884115</v>
      </c>
      <c r="DW7" s="15" t="n">
        <f aca="false">DV7/Inputs!$B$34</f>
        <v>344.744156473525</v>
      </c>
      <c r="DX7" s="15" t="n">
        <f aca="false">B7^2/DW7</f>
        <v>9.09660088826141</v>
      </c>
      <c r="DY7" s="15" t="n">
        <f aca="false">Inputs!$B$54*H7/(Inputs!$B$35*F7+E7*H7^2/(PI()*DX7*Inputs!$B$36))</f>
        <v>17.7988588382352</v>
      </c>
      <c r="DZ7" s="15" t="n">
        <f aca="false">EXP(-Inputs!$B$11*Inputs!$B$14*Inputs!$B$17/(Inputs!$B$51*DY7*Inputs!$B$16))</f>
        <v>0.73547908859069</v>
      </c>
      <c r="EA7" s="15" t="n">
        <f aca="false">Inputs!$B$50*Inputs!$B$18*DZ7*Inputs!$B$19</f>
        <v>0.718654437673844</v>
      </c>
      <c r="EB7" s="15" t="n">
        <f aca="false">1-EA7</f>
        <v>0.281345562326156</v>
      </c>
      <c r="EC7" s="15" t="n">
        <f aca="false">Inputs!$B$20*EB7</f>
        <v>0.00844036686978469</v>
      </c>
      <c r="ED7" s="15" t="n">
        <f aca="false">0.8*(1-Inputs!$B$50)*(EA7-EC7)</f>
        <v>0.00171062729265122</v>
      </c>
      <c r="EE7" s="15" t="n">
        <f aca="false">EA7-EC7-ED7</f>
        <v>0.708503443511408</v>
      </c>
      <c r="EF7" s="15" t="n">
        <f aca="false">EE7*(1-Inputs!$B$18*EXP(-Inputs!$B$21*Inputs!$B$14*Inputs!$B$17/(Inputs!$B$22*Inputs!$B$23*Inputs!$B$24*DY7*Inputs!$B$16))*Inputs!$B$19)</f>
        <v>0.026606934343194</v>
      </c>
      <c r="EG7" s="15" t="n">
        <f aca="false">(EE7-EF7)*(1-EXP(-Inputs!$B$25*Inputs!$B$14*Inputs!$B$17*Inputs!$B$26/(DY7*Inputs!$B$16/0.866)))</f>
        <v>0.00795325290359662</v>
      </c>
      <c r="EH7" s="15" t="n">
        <f aca="false">(EE7-EF7-EG7)*(1-Inputs!$B$19)</f>
        <v>0.00336971628132309</v>
      </c>
      <c r="EI7" s="15" t="n">
        <f aca="false">(EB7+EC7+ED7+EF7+EG7+EH7)*(1+Inputs!$B$27)</f>
        <v>0.330414739396756</v>
      </c>
      <c r="EJ7" s="15" t="n">
        <f aca="false">Inputs!$B$52/(1-EI7-G7)</f>
        <v>206938.860620098</v>
      </c>
      <c r="EK7" s="15" t="n">
        <f aca="false">EJ7/Inputs!$B$34</f>
        <v>344.898101033497</v>
      </c>
      <c r="EL7" s="15" t="n">
        <f aca="false">B7^2/EK7</f>
        <v>9.09254063911308</v>
      </c>
      <c r="EM7" s="15" t="n">
        <f aca="false">Inputs!$B$54*H7/(Inputs!$B$35*F7+E7*H7^2/(PI()*EL7*Inputs!$B$36))</f>
        <v>17.7960408215875</v>
      </c>
      <c r="EN7" s="15" t="n">
        <f aca="false">EXP(-Inputs!$B$11*Inputs!$B$14*Inputs!$B$17/(Inputs!$B$51*EM7*Inputs!$B$16))</f>
        <v>0.735443307956886</v>
      </c>
      <c r="EO7" s="15" t="n">
        <f aca="false">Inputs!$B$50*Inputs!$B$18*EN7*Inputs!$B$19</f>
        <v>0.718619475549611</v>
      </c>
      <c r="EP7" s="15" t="n">
        <f aca="false">1-EO7</f>
        <v>0.281380524450389</v>
      </c>
      <c r="EQ7" s="15" t="n">
        <f aca="false">Inputs!$B$20*EP7</f>
        <v>0.00844141573351167</v>
      </c>
      <c r="ER7" s="15" t="n">
        <f aca="false">0.8*(1-Inputs!$B$50)*(EO7-EQ7)</f>
        <v>0.00171054055629754</v>
      </c>
      <c r="ES7" s="15" t="n">
        <f aca="false">EO7-EQ7-ER7</f>
        <v>0.708467519259802</v>
      </c>
      <c r="ET7" s="15" t="n">
        <f aca="false">ES7*(1-Inputs!$B$18*EXP(-Inputs!$B$21*Inputs!$B$14*Inputs!$B$17/(Inputs!$B$22*Inputs!$B$23*Inputs!$B$24*EM7*Inputs!$B$16))*Inputs!$B$19)</f>
        <v>0.0266075450584643</v>
      </c>
      <c r="EU7" s="15" t="n">
        <f aca="false">(ES7-ET7)*(1-EXP(-Inputs!$B$25*Inputs!$B$14*Inputs!$B$17*Inputs!$B$26/(EM7*Inputs!$B$16/0.866)))</f>
        <v>0.00795407874274796</v>
      </c>
      <c r="EV7" s="15" t="n">
        <f aca="false">(ES7-ET7-EU7)*(1-Inputs!$B$19)</f>
        <v>0.00336952947729295</v>
      </c>
      <c r="EW7" s="15" t="n">
        <f aca="false">(EP7+EQ7+ER7+ET7+EU7+EV7)*(1+Inputs!$B$27)</f>
        <v>0.33045202492076</v>
      </c>
      <c r="EX7" s="15" t="n">
        <f aca="false">Inputs!$B$52/(1-EW7-G7)</f>
        <v>206987.813309987</v>
      </c>
      <c r="EY7" s="15" t="n">
        <f aca="false">EX7/Inputs!$B$34</f>
        <v>344.979688849978</v>
      </c>
      <c r="EZ7" s="15" t="n">
        <f aca="false">B7^2/EY7</f>
        <v>9.09039025008732</v>
      </c>
      <c r="FA7" s="15" t="n">
        <f aca="false">Inputs!$B$54*H7/(Inputs!$B$35*F7+E7*H7^2/(PI()*EZ7*Inputs!$B$36))</f>
        <v>17.7945476857725</v>
      </c>
      <c r="FB7" s="15" t="n">
        <f aca="false">EXP(-Inputs!$B$11*Inputs!$B$14*Inputs!$B$17/(Inputs!$B$51*FA7*Inputs!$B$16))</f>
        <v>0.735424345577574</v>
      </c>
      <c r="FC7" s="15" t="n">
        <f aca="false">Inputs!$B$50*Inputs!$B$18*FB7*Inputs!$B$19</f>
        <v>0.718600946949339</v>
      </c>
      <c r="FD7" s="15" t="n">
        <f aca="false">1-FC7</f>
        <v>0.281399053050661</v>
      </c>
      <c r="FE7" s="15" t="n">
        <f aca="false">Inputs!$B$20*FD7</f>
        <v>0.00844197159151984</v>
      </c>
      <c r="FF7" s="15" t="n">
        <f aca="false">0.8*(1-Inputs!$B$50)*(FC7-FE7)</f>
        <v>0.00171049458931865</v>
      </c>
      <c r="FG7" s="15" t="n">
        <f aca="false">FC7-FE7-FF7</f>
        <v>0.7084484807685</v>
      </c>
      <c r="FH7" s="15" t="n">
        <f aca="false">FG7*(1-Inputs!$B$18*EXP(-Inputs!$B$21*Inputs!$B$14*Inputs!$B$17/(Inputs!$B$22*Inputs!$B$23*Inputs!$B$24*FA7*Inputs!$B$16))*Inputs!$B$19)</f>
        <v>0.0266078686701974</v>
      </c>
      <c r="FI7" s="15" t="n">
        <f aca="false">(FG7-FH7)*(1-EXP(-Inputs!$B$25*Inputs!$B$14*Inputs!$B$17*Inputs!$B$26/(FA7*Inputs!$B$16/0.866)))</f>
        <v>0.00795451637606143</v>
      </c>
      <c r="FJ7" s="15" t="n">
        <f aca="false">(FG7-FH7-FI7)*(1-Inputs!$B$19)</f>
        <v>0.00336943047861121</v>
      </c>
      <c r="FK7" s="15" t="n">
        <f aca="false">(FD7+FE7+FF7+FH7+FI7+FJ7)*(1+Inputs!$B$27)</f>
        <v>0.330471784760639</v>
      </c>
      <c r="FL7" s="15" t="n">
        <f aca="false">Inputs!$B$52/(1-FK7-G7)</f>
        <v>207013.76567272</v>
      </c>
      <c r="FM7" s="15" t="n">
        <f aca="false">FL7/Inputs!$B$34</f>
        <v>345.022942787867</v>
      </c>
      <c r="FN7" s="15" t="n">
        <f aca="false">B7^2/FM7</f>
        <v>9.08925062971286</v>
      </c>
      <c r="FO7" s="15" t="n">
        <f aca="false">Inputs!$B$54*H7/(Inputs!$B$35*F7+E7*H7^2/(PI()*FN7*Inputs!$B$36))</f>
        <v>17.79375619857</v>
      </c>
      <c r="FP7" s="15" t="n">
        <f aca="false">EXP(-Inputs!$B$11*Inputs!$B$14*Inputs!$B$17/(Inputs!$B$51*FO7*Inputs!$B$16))</f>
        <v>0.735414292834007</v>
      </c>
      <c r="FQ7" s="15" t="n">
        <f aca="false">Inputs!$B$50*Inputs!$B$18*FP7*Inputs!$B$19</f>
        <v>0.718591124170027</v>
      </c>
      <c r="FR7" s="15" t="n">
        <f aca="false">1-FQ7</f>
        <v>0.281408875829973</v>
      </c>
      <c r="FS7" s="15" t="n">
        <f aca="false">Inputs!$B$20*FR7</f>
        <v>0.0084422662748992</v>
      </c>
      <c r="FT7" s="15" t="n">
        <f aca="false">0.8*(1-Inputs!$B$50)*(FQ7-FS7)</f>
        <v>0.00171047022031707</v>
      </c>
      <c r="FU7" s="15" t="n">
        <f aca="false">FQ7-FS7-FT7</f>
        <v>0.70843838767481</v>
      </c>
      <c r="FV7" s="15" t="n">
        <f aca="false">FU7*(1-Inputs!$B$18*EXP(-Inputs!$B$21*Inputs!$B$14*Inputs!$B$17/(Inputs!$B$22*Inputs!$B$23*Inputs!$B$24*FO7*Inputs!$B$16))*Inputs!$B$19)</f>
        <v>0.0266080402177744</v>
      </c>
      <c r="FW7" s="15" t="n">
        <f aca="false">(FU7-FV7)*(1-EXP(-Inputs!$B$25*Inputs!$B$14*Inputs!$B$17*Inputs!$B$26/(FO7*Inputs!$B$16/0.866)))</f>
        <v>0.00795474837516274</v>
      </c>
      <c r="FX7" s="15" t="n">
        <f aca="false">(FU7-FV7-FW7)*(1-Inputs!$B$19)</f>
        <v>0.00336937799540937</v>
      </c>
      <c r="FY7" s="15" t="n">
        <f aca="false">(FR7+FS7+FT7+FV7+FW7+FX7)*(1+Inputs!$B$27)</f>
        <v>0.330482260250277</v>
      </c>
      <c r="FZ7" s="15" t="n">
        <f aca="false">Inputs!$B$52/(1-FY7-G7)</f>
        <v>207027.526708703</v>
      </c>
      <c r="GA7" s="15" t="n">
        <f aca="false">FZ7/Inputs!$B$34</f>
        <v>345.045877847838</v>
      </c>
      <c r="GB7" s="15" t="n">
        <f aca="false">B7^2/GA7</f>
        <v>9.08864647089899</v>
      </c>
      <c r="GC7" s="15" t="n">
        <f aca="false">Inputs!$B$54*H7/(Inputs!$B$35*F7+E7*H7^2/(PI()*GB7*Inputs!$B$36))</f>
        <v>17.7933365472777</v>
      </c>
      <c r="GD7" s="15" t="n">
        <f aca="false">EXP(-Inputs!$B$11*Inputs!$B$14*Inputs!$B$17/(Inputs!$B$51*GC7*Inputs!$B$16))</f>
        <v>0.735408962501637</v>
      </c>
      <c r="GE7" s="15" t="n">
        <f aca="false">Inputs!$B$50*Inputs!$B$18*GD7*Inputs!$B$19</f>
        <v>0.718585915773118</v>
      </c>
      <c r="GF7" s="15" t="n">
        <f aca="false">1-GE7</f>
        <v>0.281414084226883</v>
      </c>
      <c r="GG7" s="15" t="n">
        <f aca="false">Inputs!$B$20*GF7</f>
        <v>0.00844242252680648</v>
      </c>
      <c r="GH7" s="15" t="n">
        <f aca="false">0.8*(1-Inputs!$B$50)*(GE7-GG7)</f>
        <v>0.00171045729898101</v>
      </c>
      <c r="GI7" s="15" t="n">
        <f aca="false">GE7-GG7-GH7</f>
        <v>0.70843303594733</v>
      </c>
      <c r="GJ7" s="15" t="n">
        <f aca="false">GI7*(1-Inputs!$B$18*EXP(-Inputs!$B$21*Inputs!$B$14*Inputs!$B$17/(Inputs!$B$22*Inputs!$B$23*Inputs!$B$24*GC7*Inputs!$B$16))*Inputs!$B$19)</f>
        <v>0.026608131175083</v>
      </c>
      <c r="GK7" s="15" t="n">
        <f aca="false">(GI7-GJ7)*(1-EXP(-Inputs!$B$25*Inputs!$B$14*Inputs!$B$17*Inputs!$B$26/(GC7*Inputs!$B$16/0.866)))</f>
        <v>0.00795487138719304</v>
      </c>
      <c r="GL7" s="15" t="n">
        <f aca="false">(GI7-GJ7-GK7)*(1-Inputs!$B$19)</f>
        <v>0.00336935016692527</v>
      </c>
      <c r="GM7" s="15" t="n">
        <f aca="false">(GF7+GG7+GH7+GJ7+GK7+GL7)*(1+Inputs!$B$27)</f>
        <v>0.330487814732217</v>
      </c>
      <c r="GN7" s="15" t="n">
        <f aca="false">Inputs!$B$52/(1-GM7-G7)</f>
        <v>207034.824047906</v>
      </c>
      <c r="GO7" s="15" t="n">
        <f aca="false">GN7/Inputs!$B$34</f>
        <v>345.058040079843</v>
      </c>
      <c r="GP7" s="15" t="n">
        <f aca="false">B7^2/GO7</f>
        <v>9.08832612413366</v>
      </c>
      <c r="GQ7" s="15" t="n">
        <f aca="false">Inputs!$B$54*H7/(Inputs!$B$35*F7+E7*H7^2/(PI()*GP7*Inputs!$B$36))</f>
        <v>17.7931140184426</v>
      </c>
      <c r="GR7" s="15" t="n">
        <f aca="false">EXP(-Inputs!$B$11*Inputs!$B$14*Inputs!$B$17/(Inputs!$B$51*GQ7*Inputs!$B$16))</f>
        <v>0.735406135895581</v>
      </c>
      <c r="GS7" s="15" t="n">
        <f aca="false">Inputs!$B$50*Inputs!$B$18*GR7*Inputs!$B$19</f>
        <v>0.718583153827853</v>
      </c>
      <c r="GT7" s="15" t="n">
        <f aca="false">1-GS7</f>
        <v>0.281416846172147</v>
      </c>
      <c r="GU7" s="15" t="n">
        <f aca="false">Inputs!$B$20*GT7</f>
        <v>0.00844250538516441</v>
      </c>
      <c r="GV7" s="15" t="n">
        <f aca="false">0.8*(1-Inputs!$B$50)*(GS7-GU7)</f>
        <v>0.00171045044696425</v>
      </c>
      <c r="GW7" s="15" t="n">
        <f aca="false">GS7-GU7-GV7</f>
        <v>0.708430197995724</v>
      </c>
      <c r="GX7" s="15" t="n">
        <f aca="false">GW7*(1-Inputs!$B$18*EXP(-Inputs!$B$21*Inputs!$B$14*Inputs!$B$17/(Inputs!$B$22*Inputs!$B$23*Inputs!$B$24*GQ7*Inputs!$B$16))*Inputs!$B$19)</f>
        <v>0.0266081794075811</v>
      </c>
      <c r="GY7" s="15" t="n">
        <f aca="false">(GW7-GX7)*(1-EXP(-Inputs!$B$25*Inputs!$B$14*Inputs!$B$17*Inputs!$B$26/(GQ7*Inputs!$B$16/0.866)))</f>
        <v>0.00795493661820659</v>
      </c>
      <c r="GZ7" s="15" t="n">
        <f aca="false">(GW7-GX7-GY7)*(1-Inputs!$B$19)</f>
        <v>0.00336933540984969</v>
      </c>
      <c r="HA7" s="15" t="n">
        <f aca="false">(GT7+GU7+GV7+GX7+GY7+GZ7)*(1+Inputs!$B$27)</f>
        <v>0.330490760200233</v>
      </c>
      <c r="HB7" s="15" t="n">
        <f aca="false">Inputs!$B$52/(1-HA7-G7)</f>
        <v>207038.693938719</v>
      </c>
      <c r="HC7" s="15" t="n">
        <f aca="false">HB7/Inputs!$B$34</f>
        <v>345.064489897865</v>
      </c>
      <c r="HD7" s="15" t="n">
        <f aca="false">B7^2/HC7</f>
        <v>9.08815624849784</v>
      </c>
      <c r="HE7" s="15" t="n">
        <f aca="false">Inputs!$B$54*H7/(Inputs!$B$35*F7+E7*H7^2/(PI()*HD7*Inputs!$B$36))</f>
        <v>17.7929960102496</v>
      </c>
      <c r="HF7" s="15" t="n">
        <f aca="false">EXP(-Inputs!$B$11*Inputs!$B$14*Inputs!$B$17/(Inputs!$B$51*HE7*Inputs!$B$16))</f>
        <v>0.735404636907479</v>
      </c>
      <c r="HG7" s="15" t="n">
        <f aca="false">Inputs!$B$50*Inputs!$B$18*HF7*Inputs!$B$19</f>
        <v>0.718581689130259</v>
      </c>
      <c r="HH7" s="15" t="n">
        <f aca="false">1-HG7</f>
        <v>0.281418310869741</v>
      </c>
      <c r="HI7" s="15" t="n">
        <f aca="false">Inputs!$B$20*HH7</f>
        <v>0.00844254932609222</v>
      </c>
      <c r="HJ7" s="15" t="n">
        <f aca="false">0.8*(1-Inputs!$B$50)*(HG7-HI7)</f>
        <v>0.00171044681324544</v>
      </c>
      <c r="HK7" s="15" t="n">
        <f aca="false">HG7-HI7-HJ7</f>
        <v>0.708428692990922</v>
      </c>
      <c r="HL7" s="15" t="n">
        <f aca="false">HK7*(1-Inputs!$B$18*EXP(-Inputs!$B$21*Inputs!$B$14*Inputs!$B$17/(Inputs!$B$22*Inputs!$B$23*Inputs!$B$24*HE7*Inputs!$B$16))*Inputs!$B$19)</f>
        <v>0.0266082049856626</v>
      </c>
      <c r="HM7" s="15" t="n">
        <f aca="false">(HK7-HL7)*(1-EXP(-Inputs!$B$25*Inputs!$B$14*Inputs!$B$17*Inputs!$B$26/(HE7*Inputs!$B$16/0.866)))</f>
        <v>0.0079549712109229</v>
      </c>
      <c r="HN7" s="15" t="n">
        <f aca="false">(HK7-HL7-HM7)*(1-Inputs!$B$19)</f>
        <v>0.00336932758397169</v>
      </c>
      <c r="HO7" s="15" t="n">
        <f aca="false">(HH7+HI7+HJ7+HL7+HM7+HN7)*(1+Inputs!$B$27)</f>
        <v>0.330492322222004</v>
      </c>
      <c r="HP7" s="15" t="n">
        <f aca="false">Inputs!$B$52/(1-HO7-G7)</f>
        <v>207040.746253184</v>
      </c>
      <c r="HQ7" s="15" t="n">
        <f aca="false">HP7/Inputs!$B$34</f>
        <v>345.067910421973</v>
      </c>
      <c r="HR7" s="15" t="n">
        <f aca="false">B7^2/HQ7</f>
        <v>9.08806616113645</v>
      </c>
      <c r="HS7" s="15" t="n">
        <f aca="false">Inputs!$B$54*H7/(Inputs!$B$35*F7+E7*H7^2/(PI()*HR7*Inputs!$B$36))</f>
        <v>17.792933427744</v>
      </c>
      <c r="HT7" s="15" t="n">
        <f aca="false">EXP(-Inputs!$B$11*Inputs!$B$14*Inputs!$B$17/(Inputs!$B$51*HS7*Inputs!$B$16))</f>
        <v>0.735403841952191</v>
      </c>
      <c r="HU7" s="15" t="n">
        <f aca="false">Inputs!$B$50*Inputs!$B$18*HT7*Inputs!$B$19</f>
        <v>0.718580912360186</v>
      </c>
      <c r="HV7" s="15" t="n">
        <f aca="false">1-HU7</f>
        <v>0.281419087639814</v>
      </c>
      <c r="HW7" s="15" t="n">
        <f aca="false">Inputs!$B$20*HV7</f>
        <v>0.00844257262919442</v>
      </c>
      <c r="HX7" s="15" t="n">
        <f aca="false">0.8*(1-Inputs!$B$50)*(HU7-HW7)</f>
        <v>0.00171044488618279</v>
      </c>
      <c r="HY7" s="15" t="n">
        <f aca="false">HU7-HW7-HX7</f>
        <v>0.708427894844809</v>
      </c>
      <c r="HZ7" s="15" t="n">
        <f aca="false">HY7*(1-Inputs!$B$18*EXP(-Inputs!$B$21*Inputs!$B$14*Inputs!$B$17/(Inputs!$B$22*Inputs!$B$23*Inputs!$B$24*HS7*Inputs!$B$16))*Inputs!$B$19)</f>
        <v>0.0266082185503565</v>
      </c>
      <c r="IA7" s="15" t="n">
        <f aca="false">(HY7-HZ7)*(1-EXP(-Inputs!$B$25*Inputs!$B$14*Inputs!$B$17*Inputs!$B$26/(HS7*Inputs!$B$16/0.866)))</f>
        <v>0.00795498955635427</v>
      </c>
      <c r="IB7" s="15" t="n">
        <f aca="false">(HY7-HZ7-IA7)*(1-Inputs!$B$19)</f>
        <v>0.00336932343369049</v>
      </c>
      <c r="IC7" s="15" t="n">
        <f aca="false">(HV7+HW7+HX7+HZ7+IA7+IB7)*(1+Inputs!$B$27)</f>
        <v>0.330493150605679</v>
      </c>
      <c r="ID7" s="15" t="n">
        <f aca="false">Inputs!$B$52/(1-IC7-G7)</f>
        <v>207041.834669248</v>
      </c>
      <c r="IE7" s="15" t="n">
        <f aca="false">ID7/Inputs!$B$34</f>
        <v>345.069724448747</v>
      </c>
      <c r="IF7" s="15" t="n">
        <f aca="false">B7^2/IE7</f>
        <v>9.08801838529821</v>
      </c>
      <c r="IG7" s="15" t="n">
        <f aca="false">Inputs!$B$54*H7/(Inputs!$B$35*F7+E7*H7^2/(PI()*IF7*Inputs!$B$36))</f>
        <v>17.7929002381724</v>
      </c>
      <c r="IH7" s="15" t="n">
        <f aca="false">EXP(-Inputs!$B$11*Inputs!$B$14*Inputs!$B$17/(Inputs!$B$51*IG7*Inputs!$B$16))</f>
        <v>0.735403420359202</v>
      </c>
      <c r="II7" s="15" t="n">
        <f aca="false">Inputs!$B$50*Inputs!$B$18*IH7*Inputs!$B$19</f>
        <v>0.718580500411461</v>
      </c>
      <c r="IJ7" s="15" t="n">
        <f aca="false">1-II7</f>
        <v>0.281419499588539</v>
      </c>
      <c r="IK7" s="15" t="n">
        <f aca="false">Inputs!$B$20*IJ7</f>
        <v>0.00844258498765616</v>
      </c>
      <c r="IL7" s="15" t="n">
        <f aca="false">0.8*(1-Inputs!$B$50)*(II7-IK7)</f>
        <v>0.0017104438641931</v>
      </c>
      <c r="IM7" s="15" t="n">
        <f aca="false">II7-IK7-IL7</f>
        <v>0.708427471559612</v>
      </c>
      <c r="IN7" s="15" t="n">
        <f aca="false">IM7*(1-Inputs!$B$18*EXP(-Inputs!$B$21*Inputs!$B$14*Inputs!$B$17/(Inputs!$B$22*Inputs!$B$23*Inputs!$B$24*IG7*Inputs!$B$16))*Inputs!$B$19)</f>
        <v>0.026608225744173</v>
      </c>
      <c r="IO7" s="15" t="n">
        <f aca="false">(IM7-IN7)*(1-EXP(-Inputs!$B$25*Inputs!$B$14*Inputs!$B$17*Inputs!$B$26/(IG7*Inputs!$B$16/0.866)))</f>
        <v>0.00795499928557245</v>
      </c>
      <c r="IP7" s="15" t="n">
        <f aca="false">(IM7-IN7-IO7)*(1-Inputs!$B$19)</f>
        <v>0.00336932123264934</v>
      </c>
      <c r="IQ7" s="15" t="n">
        <f aca="false">(IJ7+IK7+IL7+IN7+IO7+IP7)*(1+Inputs!$B$27)</f>
        <v>0.330493589926891</v>
      </c>
      <c r="IR7" s="15" t="n">
        <f aca="false">Inputs!$B$52/(1-IQ7-G7)</f>
        <v>207042.411899493</v>
      </c>
      <c r="IS7" s="15" t="n">
        <f aca="false">IR7/Inputs!$B$34</f>
        <v>345.070686499155</v>
      </c>
      <c r="IT7" s="15" t="n">
        <f aca="false">B7^2/IS7</f>
        <v>9.08799304807852</v>
      </c>
      <c r="IU7" s="15" t="n">
        <f aca="false">Inputs!$B$54*H7/(Inputs!$B$35*F7+E7*H7^2/(PI()*IT7*Inputs!$B$36))</f>
        <v>17.7928826364754</v>
      </c>
      <c r="IV7" s="15" t="n">
        <f aca="false">EXP(-Inputs!$B$11*Inputs!$B$14*Inputs!$B$17/(Inputs!$B$51*IU7*Inputs!$B$16))</f>
        <v>0.735403196771802</v>
      </c>
      <c r="IW7" s="15" t="n">
        <f aca="false">Inputs!$B$50*Inputs!$B$18*IV7*Inputs!$B$19</f>
        <v>0.718580281938796</v>
      </c>
      <c r="IX7" s="15" t="n">
        <f aca="false">1-IW7</f>
        <v>0.281419718061204</v>
      </c>
      <c r="IY7" s="15" t="n">
        <f aca="false">Inputs!$B$20*IX7</f>
        <v>0.00844259154183612</v>
      </c>
      <c r="IZ7" s="15" t="n">
        <f aca="false">0.8*(1-Inputs!$B$50)*(IW7-IY7)</f>
        <v>0.00171044332219164</v>
      </c>
      <c r="JA7" s="15" t="n">
        <f aca="false">IW7-IY7-IZ7</f>
        <v>0.708427247074768</v>
      </c>
      <c r="JB7" s="15" t="n">
        <f aca="false">JA7*(1-Inputs!$B$18*EXP(-Inputs!$B$21*Inputs!$B$14*Inputs!$B$17/(Inputs!$B$22*Inputs!$B$23*Inputs!$B$24*IU7*Inputs!$B$16))*Inputs!$B$19)</f>
        <v>0.0266082295593317</v>
      </c>
      <c r="JC7" s="15" t="n">
        <f aca="false">(JA7-JB7)*(1-EXP(-Inputs!$B$25*Inputs!$B$14*Inputs!$B$17*Inputs!$B$26/(IU7*Inputs!$B$16/0.866)))</f>
        <v>0.00795500444535657</v>
      </c>
      <c r="JD7" s="15" t="n">
        <f aca="false">(JA7-JB7-JC7)*(1-Inputs!$B$19)</f>
        <v>0.0033693200653504</v>
      </c>
      <c r="JE7" s="15" t="n">
        <f aca="false">(IX7+IY7+IZ7+JB7+JC7+JD7)*(1+Inputs!$B$27)</f>
        <v>0.330493822916256</v>
      </c>
      <c r="JF7" s="15" t="n">
        <f aca="false">Inputs!$B$52/(1-JE7-G7)</f>
        <v>207042.718028763</v>
      </c>
      <c r="JG7" s="15" t="n">
        <f aca="false">JF7/Inputs!$B$34</f>
        <v>345.071196714606</v>
      </c>
      <c r="JH7" s="15" t="n">
        <f aca="false">B7^2/JG7</f>
        <v>9.08797961075163</v>
      </c>
      <c r="JI7" s="15" t="n">
        <f aca="false">Inputs!$B$54*H7/(Inputs!$B$35*F7+E7*H7^2/(PI()*JH7*Inputs!$B$36))</f>
        <v>17.7928733015756</v>
      </c>
      <c r="JJ7" s="15" t="n">
        <f aca="false">EXP(-Inputs!$B$11*Inputs!$B$14*Inputs!$B$17/(Inputs!$B$51*JI7*Inputs!$B$16))</f>
        <v>0.735403078194107</v>
      </c>
      <c r="JK7" s="15" t="n">
        <f aca="false">Inputs!$B$50*Inputs!$B$18*JJ7*Inputs!$B$19</f>
        <v>0.718580166073657</v>
      </c>
      <c r="JL7" s="15" t="n">
        <f aca="false">1-JK7</f>
        <v>0.281419833926343</v>
      </c>
      <c r="JM7" s="15" t="n">
        <f aca="false">Inputs!$B$20*JL7</f>
        <v>0.00844259501779028</v>
      </c>
      <c r="JN7" s="15" t="n">
        <f aca="false">0.8*(1-Inputs!$B$50)*(JK7-JM7)</f>
        <v>0.00171044303474573</v>
      </c>
      <c r="JO7" s="15" t="n">
        <f aca="false">JK7-JM7-JN7</f>
        <v>0.708427128021121</v>
      </c>
      <c r="JP7" s="15" t="n">
        <f aca="false">JO7*(1-Inputs!$B$18*EXP(-Inputs!$B$21*Inputs!$B$14*Inputs!$B$17/(Inputs!$B$22*Inputs!$B$23*Inputs!$B$24*JI7*Inputs!$B$16))*Inputs!$B$19)</f>
        <v>0.0266082315826671</v>
      </c>
      <c r="JQ7" s="15" t="n">
        <f aca="false">(JO7-JP7)*(1-EXP(-Inputs!$B$25*Inputs!$B$14*Inputs!$B$17*Inputs!$B$26/(JI7*Inputs!$B$16/0.866)))</f>
        <v>0.00795500718180349</v>
      </c>
      <c r="JR7" s="15" t="n">
        <f aca="false">(JO7-JP7-JQ7)*(1-Inputs!$B$19)</f>
        <v>0.00336931944628326</v>
      </c>
      <c r="JS7" s="15" t="n">
        <f aca="false">(JL7+JM7+JN7+JP7+JQ7+JR7)*(1+Inputs!$B$27)</f>
        <v>0.330493946480201</v>
      </c>
      <c r="JT7" s="15" t="n">
        <f aca="false">Inputs!$B$52/(1-JS7-G7)</f>
        <v>207042.880382207</v>
      </c>
      <c r="JU7" s="15" t="n">
        <f aca="false">JT7/Inputs!$B$34</f>
        <v>345.071467303679</v>
      </c>
      <c r="JV7" s="15" t="n">
        <f aca="false">B7^2/JU7</f>
        <v>9.08797248437865</v>
      </c>
      <c r="JW7" s="15" t="n">
        <f aca="false">Inputs!$B$54*H7/(Inputs!$B$35*F7+E7*H7^2/(PI()*JV7*Inputs!$B$36))</f>
        <v>17.7928683508829</v>
      </c>
      <c r="JX7" s="15" t="n">
        <f aca="false">EXP(-Inputs!$B$11*Inputs!$B$14*Inputs!$B$17/(Inputs!$B$51*JW7*Inputs!$B$16))</f>
        <v>0.735403015307293</v>
      </c>
      <c r="JY7" s="15" t="n">
        <f aca="false">Inputs!$B$50*Inputs!$B$18*JX7*Inputs!$B$19</f>
        <v>0.718580104625427</v>
      </c>
      <c r="JZ7" s="15" t="n">
        <f aca="false">1-JY7</f>
        <v>0.281419895374573</v>
      </c>
      <c r="KA7" s="15" t="n">
        <f aca="false">Inputs!$B$20*JZ7</f>
        <v>0.00844259686123719</v>
      </c>
      <c r="KB7" s="15" t="n">
        <f aca="false">0.8*(1-Inputs!$B$50)*(JY7-KA7)</f>
        <v>0.00171044288230089</v>
      </c>
      <c r="KC7" s="15" t="n">
        <f aca="false">JY7-KA7-KB7</f>
        <v>0.708427064881889</v>
      </c>
      <c r="KD7" s="15" t="n">
        <f aca="false">KC7*(1-Inputs!$B$18*EXP(-Inputs!$B$21*Inputs!$B$14*Inputs!$B$17/(Inputs!$B$22*Inputs!$B$23*Inputs!$B$24*JW7*Inputs!$B$16))*Inputs!$B$19)</f>
        <v>0.026608232655728</v>
      </c>
      <c r="KE7" s="15" t="n">
        <f aca="false">(KC7-KD7)*(1-EXP(-Inputs!$B$25*Inputs!$B$14*Inputs!$B$17*Inputs!$B$26/(JW7*Inputs!$B$16/0.866)))</f>
        <v>0.00795500863305778</v>
      </c>
      <c r="KF7" s="15" t="n">
        <f aca="false">(KC7-KD7-KE7)*(1-Inputs!$B$19)</f>
        <v>0.00336931911796552</v>
      </c>
      <c r="KG7" s="15" t="n">
        <f aca="false">(JZ7+KA7+KB7+KD7+KE7+KF7)*(1+Inputs!$B$27)</f>
        <v>0.330494012011437</v>
      </c>
      <c r="KH7" s="15" t="n">
        <f aca="false">Inputs!$B$52/(1-KG7-G7)</f>
        <v>207042.966485274</v>
      </c>
      <c r="KI7" s="15" t="n">
        <f aca="false">KH7/Inputs!$B$34</f>
        <v>345.07161080879</v>
      </c>
      <c r="KJ7" s="15" t="n">
        <f aca="false">B7^2/KI7</f>
        <v>9.08796870495879</v>
      </c>
      <c r="KK7" s="15" t="n">
        <f aca="false">Inputs!$B$54*H7/(Inputs!$B$35*F7+E7*H7^2/(PI()*KJ7*Inputs!$B$36))</f>
        <v>17.7928657253172</v>
      </c>
      <c r="KL7" s="15" t="n">
        <f aca="false">EXP(-Inputs!$B$11*Inputs!$B$14*Inputs!$B$17/(Inputs!$B$51*KK7*Inputs!$B$16))</f>
        <v>0.735402981955692</v>
      </c>
      <c r="KM7" s="15" t="n">
        <f aca="false">Inputs!$B$50*Inputs!$B$18*KL7*Inputs!$B$19</f>
        <v>0.71858007203677</v>
      </c>
      <c r="KN7" s="15" t="n">
        <f aca="false">1-KM7</f>
        <v>0.28141992796323</v>
      </c>
      <c r="KO7" s="15" t="n">
        <f aca="false">Inputs!$B$20*KN7</f>
        <v>0.0084425978388969</v>
      </c>
      <c r="KP7" s="15" t="n">
        <f aca="false">0.8*(1-Inputs!$B$50)*(KM7-KO7)</f>
        <v>0.00171044280145279</v>
      </c>
      <c r="KQ7" s="15" t="n">
        <f aca="false">KM7-KO7-KP7</f>
        <v>0.70842703139642</v>
      </c>
      <c r="KR7" s="15" t="n">
        <f aca="false">KQ7*(1-Inputs!$B$18*EXP(-Inputs!$B$21*Inputs!$B$14*Inputs!$B$17/(Inputs!$B$22*Inputs!$B$23*Inputs!$B$24*KK7*Inputs!$B$16))*Inputs!$B$19)</f>
        <v>0.0266082332248184</v>
      </c>
      <c r="KS7" s="15" t="n">
        <f aca="false">(KQ7-KR7)*(1-EXP(-Inputs!$B$25*Inputs!$B$14*Inputs!$B$17*Inputs!$B$26/(KK7*Inputs!$B$16/0.866)))</f>
        <v>0.00795500940272068</v>
      </c>
      <c r="KT7" s="15" t="n">
        <f aca="false">(KQ7-KR7-KS7)*(1-Inputs!$B$19)</f>
        <v>0.00336931894384441</v>
      </c>
      <c r="KU7" s="15" t="n">
        <f aca="false">(KN7+KO7+KP7+KR7+KS7+KT7)*(1+Inputs!$B$27)</f>
        <v>0.330494046765488</v>
      </c>
      <c r="KV7" s="15" t="n">
        <f aca="false">Inputs!$B$52/(1-KU7-G7)</f>
        <v>207043.012149487</v>
      </c>
      <c r="KW7" s="15" t="n">
        <f aca="false">KV7/Inputs!$B$34</f>
        <v>345.071686915811</v>
      </c>
      <c r="KX7" s="15" t="n">
        <f aca="false">B7^2/KW7</f>
        <v>9.08796670056881</v>
      </c>
      <c r="KY7" s="15" t="n">
        <f aca="false">Inputs!$B$54*H7/(Inputs!$B$35*F7+E7*H7^2/(PI()*KX7*Inputs!$B$36))</f>
        <v>17.7928643328655</v>
      </c>
      <c r="KZ7" s="15" t="n">
        <f aca="false">EXP(-Inputs!$B$11*Inputs!$B$14*Inputs!$B$17/(Inputs!$B$51*KY7*Inputs!$B$16))</f>
        <v>0.735402964267884</v>
      </c>
      <c r="LA7" s="15" t="n">
        <f aca="false">Inputs!$B$50*Inputs!$B$18*KZ7*Inputs!$B$19</f>
        <v>0.718580054753584</v>
      </c>
      <c r="LB7" s="15" t="n">
        <f aca="false">1-LA7</f>
        <v>0.281419945246416</v>
      </c>
      <c r="LC7" s="15" t="n">
        <f aca="false">Inputs!$B$20*LB7</f>
        <v>0.00844259835739249</v>
      </c>
      <c r="LD7" s="15" t="n">
        <f aca="false">0.8*(1-Inputs!$B$50)*(LA7-LC7)</f>
        <v>0.00171044275857552</v>
      </c>
      <c r="LE7" s="15" t="n">
        <f aca="false">LA7-LC7-LD7</f>
        <v>0.708427013637616</v>
      </c>
      <c r="LF7" s="15" t="n">
        <f aca="false">LE7*(1-Inputs!$B$18*EXP(-Inputs!$B$21*Inputs!$B$14*Inputs!$B$17/(Inputs!$B$22*Inputs!$B$23*Inputs!$B$24*KY7*Inputs!$B$16))*Inputs!$B$19)</f>
        <v>0.0266082335266318</v>
      </c>
      <c r="LG7" s="15" t="n">
        <f aca="false">(LE7-LF7)*(1-EXP(-Inputs!$B$25*Inputs!$B$14*Inputs!$B$17*Inputs!$B$26/(KY7*Inputs!$B$16/0.866)))</f>
        <v>0.00795500981090647</v>
      </c>
      <c r="LH7" s="15" t="n">
        <f aca="false">(LE7-LF7-LG7)*(1-Inputs!$B$19)</f>
        <v>0.00336931885150039</v>
      </c>
      <c r="LI7" s="15" t="n">
        <f aca="false">(LB7+LC7+LD7+LF7+LG7+LH7)*(1+Inputs!$B$27)</f>
        <v>0.330494065197077</v>
      </c>
      <c r="LJ7" s="15" t="n">
        <f aca="false">Inputs!$B$52/(1-LI7-G7)</f>
        <v>207043.036367218</v>
      </c>
      <c r="LK7" s="15" t="n">
        <f aca="false">LJ7/Inputs!$B$34</f>
        <v>345.071727278697</v>
      </c>
      <c r="LL7" s="15" t="n">
        <f aca="false">B7^2/LK7</f>
        <v>9.0879656375534</v>
      </c>
      <c r="LM7" s="15" t="n">
        <f aca="false">Inputs!$B$54*H7/(Inputs!$B$35*F7+E7*H7^2/(PI()*LL7*Inputs!$B$36))</f>
        <v>17.7928635943875</v>
      </c>
      <c r="LN7" s="15" t="n">
        <f aca="false">EXP(-Inputs!$B$11*Inputs!$B$14*Inputs!$B$17/(Inputs!$B$51*LM7*Inputs!$B$16))</f>
        <v>0.735402954887265</v>
      </c>
      <c r="LO7" s="15" t="n">
        <f aca="false">Inputs!$B$50*Inputs!$B$18*LN7*Inputs!$B$19</f>
        <v>0.718580045587554</v>
      </c>
      <c r="LP7" s="15" t="n">
        <f aca="false">1-LO7</f>
        <v>0.281419954412447</v>
      </c>
      <c r="LQ7" s="15" t="n">
        <f aca="false">Inputs!$B$20*LP7</f>
        <v>0.00844259863237339</v>
      </c>
      <c r="LR7" s="15" t="n">
        <f aca="false">0.8*(1-Inputs!$B$50)*(LO7-LQ7)</f>
        <v>0.00171044273583582</v>
      </c>
      <c r="LS7" s="15" t="n">
        <f aca="false">LO7-LQ7-LR7</f>
        <v>0.708427004219344</v>
      </c>
      <c r="LT7" s="15" t="n">
        <f aca="false">LS7*(1-Inputs!$B$18*EXP(-Inputs!$B$21*Inputs!$B$14*Inputs!$B$17/(Inputs!$B$22*Inputs!$B$23*Inputs!$B$24*LM7*Inputs!$B$16))*Inputs!$B$19)</f>
        <v>0.0266082336866967</v>
      </c>
      <c r="LU7" s="15" t="n">
        <f aca="false">(LS7-LT7)*(1-EXP(-Inputs!$B$25*Inputs!$B$14*Inputs!$B$17*Inputs!$B$26/(LM7*Inputs!$B$16/0.866)))</f>
        <v>0.00795501002738521</v>
      </c>
      <c r="LV7" s="15" t="n">
        <f aca="false">(LS7-LT7-LU7)*(1-Inputs!$B$19)</f>
        <v>0.00336931880252632</v>
      </c>
      <c r="LW7" s="15" t="n">
        <f aca="false">(LP7+LQ7+LR7+LT7+LU7+LV7)*(1+Inputs!$B$27)</f>
        <v>0.330494074972156</v>
      </c>
      <c r="LX7" s="15" t="n">
        <f aca="false">Inputs!$B$52/(1-LW7-G7)</f>
        <v>207043.049210944</v>
      </c>
      <c r="LY7" s="15" t="n">
        <f aca="false">LX7/Inputs!$B$34</f>
        <v>345.071748684907</v>
      </c>
      <c r="LZ7" s="15" t="n">
        <f aca="false">B7^2/LY7</f>
        <v>9.08796507378979</v>
      </c>
      <c r="MA7" s="15" t="n">
        <f aca="false">Inputs!$B$54*H7/(Inputs!$B$35*F7+E7*H7^2/(PI()*LZ7*Inputs!$B$36))</f>
        <v>17.7928632027402</v>
      </c>
      <c r="MB7" s="15" t="n">
        <f aca="false">EXP(-Inputs!$B$11*Inputs!$B$14*Inputs!$B$17/(Inputs!$B$51*MA7*Inputs!$B$16))</f>
        <v>0.735402949912311</v>
      </c>
      <c r="MC7" s="15" t="n">
        <f aca="false">Inputs!$B$50*Inputs!$B$18*MB7*Inputs!$B$19</f>
        <v>0.718580040726406</v>
      </c>
      <c r="MD7" s="15" t="n">
        <f aca="false">1-MC7</f>
        <v>0.281419959273595</v>
      </c>
      <c r="ME7" s="15" t="n">
        <f aca="false">Inputs!$B$20*MD7</f>
        <v>0.00844259877820784</v>
      </c>
      <c r="MF7" s="15" t="n">
        <f aca="false">0.8*(1-Inputs!$B$50)*(MC7-ME7)</f>
        <v>0.00171044272377597</v>
      </c>
      <c r="MG7" s="15" t="n">
        <f aca="false">MC7-ME7-MF7</f>
        <v>0.708426999224422</v>
      </c>
      <c r="MH7" s="15" t="n">
        <f aca="false">MG7*(1-Inputs!$B$18*EXP(-Inputs!$B$21*Inputs!$B$14*Inputs!$B$17/(Inputs!$B$22*Inputs!$B$23*Inputs!$B$24*MA7*Inputs!$B$16))*Inputs!$B$19)</f>
        <v>0.0266082337715861</v>
      </c>
      <c r="MI7" s="15" t="n">
        <f aca="false">(MG7-MH7)*(1-EXP(-Inputs!$B$25*Inputs!$B$14*Inputs!$B$17*Inputs!$B$26/(MA7*Inputs!$B$16/0.866)))</f>
        <v>0.00795501014219345</v>
      </c>
      <c r="MJ7" s="15" t="n">
        <f aca="false">(MG7-MH7-MI7)*(1-Inputs!$B$19)</f>
        <v>0.00336931877655321</v>
      </c>
      <c r="MK7" s="15" t="n">
        <f aca="false">(MD7+ME7+MF7+MH7+MI7+MJ7)*(1+Inputs!$B$27)</f>
        <v>0.330494080156309</v>
      </c>
      <c r="ML7" s="15" t="n">
        <f aca="false">Inputs!$B$52/(1-MK7-G7)</f>
        <v>207043.056022536</v>
      </c>
      <c r="MM7" s="15" t="n">
        <f aca="false">ML7/Inputs!$B$34</f>
        <v>345.07176003756</v>
      </c>
      <c r="MN7" s="15" t="n">
        <f aca="false">B7^2/MM7</f>
        <v>9.08796477480121</v>
      </c>
      <c r="MO7" s="15" t="n">
        <f aca="false">Inputs!$B$54*H7/(Inputs!$B$35*F7+E7*H7^2/(PI()*MN7*Inputs!$B$36))</f>
        <v>17.7928629950324</v>
      </c>
      <c r="MP7" s="15" t="n">
        <f aca="false">EXP(-Inputs!$B$11*Inputs!$B$14*Inputs!$B$17/(Inputs!$B$51*MO7*Inputs!$B$16))</f>
        <v>0.735402947273874</v>
      </c>
      <c r="MQ7" s="15" t="n">
        <f aca="false">Inputs!$B$50*Inputs!$B$18*MP7*Inputs!$B$19</f>
        <v>0.718580038148325</v>
      </c>
      <c r="MR7" s="15" t="n">
        <f aca="false">1-MQ7</f>
        <v>0.281419961851675</v>
      </c>
      <c r="MS7" s="15" t="n">
        <f aca="false">Inputs!$B$20*MR7</f>
        <v>0.00844259885555024</v>
      </c>
      <c r="MT7" s="15" t="n">
        <f aca="false">0.8*(1-Inputs!$B$50)*(MQ7-MS7)</f>
        <v>0.00171044271738009</v>
      </c>
      <c r="MU7" s="15" t="n">
        <f aca="false">MQ7-MS7-MT7</f>
        <v>0.708426996575395</v>
      </c>
      <c r="MV7" s="15" t="n">
        <f aca="false">MU7*(1-Inputs!$B$18*EXP(-Inputs!$B$21*Inputs!$B$14*Inputs!$B$17/(Inputs!$B$22*Inputs!$B$23*Inputs!$B$24*MO7*Inputs!$B$16))*Inputs!$B$19)</f>
        <v>0.0266082338166067</v>
      </c>
      <c r="MW7" s="15" t="n">
        <f aca="false">(MU7-MV7)*(1-EXP(-Inputs!$B$25*Inputs!$B$14*Inputs!$B$17*Inputs!$B$26/(MO7*Inputs!$B$16/0.866)))</f>
        <v>0.00795501020308126</v>
      </c>
      <c r="MX7" s="15" t="n">
        <f aca="false">(MU7-MV7-MW7)*(1-Inputs!$B$19)</f>
        <v>0.00336931876277854</v>
      </c>
      <c r="MY7" s="15" t="n">
        <f aca="false">(MR7+MS7+MT7+MV7+MW7+MX7)*(1+Inputs!$B$27)</f>
        <v>0.330494082905693</v>
      </c>
      <c r="MZ7" s="15" t="n">
        <f aca="false">Inputs!$B$52/(1-MY7-G7)</f>
        <v>207043.059635022</v>
      </c>
      <c r="NA7" s="15" t="n">
        <f aca="false">MZ7/Inputs!$B$34</f>
        <v>345.071766058371</v>
      </c>
      <c r="NB7" s="15" t="n">
        <f aca="false">B7^2/NA7</f>
        <v>9.08796461623443</v>
      </c>
      <c r="NC7" s="15" t="n">
        <f aca="false">Inputs!$B$54*H7/(Inputs!$B$35*F7+E7*H7^2/(PI()*NB7*Inputs!$B$36))</f>
        <v>17.7928628848759</v>
      </c>
      <c r="ND7" s="15" t="n">
        <f aca="false">EXP(-Inputs!$B$11*Inputs!$B$14*Inputs!$B$17/(Inputs!$B$51*NC7*Inputs!$B$16))</f>
        <v>0.735402945874595</v>
      </c>
      <c r="NE7" s="15" t="n">
        <f aca="false">Inputs!$B$50*Inputs!$B$18*ND7*Inputs!$B$19</f>
        <v>0.718580036781056</v>
      </c>
      <c r="NF7" s="15" t="n">
        <f aca="false">1-NE7</f>
        <v>0.281419963218944</v>
      </c>
      <c r="NG7" s="15" t="n">
        <f aca="false">Inputs!$B$20*NF7</f>
        <v>0.00844259889656832</v>
      </c>
      <c r="NH7" s="15" t="n">
        <f aca="false">0.8*(1-Inputs!$B$50)*(NE7-NG7)</f>
        <v>0.00171044271398808</v>
      </c>
      <c r="NI7" s="15" t="n">
        <f aca="false">NE7-NG7-NH7</f>
        <v>0.7084269951705</v>
      </c>
      <c r="NJ7" s="15" t="n">
        <f aca="false">NI7*(1-Inputs!$B$18*EXP(-Inputs!$B$21*Inputs!$B$14*Inputs!$B$17/(Inputs!$B$22*Inputs!$B$23*Inputs!$B$24*NC7*Inputs!$B$16))*Inputs!$B$19)</f>
        <v>0.0266082338404831</v>
      </c>
      <c r="NK7" s="15" t="n">
        <f aca="false">(NI7-NJ7)*(1-EXP(-Inputs!$B$25*Inputs!$B$14*Inputs!$B$17*Inputs!$B$26/(NC7*Inputs!$B$16/0.866)))</f>
        <v>0.00795501023537278</v>
      </c>
      <c r="NL7" s="15" t="n">
        <f aca="false">(NI7-NJ7-NK7)*(1-Inputs!$B$19)</f>
        <v>0.00336931875547322</v>
      </c>
      <c r="NM7" s="15" t="n">
        <f aca="false">(NF7+NG7+NH7+NJ7+NK7+NL7)*(1+Inputs!$B$27)</f>
        <v>0.330494084363812</v>
      </c>
      <c r="NN7" s="15" t="n">
        <f aca="false">Inputs!$B$52/(1-NM7-G7)</f>
        <v>207043.061550883</v>
      </c>
    </row>
    <row r="8" customFormat="false" ht="15" hidden="false" customHeight="false" outlineLevel="0" collapsed="false">
      <c r="A8" s="21" t="s">
        <v>501</v>
      </c>
      <c r="B8" s="21" t="n">
        <v>56</v>
      </c>
      <c r="C8" s="22" t="n">
        <v>0.1</v>
      </c>
      <c r="D8" s="23" t="n">
        <f aca="false">B8*C8</f>
        <v>5.6</v>
      </c>
      <c r="E8" s="24" t="n">
        <f aca="false">IF(C8=0,1,(1+0.45*C8)/(1.04+2.81*C8))</f>
        <v>0.791067373202119</v>
      </c>
      <c r="F8" s="24" t="n">
        <f aca="false">1+Inputs!$B$42*D8</f>
        <v>1.028</v>
      </c>
      <c r="G8" s="25" t="n">
        <f aca="false">Inputs!$B$31+Inputs!$B$43*(B8/Inputs!$B$32-1)+Inputs!$B$44+Inputs!$B$45*D8</f>
        <v>0.51361</v>
      </c>
      <c r="H8" s="22" t="n">
        <f aca="false">Inputs!$B$38</f>
        <v>0.5</v>
      </c>
      <c r="I8" s="23" t="n">
        <f aca="false">Inputs!$B$40</f>
        <v>2.4</v>
      </c>
      <c r="J8" s="26" t="n">
        <f aca="false">NN8/Inputs!$B$34</f>
        <v>331.258389390193</v>
      </c>
      <c r="K8" s="23" t="n">
        <f aca="false">B8^2/J8</f>
        <v>9.46693004748649</v>
      </c>
      <c r="L8" s="23" t="n">
        <f aca="false">2*K8</f>
        <v>18.933860094973</v>
      </c>
      <c r="M8" s="22" t="n">
        <f aca="false">NC8</f>
        <v>18.4348857848392</v>
      </c>
      <c r="N8" s="23" t="n">
        <f aca="false">B8/SQRT(E8)</f>
        <v>62.9624023908915</v>
      </c>
      <c r="O8" s="24" t="n">
        <f aca="false">NM8</f>
        <v>0.322243213860945</v>
      </c>
      <c r="P8" s="23" t="n">
        <f aca="false">NN8/1000</f>
        <v>198.755033634116</v>
      </c>
      <c r="Q8" s="23" t="n">
        <f aca="false">G8*NN8/1000</f>
        <v>102.082572824818</v>
      </c>
      <c r="R8" s="23" t="n">
        <f aca="false">NM8*NN8/1000</f>
        <v>64.0474608092977</v>
      </c>
      <c r="S8" s="23" t="n">
        <f aca="false">NM8*NN8/Inputs!$B$28/1000</f>
        <v>85.3966144123969</v>
      </c>
      <c r="T8" s="27" t="n">
        <f aca="false">R8/Sweep!$R$5-1</f>
        <v>0.024814769861798</v>
      </c>
      <c r="U8" s="27" t="n">
        <f aca="false">R8/SUMIFS(Sweep!$R:$R,Sweep!$A:$A,"Conventional",Sweep!$B:$B,B8)-1</f>
        <v>-0.202163586821514</v>
      </c>
      <c r="V8" s="26" t="n">
        <f aca="false">2*0.54*(J8/2)^1.5/SQRT(L8)*Inputs!$B$46*Inputs!$B$47</f>
        <v>49.4676318404868</v>
      </c>
      <c r="W8" s="28" t="n">
        <f aca="false">MIN(1,V8/S8)</f>
        <v>0.579269238960669</v>
      </c>
      <c r="X8" s="26" t="n">
        <f aca="false">1.23*SQRT(2*Inputs!$B$41*NN8*Inputs!$B$49/(1.225*J8*I8))/0.5144</f>
        <v>133.62967568068</v>
      </c>
      <c r="Y8" s="29" t="n">
        <f aca="false">(11000+6341.6*LN(0.36392/(2*Inputs!$B$50*Inputs!$B$18*(1+ND8)/2*Inputs!$B$34*Inputs!$B$49/((Inputs!$B$12*295.07)^2*H8))))/0.3048</f>
        <v>38740.448054369</v>
      </c>
      <c r="Z8" s="26" t="n">
        <f aca="false">NN8-MZ8</f>
        <v>2.20057845581323E-005</v>
      </c>
      <c r="AA8" s="30" t="str">
        <f aca="false">IF(ABS(NN8-MZ8)&lt;10,"Yes","No")</f>
        <v>Yes</v>
      </c>
      <c r="AC8" s="15" t="n">
        <f aca="false">Inputs!$B$52/(1-0.3154-G8)/Inputs!$B$34</f>
        <v>318.00105269314</v>
      </c>
      <c r="AD8" s="15" t="n">
        <f aca="false">B8^2/AC8</f>
        <v>9.86160257471264</v>
      </c>
      <c r="AE8" s="15" t="n">
        <f aca="false">Inputs!$B$54*H8/(Inputs!$B$35*F8+E8*H8^2/(PI()*AD8*Inputs!$B$36))</f>
        <v>18.6757962503816</v>
      </c>
      <c r="AF8" s="15" t="n">
        <f aca="false">EXP(-Inputs!$B$11*Inputs!$B$14*Inputs!$B$17/(Inputs!$B$51*AE8*Inputs!$B$16))</f>
        <v>0.746166298014662</v>
      </c>
      <c r="AG8" s="15" t="n">
        <f aca="false">Inputs!$B$50*Inputs!$B$18*AF8*Inputs!$B$19</f>
        <v>0.729097168946604</v>
      </c>
      <c r="AH8" s="15" t="n">
        <f aca="false">1-AG8</f>
        <v>0.270902831053396</v>
      </c>
      <c r="AI8" s="15" t="n">
        <f aca="false">Inputs!$B$20*AH8</f>
        <v>0.00812708493160188</v>
      </c>
      <c r="AJ8" s="15" t="n">
        <f aca="false">0.8*(1-Inputs!$B$50)*(AG8-AI8)</f>
        <v>0.00173653431211921</v>
      </c>
      <c r="AK8" s="15" t="n">
        <f aca="false">AG8-AI8-AJ8</f>
        <v>0.719233549702883</v>
      </c>
      <c r="AL8" s="15" t="n">
        <f aca="false">AK8*(1-Inputs!$B$18*EXP(-Inputs!$B$21*Inputs!$B$14*Inputs!$B$17/(Inputs!$B$22*Inputs!$B$23*Inputs!$B$24*AE8*Inputs!$B$16))*Inputs!$B$19)</f>
        <v>0.0264196645098115</v>
      </c>
      <c r="AM8" s="15" t="n">
        <f aca="false">(AK8-AL8)*(1-EXP(-Inputs!$B$25*Inputs!$B$14*Inputs!$B$17*Inputs!$B$26/(AE8*Inputs!$B$16/0.866)))</f>
        <v>0.00770327380815239</v>
      </c>
      <c r="AN8" s="15" t="n">
        <f aca="false">(AK8-AL8-AM8)*(1-Inputs!$B$19)</f>
        <v>0.0034255530569246</v>
      </c>
      <c r="AO8" s="15" t="n">
        <f aca="false">(AH8+AI8+AJ8+AL8+AM8+AN8)*(1+Inputs!$B$27)</f>
        <v>0.319269886497021</v>
      </c>
      <c r="AP8" s="15" t="n">
        <f aca="false">Inputs!$B$52/(1-AO8-G8)</f>
        <v>195218.871721377</v>
      </c>
      <c r="AQ8" s="15" t="n">
        <f aca="false">AP8/Inputs!$B$34</f>
        <v>325.364786202296</v>
      </c>
      <c r="AR8" s="15" t="n">
        <f aca="false">B8^2/AQ8</f>
        <v>9.63841243117869</v>
      </c>
      <c r="AS8" s="15" t="n">
        <f aca="false">Inputs!$B$54*H8/(Inputs!$B$35*F8+E8*H8^2/(PI()*AR8*Inputs!$B$36))</f>
        <v>18.5412117312468</v>
      </c>
      <c r="AT8" s="15" t="n">
        <f aca="false">EXP(-Inputs!$B$11*Inputs!$B$14*Inputs!$B$17/(Inputs!$B$51*AS8*Inputs!$B$16))</f>
        <v>0.744582089593382</v>
      </c>
      <c r="AU8" s="15" t="n">
        <f aca="false">Inputs!$B$50*Inputs!$B$18*AT8*Inputs!$B$19</f>
        <v>0.727549200513763</v>
      </c>
      <c r="AV8" s="15" t="n">
        <f aca="false">1-AU8</f>
        <v>0.272450799486237</v>
      </c>
      <c r="AW8" s="15" t="n">
        <f aca="false">Inputs!$B$20*AV8</f>
        <v>0.00817352398458712</v>
      </c>
      <c r="AX8" s="15" t="n">
        <f aca="false">0.8*(1-Inputs!$B$50)*(AU8-AW8)</f>
        <v>0.00173269400949359</v>
      </c>
      <c r="AY8" s="15" t="n">
        <f aca="false">AU8-AW8-AX8</f>
        <v>0.717642982519682</v>
      </c>
      <c r="AZ8" s="15" t="n">
        <f aca="false">AY8*(1-Inputs!$B$18*EXP(-Inputs!$B$21*Inputs!$B$14*Inputs!$B$17/(Inputs!$B$22*Inputs!$B$23*Inputs!$B$24*AS8*Inputs!$B$16))*Inputs!$B$19)</f>
        <v>0.0264480330475285</v>
      </c>
      <c r="BA8" s="15" t="n">
        <f aca="false">(AY8-AZ8)*(1-EXP(-Inputs!$B$25*Inputs!$B$14*Inputs!$B$17*Inputs!$B$26/(AS8*Inputs!$B$16/0.866)))</f>
        <v>0.00774074446739916</v>
      </c>
      <c r="BB8" s="15" t="n">
        <f aca="false">(AY8-AZ8-BA8)*(1-Inputs!$B$19)</f>
        <v>0.00341727102502377</v>
      </c>
      <c r="BC8" s="15" t="n">
        <f aca="false">(AV8+AW8+AX8+AZ8+BA8+BB8)*(1+Inputs!$B$27)</f>
        <v>0.32092295521833</v>
      </c>
      <c r="BD8" s="15" t="n">
        <f aca="false">Inputs!$B$52/(1-BC8-G8)</f>
        <v>197169.170713407</v>
      </c>
      <c r="BE8" s="15" t="n">
        <f aca="false">BD8/Inputs!$B$34</f>
        <v>328.615284522345</v>
      </c>
      <c r="BF8" s="15" t="n">
        <f aca="false">B8^2/BE8</f>
        <v>9.54307406777592</v>
      </c>
      <c r="BG8" s="15" t="n">
        <f aca="false">Inputs!$B$54*H8/(Inputs!$B$35*F8+E8*H8^2/(PI()*BF8*Inputs!$B$36))</f>
        <v>18.482418590004</v>
      </c>
      <c r="BH8" s="15" t="n">
        <f aca="false">EXP(-Inputs!$B$11*Inputs!$B$14*Inputs!$B$17/(Inputs!$B$51*BG8*Inputs!$B$16))</f>
        <v>0.743883858977949</v>
      </c>
      <c r="BI8" s="15" t="n">
        <f aca="false">Inputs!$B$50*Inputs!$B$18*BH8*Inputs!$B$19</f>
        <v>0.72686694246172</v>
      </c>
      <c r="BJ8" s="15" t="n">
        <f aca="false">1-BI8</f>
        <v>0.27313305753828</v>
      </c>
      <c r="BK8" s="15" t="n">
        <f aca="false">Inputs!$B$20*BJ8</f>
        <v>0.00819399172614841</v>
      </c>
      <c r="BL8" s="15" t="n">
        <f aca="false">0.8*(1-Inputs!$B$50)*(BI8-BK8)</f>
        <v>0.0017310014185253</v>
      </c>
      <c r="BM8" s="15" t="n">
        <f aca="false">BI8-BK8-BL8</f>
        <v>0.716941949317046</v>
      </c>
      <c r="BN8" s="15" t="n">
        <f aca="false">BM8*(1-Inputs!$B$18*EXP(-Inputs!$B$21*Inputs!$B$14*Inputs!$B$17/(Inputs!$B$22*Inputs!$B$23*Inputs!$B$24*BG8*Inputs!$B$16))*Inputs!$B$19)</f>
        <v>0.0264604692872362</v>
      </c>
      <c r="BO8" s="15" t="n">
        <f aca="false">(BM8-BN8)*(1-EXP(-Inputs!$B$25*Inputs!$B$14*Inputs!$B$17*Inputs!$B$26/(BG8*Inputs!$B$16/0.866)))</f>
        <v>0.00775721370468354</v>
      </c>
      <c r="BP8" s="15" t="n">
        <f aca="false">(BM8-BN8-BO8)*(1-Inputs!$B$19)</f>
        <v>0.00341362133162563</v>
      </c>
      <c r="BQ8" s="15" t="n">
        <f aca="false">(BJ8+BK8+BL8+BN8+BO8+BP8)*(1+Inputs!$B$27)</f>
        <v>0.321651423071519</v>
      </c>
      <c r="BR8" s="15" t="n">
        <f aca="false">Inputs!$B$52/(1-BQ8-G8)</f>
        <v>198041.04544477</v>
      </c>
      <c r="BS8" s="15" t="n">
        <f aca="false">BR8/Inputs!$B$34</f>
        <v>330.068409074616</v>
      </c>
      <c r="BT8" s="15" t="n">
        <f aca="false">B8^2/BS8</f>
        <v>9.50106073099249</v>
      </c>
      <c r="BU8" s="15" t="n">
        <f aca="false">Inputs!$B$54*H8/(Inputs!$B$35*F8+E8*H8^2/(PI()*BT8*Inputs!$B$36))</f>
        <v>18.4562557403528</v>
      </c>
      <c r="BV8" s="15" t="n">
        <f aca="false">EXP(-Inputs!$B$11*Inputs!$B$14*Inputs!$B$17/(Inputs!$B$51*BU8*Inputs!$B$16))</f>
        <v>0.743571929103815</v>
      </c>
      <c r="BW8" s="15" t="n">
        <f aca="false">Inputs!$B$50*Inputs!$B$18*BV8*Inputs!$B$19</f>
        <v>0.726562148223832</v>
      </c>
      <c r="BX8" s="15" t="n">
        <f aca="false">1-BW8</f>
        <v>0.273437851776168</v>
      </c>
      <c r="BY8" s="15" t="n">
        <f aca="false">Inputs!$B$20*BX8</f>
        <v>0.00820313555328505</v>
      </c>
      <c r="BZ8" s="15" t="n">
        <f aca="false">0.8*(1-Inputs!$B$50)*(BW8-BY8)</f>
        <v>0.00173024526479038</v>
      </c>
      <c r="CA8" s="15" t="n">
        <f aca="false">BW8-BY8-BZ8</f>
        <v>0.716628767405756</v>
      </c>
      <c r="CB8" s="15" t="n">
        <f aca="false">CA8*(1-Inputs!$B$18*EXP(-Inputs!$B$21*Inputs!$B$14*Inputs!$B$17/(Inputs!$B$22*Inputs!$B$23*Inputs!$B$24*BU8*Inputs!$B$16))*Inputs!$B$19)</f>
        <v>0.0264660118267466</v>
      </c>
      <c r="CC8" s="15" t="n">
        <f aca="false">(CA8-CB8)*(1-EXP(-Inputs!$B$25*Inputs!$B$14*Inputs!$B$17*Inputs!$B$26/(BU8*Inputs!$B$16/0.866)))</f>
        <v>0.00776456217437961</v>
      </c>
      <c r="CD8" s="15" t="n">
        <f aca="false">(CA8-CB8-CC8)*(1-Inputs!$B$19)</f>
        <v>0.00341199096702315</v>
      </c>
      <c r="CE8" s="15" t="n">
        <f aca="false">(BX8+BY8+BZ8+CB8+CC8+CD8)*(1+Inputs!$B$27)</f>
        <v>0.32197683895508</v>
      </c>
      <c r="CF8" s="15" t="n">
        <f aca="false">Inputs!$B$52/(1-CE8-G8)</f>
        <v>198433.019550585</v>
      </c>
      <c r="CG8" s="15" t="n">
        <f aca="false">CF8/Inputs!$B$34</f>
        <v>330.721699250975</v>
      </c>
      <c r="CH8" s="15" t="n">
        <f aca="false">B8^2/CG8</f>
        <v>9.48229283745964</v>
      </c>
      <c r="CI8" s="15" t="n">
        <f aca="false">Inputs!$B$54*H8/(Inputs!$B$35*F8+E8*H8^2/(PI()*CH8*Inputs!$B$36))</f>
        <v>18.4445176666213</v>
      </c>
      <c r="CJ8" s="15" t="n">
        <f aca="false">EXP(-Inputs!$B$11*Inputs!$B$14*Inputs!$B$17/(Inputs!$B$51*CI8*Inputs!$B$16))</f>
        <v>0.743431735488719</v>
      </c>
      <c r="CK8" s="15" t="n">
        <f aca="false">Inputs!$B$50*Inputs!$B$18*CJ8*Inputs!$B$19</f>
        <v>0.726425161645715</v>
      </c>
      <c r="CL8" s="15" t="n">
        <f aca="false">1-CK8</f>
        <v>0.273574838354285</v>
      </c>
      <c r="CM8" s="15" t="n">
        <f aca="false">Inputs!$B$20*CL8</f>
        <v>0.00820724515062856</v>
      </c>
      <c r="CN8" s="15" t="n">
        <f aca="false">0.8*(1-Inputs!$B$50)*(CK8-CM8)</f>
        <v>0.0017299054194134</v>
      </c>
      <c r="CO8" s="15" t="n">
        <f aca="false">CK8-CM8-CN8</f>
        <v>0.716488011075673</v>
      </c>
      <c r="CP8" s="15" t="n">
        <f aca="false">CO8*(1-Inputs!$B$18*EXP(-Inputs!$B$21*Inputs!$B$14*Inputs!$B$17/(Inputs!$B$22*Inputs!$B$23*Inputs!$B$24*CI8*Inputs!$B$16))*Inputs!$B$19)</f>
        <v>0.0264685001928331</v>
      </c>
      <c r="CQ8" s="15" t="n">
        <f aca="false">(CO8-CP8)*(1-EXP(-Inputs!$B$25*Inputs!$B$14*Inputs!$B$17*Inputs!$B$26/(CI8*Inputs!$B$16/0.866)))</f>
        <v>0.00776786304535681</v>
      </c>
      <c r="CR8" s="15" t="n">
        <f aca="false">(CO8-CP8-CQ8)*(1-Inputs!$B$19)</f>
        <v>0.00341125823918742</v>
      </c>
      <c r="CS8" s="15" t="n">
        <f aca="false">(CL8+CM8+CN8+CP8+CQ8+CR8)*(1+Inputs!$B$27)</f>
        <v>0.32212308923291</v>
      </c>
      <c r="CT8" s="15" t="n">
        <f aca="false">Inputs!$B$52/(1-CS8-G8)</f>
        <v>198609.688632046</v>
      </c>
      <c r="CU8" s="15" t="n">
        <f aca="false">CT8/Inputs!$B$34</f>
        <v>331.016147720077</v>
      </c>
      <c r="CV8" s="15" t="n">
        <f aca="false">B8^2/CU8</f>
        <v>9.47385806281556</v>
      </c>
      <c r="CW8" s="15" t="n">
        <f aca="false">Inputs!$B$54*H8/(Inputs!$B$35*F8+E8*H8^2/(PI()*CV8*Inputs!$B$36))</f>
        <v>18.4392320064776</v>
      </c>
      <c r="CX8" s="15" t="n">
        <f aca="false">EXP(-Inputs!$B$11*Inputs!$B$14*Inputs!$B$17/(Inputs!$B$51*CW8*Inputs!$B$16))</f>
        <v>0.743368556596345</v>
      </c>
      <c r="CY8" s="15" t="n">
        <f aca="false">Inputs!$B$50*Inputs!$B$18*CX8*Inputs!$B$19</f>
        <v>0.72636342801919</v>
      </c>
      <c r="CZ8" s="15" t="n">
        <f aca="false">1-CY8</f>
        <v>0.27363657198081</v>
      </c>
      <c r="DA8" s="15" t="n">
        <f aca="false">Inputs!$B$20*CZ8</f>
        <v>0.00820909715942431</v>
      </c>
      <c r="DB8" s="15" t="n">
        <f aca="false">0.8*(1-Inputs!$B$50)*(CY8-DA8)</f>
        <v>0.00172975226654348</v>
      </c>
      <c r="DC8" s="15" t="n">
        <f aca="false">CY8-DA8-DB8</f>
        <v>0.716424578593222</v>
      </c>
      <c r="DD8" s="15" t="n">
        <f aca="false">DC8*(1-Inputs!$B$18*EXP(-Inputs!$B$21*Inputs!$B$14*Inputs!$B$17/(Inputs!$B$22*Inputs!$B$23*Inputs!$B$24*CW8*Inputs!$B$16))*Inputs!$B$19)</f>
        <v>0.0264696210449516</v>
      </c>
      <c r="DE8" s="15" t="n">
        <f aca="false">(DC8-DD8)*(1-EXP(-Inputs!$B$25*Inputs!$B$14*Inputs!$B$17*Inputs!$B$26/(CW8*Inputs!$B$16/0.866)))</f>
        <v>0.00776935022855685</v>
      </c>
      <c r="DF8" s="15" t="n">
        <f aca="false">(DC8-DD8-DE8)*(1-Inputs!$B$19)</f>
        <v>0.00341092803659857</v>
      </c>
      <c r="DG8" s="15" t="n">
        <f aca="false">(CZ8+DA8+DB8+DD8+DE8+DF8)*(1+Inputs!$B$27)</f>
        <v>0.322188996679036</v>
      </c>
      <c r="DH8" s="15" t="n">
        <f aca="false">Inputs!$B$52/(1-DG8-G8)</f>
        <v>198689.407130039</v>
      </c>
      <c r="DI8" s="15" t="n">
        <f aca="false">DH8/Inputs!$B$34</f>
        <v>331.149011883399</v>
      </c>
      <c r="DJ8" s="15" t="n">
        <f aca="false">B8^2/DI8</f>
        <v>9.47005694555483</v>
      </c>
      <c r="DK8" s="15" t="n">
        <f aca="false">Inputs!$B$54*H8/(Inputs!$B$35*F8+E8*H8^2/(PI()*DJ8*Inputs!$B$36))</f>
        <v>18.4368479465766</v>
      </c>
      <c r="DL8" s="15" t="n">
        <f aca="false">EXP(-Inputs!$B$11*Inputs!$B$14*Inputs!$B$17/(Inputs!$B$51*DK8*Inputs!$B$16))</f>
        <v>0.743340050103969</v>
      </c>
      <c r="DM8" s="15" t="n">
        <f aca="false">Inputs!$B$50*Inputs!$B$18*DL8*Inputs!$B$19</f>
        <v>0.726335573634795</v>
      </c>
      <c r="DN8" s="15" t="n">
        <f aca="false">1-DM8</f>
        <v>0.273664426365205</v>
      </c>
      <c r="DO8" s="15" t="n">
        <f aca="false">Inputs!$B$20*DN8</f>
        <v>0.00820993279095616</v>
      </c>
      <c r="DP8" s="15" t="n">
        <f aca="false">0.8*(1-Inputs!$B$50)*(DM8-DO8)</f>
        <v>0.0017296831635416</v>
      </c>
      <c r="DQ8" s="15" t="n">
        <f aca="false">DM8-DO8-DP8</f>
        <v>0.716395957680297</v>
      </c>
      <c r="DR8" s="15" t="n">
        <f aca="false">DQ8*(1-Inputs!$B$18*EXP(-Inputs!$B$21*Inputs!$B$14*Inputs!$B$17/(Inputs!$B$22*Inputs!$B$23*Inputs!$B$24*DK8*Inputs!$B$16))*Inputs!$B$19)</f>
        <v>0.0264701266664107</v>
      </c>
      <c r="DS8" s="15" t="n">
        <f aca="false">(DQ8-DR8)*(1-EXP(-Inputs!$B$25*Inputs!$B$14*Inputs!$B$17*Inputs!$B$26/(DK8*Inputs!$B$16/0.866)))</f>
        <v>0.0077700211746216</v>
      </c>
      <c r="DT8" s="15" t="n">
        <f aca="false">(DQ8-DR8-DS8)*(1-Inputs!$B$19)</f>
        <v>0.00341077904919633</v>
      </c>
      <c r="DU8" s="15" t="n">
        <f aca="false">(DN8+DO8+DP8+DR8+DS8+DT8)*(1+Inputs!$B$27)</f>
        <v>0.322218734117562</v>
      </c>
      <c r="DV8" s="15" t="n">
        <f aca="false">Inputs!$B$52/(1-DU8-G8)</f>
        <v>198725.39707017</v>
      </c>
      <c r="DW8" s="15" t="n">
        <f aca="false">DV8/Inputs!$B$34</f>
        <v>331.20899511695</v>
      </c>
      <c r="DX8" s="15" t="n">
        <f aca="false">B8^2/DW8</f>
        <v>9.46834188151406</v>
      </c>
      <c r="DY8" s="15" t="n">
        <f aca="false">Inputs!$B$54*H8/(Inputs!$B$35*F8+E8*H8^2/(PI()*DX8*Inputs!$B$36))</f>
        <v>18.4357718340776</v>
      </c>
      <c r="DZ8" s="15" t="n">
        <f aca="false">EXP(-Inputs!$B$11*Inputs!$B$14*Inputs!$B$17/(Inputs!$B$51*DY8*Inputs!$B$16))</f>
        <v>0.743327180839905</v>
      </c>
      <c r="EA8" s="15" t="n">
        <f aca="false">Inputs!$B$50*Inputs!$B$18*DZ8*Inputs!$B$19</f>
        <v>0.726322998765063</v>
      </c>
      <c r="EB8" s="15" t="n">
        <f aca="false">1-EA8</f>
        <v>0.273677001234937</v>
      </c>
      <c r="EC8" s="15" t="n">
        <f aca="false">Inputs!$B$20*EB8</f>
        <v>0.00821031003704811</v>
      </c>
      <c r="ED8" s="15" t="n">
        <f aca="false">0.8*(1-Inputs!$B$50)*(EA8-EC8)</f>
        <v>0.00172965196697181</v>
      </c>
      <c r="EE8" s="15" t="n">
        <f aca="false">EA8-EC8-ED8</f>
        <v>0.716383036761043</v>
      </c>
      <c r="EF8" s="15" t="n">
        <f aca="false">EE8*(1-Inputs!$B$18*EXP(-Inputs!$B$21*Inputs!$B$14*Inputs!$B$17/(Inputs!$B$22*Inputs!$B$23*Inputs!$B$24*DY8*Inputs!$B$16))*Inputs!$B$19)</f>
        <v>0.0264703549069214</v>
      </c>
      <c r="EG8" s="15" t="n">
        <f aca="false">(EE8-EF8)*(1-EXP(-Inputs!$B$25*Inputs!$B$14*Inputs!$B$17*Inputs!$B$26/(DY8*Inputs!$B$16/0.866)))</f>
        <v>0.00777032405810344</v>
      </c>
      <c r="EH8" s="15" t="n">
        <f aca="false">(EE8-EF8-EG8)*(1-Inputs!$B$19)</f>
        <v>0.00341071178898009</v>
      </c>
      <c r="EI8" s="15" t="n">
        <f aca="false">(EB8+EC8+ED8+EF8+EG8+EH8)*(1+Inputs!$B$27)</f>
        <v>0.322232159054941</v>
      </c>
      <c r="EJ8" s="15" t="n">
        <f aca="false">Inputs!$B$52/(1-EI8-G8)</f>
        <v>198741.648965273</v>
      </c>
      <c r="EK8" s="15" t="n">
        <f aca="false">EJ8/Inputs!$B$34</f>
        <v>331.236081608788</v>
      </c>
      <c r="EL8" s="15" t="n">
        <f aca="false">B8^2/EK8</f>
        <v>9.46756761753941</v>
      </c>
      <c r="EM8" s="15" t="n">
        <f aca="false">Inputs!$B$54*H8/(Inputs!$B$35*F8+E8*H8^2/(PI()*EL8*Inputs!$B$36))</f>
        <v>18.4352859375828</v>
      </c>
      <c r="EN8" s="15" t="n">
        <f aca="false">EXP(-Inputs!$B$11*Inputs!$B$14*Inputs!$B$17/(Inputs!$B$51*EM8*Inputs!$B$16))</f>
        <v>0.743321369568732</v>
      </c>
      <c r="EO8" s="15" t="n">
        <f aca="false">Inputs!$B$50*Inputs!$B$18*EN8*Inputs!$B$19</f>
        <v>0.726317320431197</v>
      </c>
      <c r="EP8" s="15" t="n">
        <f aca="false">1-EO8</f>
        <v>0.273682679568803</v>
      </c>
      <c r="EQ8" s="15" t="n">
        <f aca="false">Inputs!$B$20*EP8</f>
        <v>0.0082104803870641</v>
      </c>
      <c r="ER8" s="15" t="n">
        <f aca="false">0.8*(1-Inputs!$B$50)*(EO8-EQ8)</f>
        <v>0.00172963787978502</v>
      </c>
      <c r="ES8" s="15" t="n">
        <f aca="false">EO8-EQ8-ER8</f>
        <v>0.716377202164348</v>
      </c>
      <c r="ET8" s="15" t="n">
        <f aca="false">ES8*(1-Inputs!$B$18*EXP(-Inputs!$B$21*Inputs!$B$14*Inputs!$B$17/(Inputs!$B$22*Inputs!$B$23*Inputs!$B$24*EM8*Inputs!$B$16))*Inputs!$B$19)</f>
        <v>0.0264704579670977</v>
      </c>
      <c r="EU8" s="15" t="n">
        <f aca="false">(ES8-ET8)*(1-EXP(-Inputs!$B$25*Inputs!$B$14*Inputs!$B$17*Inputs!$B$26/(EM8*Inputs!$B$16/0.866)))</f>
        <v>0.00777046082566615</v>
      </c>
      <c r="EV8" s="15" t="n">
        <f aca="false">(ES8-ET8-EU8)*(1-Inputs!$B$19)</f>
        <v>0.00341068141685792</v>
      </c>
      <c r="EW8" s="15" t="n">
        <f aca="false">(EP8+EQ8+ER8+ET8+EU8+EV8)*(1+Inputs!$B$27)</f>
        <v>0.32223822123941</v>
      </c>
      <c r="EX8" s="15" t="n">
        <f aca="false">Inputs!$B$52/(1-EW8-G8)</f>
        <v>198748.98856614</v>
      </c>
      <c r="EY8" s="15" t="n">
        <f aca="false">EX8/Inputs!$B$34</f>
        <v>331.248314276899</v>
      </c>
      <c r="EZ8" s="15" t="n">
        <f aca="false">B8^2/EY8</f>
        <v>9.4672179897602</v>
      </c>
      <c r="FA8" s="15" t="n">
        <f aca="false">Inputs!$B$54*H8/(Inputs!$B$35*F8+E8*H8^2/(PI()*EZ8*Inputs!$B$36))</f>
        <v>18.435066507795</v>
      </c>
      <c r="FB8" s="15" t="n">
        <f aca="false">EXP(-Inputs!$B$11*Inputs!$B$14*Inputs!$B$17/(Inputs!$B$51*FA8*Inputs!$B$16))</f>
        <v>0.743318745125943</v>
      </c>
      <c r="FC8" s="15" t="n">
        <f aca="false">Inputs!$B$50*Inputs!$B$18*FB8*Inputs!$B$19</f>
        <v>0.726314756024559</v>
      </c>
      <c r="FD8" s="15" t="n">
        <f aca="false">1-FC8</f>
        <v>0.273685243975441</v>
      </c>
      <c r="FE8" s="15" t="n">
        <f aca="false">Inputs!$B$20*FD8</f>
        <v>0.00821055731926323</v>
      </c>
      <c r="FF8" s="15" t="n">
        <f aca="false">0.8*(1-Inputs!$B$50)*(FC8-FE8)</f>
        <v>0.00172963151783517</v>
      </c>
      <c r="FG8" s="15" t="n">
        <f aca="false">FC8-FE8-FF8</f>
        <v>0.716374567187461</v>
      </c>
      <c r="FH8" s="15" t="n">
        <f aca="false">FG8*(1-Inputs!$B$18*EXP(-Inputs!$B$21*Inputs!$B$14*Inputs!$B$17/(Inputs!$B$22*Inputs!$B$23*Inputs!$B$24*FA8*Inputs!$B$16))*Inputs!$B$19)</f>
        <v>0.02647050450943</v>
      </c>
      <c r="FI8" s="15" t="n">
        <f aca="false">(FG8-FH8)*(1-EXP(-Inputs!$B$25*Inputs!$B$14*Inputs!$B$17*Inputs!$B$26/(FA8*Inputs!$B$16/0.866)))</f>
        <v>0.00777052259097256</v>
      </c>
      <c r="FJ8" s="15" t="n">
        <f aca="false">(FG8-FH8-FI8)*(1-Inputs!$B$19)</f>
        <v>0.00341066770043529</v>
      </c>
      <c r="FK8" s="15" t="n">
        <f aca="false">(FD8+FE8+FF8+FH8+FI8+FJ8)*(1+Inputs!$B$27)</f>
        <v>0.322240958996218</v>
      </c>
      <c r="FL8" s="15" t="n">
        <f aca="false">Inputs!$B$52/(1-FK8-G8)</f>
        <v>198752.303397546</v>
      </c>
      <c r="FM8" s="15" t="n">
        <f aca="false">FL8/Inputs!$B$34</f>
        <v>331.25383899591</v>
      </c>
      <c r="FN8" s="15" t="n">
        <f aca="false">B8^2/FM8</f>
        <v>9.46706009356987</v>
      </c>
      <c r="FO8" s="15" t="n">
        <f aca="false">Inputs!$B$54*H8/(Inputs!$B$35*F8+E8*H8^2/(PI()*FN8*Inputs!$B$36))</f>
        <v>18.4349674070131</v>
      </c>
      <c r="FP8" s="15" t="n">
        <f aca="false">EXP(-Inputs!$B$11*Inputs!$B$14*Inputs!$B$17/(Inputs!$B$51*FO8*Inputs!$B$16))</f>
        <v>0.743317559834911</v>
      </c>
      <c r="FQ8" s="15" t="n">
        <f aca="false">Inputs!$B$50*Inputs!$B$18*FP8*Inputs!$B$19</f>
        <v>0.726313597847972</v>
      </c>
      <c r="FR8" s="15" t="n">
        <f aca="false">1-FQ8</f>
        <v>0.273686402152028</v>
      </c>
      <c r="FS8" s="15" t="n">
        <f aca="false">Inputs!$B$20*FR8</f>
        <v>0.00821059206456083</v>
      </c>
      <c r="FT8" s="15" t="n">
        <f aca="false">0.8*(1-Inputs!$B$50)*(FQ8-FS8)</f>
        <v>0.00172962864455397</v>
      </c>
      <c r="FU8" s="15" t="n">
        <f aca="false">FQ8-FS8-FT8</f>
        <v>0.716373377138858</v>
      </c>
      <c r="FV8" s="15" t="n">
        <f aca="false">FU8*(1-Inputs!$B$18*EXP(-Inputs!$B$21*Inputs!$B$14*Inputs!$B$17/(Inputs!$B$22*Inputs!$B$23*Inputs!$B$24*FO8*Inputs!$B$16))*Inputs!$B$19)</f>
        <v>0.0264705255294004</v>
      </c>
      <c r="FW8" s="15" t="n">
        <f aca="false">(FU8-FV8)*(1-EXP(-Inputs!$B$25*Inputs!$B$14*Inputs!$B$17*Inputs!$B$26/(FO8*Inputs!$B$16/0.866)))</f>
        <v>0.00777055048623599</v>
      </c>
      <c r="FX8" s="15" t="n">
        <f aca="false">(FU8-FV8-FW8)*(1-Inputs!$B$19)</f>
        <v>0.00341066150561611</v>
      </c>
      <c r="FY8" s="15" t="n">
        <f aca="false">(FR8+FS8+FT8+FV8+FW8+FX8)*(1+Inputs!$B$27)</f>
        <v>0.322242195463542</v>
      </c>
      <c r="FZ8" s="15" t="n">
        <f aca="false">Inputs!$B$52/(1-FY8-G8)</f>
        <v>198753.800528315</v>
      </c>
      <c r="GA8" s="15" t="n">
        <f aca="false">FZ8/Inputs!$B$34</f>
        <v>331.256334213858</v>
      </c>
      <c r="GB8" s="15" t="n">
        <f aca="false">B8^2/GA8</f>
        <v>9.46698878209346</v>
      </c>
      <c r="GC8" s="15" t="n">
        <f aca="false">Inputs!$B$54*H8/(Inputs!$B$35*F8+E8*H8^2/(PI()*GB8*Inputs!$B$36))</f>
        <v>18.434922648878</v>
      </c>
      <c r="GD8" s="15" t="n">
        <f aca="false">EXP(-Inputs!$B$11*Inputs!$B$14*Inputs!$B$17/(Inputs!$B$51*GC8*Inputs!$B$16))</f>
        <v>0.743317024503425</v>
      </c>
      <c r="GE8" s="15" t="n">
        <f aca="false">Inputs!$B$50*Inputs!$B$18*GD8*Inputs!$B$19</f>
        <v>0.726313074762607</v>
      </c>
      <c r="GF8" s="15" t="n">
        <f aca="false">1-GE8</f>
        <v>0.273686925237393</v>
      </c>
      <c r="GG8" s="15" t="n">
        <f aca="false">Inputs!$B$20*GF8</f>
        <v>0.00821060775712178</v>
      </c>
      <c r="GH8" s="15" t="n">
        <f aca="false">0.8*(1-Inputs!$B$50)*(GE8-GG8)</f>
        <v>0.00172962734684915</v>
      </c>
      <c r="GI8" s="15" t="n">
        <f aca="false">GE8-GG8-GH8</f>
        <v>0.716372839658636</v>
      </c>
      <c r="GJ8" s="15" t="n">
        <f aca="false">GI8*(1-Inputs!$B$18*EXP(-Inputs!$B$21*Inputs!$B$14*Inputs!$B$17/(Inputs!$B$22*Inputs!$B$23*Inputs!$B$24*GC8*Inputs!$B$16))*Inputs!$B$19)</f>
        <v>0.0264705350229388</v>
      </c>
      <c r="GK8" s="15" t="n">
        <f aca="false">(GI8-GJ8)*(1-EXP(-Inputs!$B$25*Inputs!$B$14*Inputs!$B$17*Inputs!$B$26/(GC8*Inputs!$B$16/0.866)))</f>
        <v>0.00777056308498265</v>
      </c>
      <c r="GL8" s="15" t="n">
        <f aca="false">(GI8-GJ8-GK8)*(1-Inputs!$B$19)</f>
        <v>0.00341065870775358</v>
      </c>
      <c r="GM8" s="15" t="n">
        <f aca="false">(GF8+GG8+GH8+GJ8+GK8+GL8)*(1+Inputs!$B$27)</f>
        <v>0.32224275390851</v>
      </c>
      <c r="GN8" s="15" t="n">
        <f aca="false">Inputs!$B$52/(1-GM8-G8)</f>
        <v>198754.476708162</v>
      </c>
      <c r="GO8" s="15" t="n">
        <f aca="false">GN8/Inputs!$B$34</f>
        <v>331.25746118027</v>
      </c>
      <c r="GP8" s="15" t="n">
        <f aca="false">B8^2/GO8</f>
        <v>9.46695657458231</v>
      </c>
      <c r="GQ8" s="15" t="n">
        <f aca="false">Inputs!$B$54*H8/(Inputs!$B$35*F8+E8*H8^2/(PI()*GP8*Inputs!$B$36))</f>
        <v>18.4349024339156</v>
      </c>
      <c r="GR8" s="15" t="n">
        <f aca="false">EXP(-Inputs!$B$11*Inputs!$B$14*Inputs!$B$17/(Inputs!$B$51*GQ8*Inputs!$B$16))</f>
        <v>0.743316782720824</v>
      </c>
      <c r="GS8" s="15" t="n">
        <f aca="false">Inputs!$B$50*Inputs!$B$18*GR8*Inputs!$B$19</f>
        <v>0.726312838510969</v>
      </c>
      <c r="GT8" s="15" t="n">
        <f aca="false">1-GS8</f>
        <v>0.273687161489031</v>
      </c>
      <c r="GU8" s="15" t="n">
        <f aca="false">Inputs!$B$20*GT8</f>
        <v>0.00821061484467094</v>
      </c>
      <c r="GV8" s="15" t="n">
        <f aca="false">0.8*(1-Inputs!$B$50)*(GS8-GU8)</f>
        <v>0.00172962676074044</v>
      </c>
      <c r="GW8" s="15" t="n">
        <f aca="false">GS8-GU8-GV8</f>
        <v>0.716372596905557</v>
      </c>
      <c r="GX8" s="15" t="n">
        <f aca="false">GW8*(1-Inputs!$B$18*EXP(-Inputs!$B$21*Inputs!$B$14*Inputs!$B$17/(Inputs!$B$22*Inputs!$B$23*Inputs!$B$24*GQ8*Inputs!$B$16))*Inputs!$B$19)</f>
        <v>0.0264705393106899</v>
      </c>
      <c r="GY8" s="15" t="n">
        <f aca="false">(GW8-GX8)*(1-EXP(-Inputs!$B$25*Inputs!$B$14*Inputs!$B$17*Inputs!$B$26/(GQ8*Inputs!$B$16/0.866)))</f>
        <v>0.00777056877520442</v>
      </c>
      <c r="GZ8" s="15" t="n">
        <f aca="false">(GW8-GX8-GY8)*(1-Inputs!$B$19)</f>
        <v>0.00341065744409832</v>
      </c>
      <c r="HA8" s="15" t="n">
        <f aca="false">(GT8+GU8+GV8+GX8+GY8+GZ8)*(1+Inputs!$B$27)</f>
        <v>0.322243006130309</v>
      </c>
      <c r="HB8" s="15" t="n">
        <f aca="false">Inputs!$B$52/(1-HA8-G8)</f>
        <v>198754.782106454</v>
      </c>
      <c r="HC8" s="15" t="n">
        <f aca="false">HB8/Inputs!$B$34</f>
        <v>331.257970177424</v>
      </c>
      <c r="HD8" s="15" t="n">
        <f aca="false">B8^2/HC8</f>
        <v>9.46694202805245</v>
      </c>
      <c r="HE8" s="15" t="n">
        <f aca="false">Inputs!$B$54*H8/(Inputs!$B$35*F8+E8*H8^2/(PI()*HD8*Inputs!$B$36))</f>
        <v>18.4348933037926</v>
      </c>
      <c r="HF8" s="15" t="n">
        <f aca="false">EXP(-Inputs!$B$11*Inputs!$B$14*Inputs!$B$17/(Inputs!$B$51*HE8*Inputs!$B$16))</f>
        <v>0.743316673519142</v>
      </c>
      <c r="HG8" s="15" t="n">
        <f aca="false">Inputs!$B$50*Inputs!$B$18*HF8*Inputs!$B$19</f>
        <v>0.72631273180736</v>
      </c>
      <c r="HH8" s="15" t="n">
        <f aca="false">1-HG8</f>
        <v>0.27368726819264</v>
      </c>
      <c r="HI8" s="15" t="n">
        <f aca="false">Inputs!$B$20*HH8</f>
        <v>0.00821061804577921</v>
      </c>
      <c r="HJ8" s="15" t="n">
        <f aca="false">0.8*(1-Inputs!$B$50)*(HG8-HI8)</f>
        <v>0.00172962649602305</v>
      </c>
      <c r="HK8" s="15" t="n">
        <f aca="false">HG8-HI8-HJ8</f>
        <v>0.716372487265558</v>
      </c>
      <c r="HL8" s="15" t="n">
        <f aca="false">HK8*(1-Inputs!$B$18*EXP(-Inputs!$B$21*Inputs!$B$14*Inputs!$B$17/(Inputs!$B$22*Inputs!$B$23*Inputs!$B$24*HE8*Inputs!$B$16))*Inputs!$B$19)</f>
        <v>0.0264705412472611</v>
      </c>
      <c r="HM8" s="15" t="n">
        <f aca="false">(HK8-HL8)*(1-EXP(-Inputs!$B$25*Inputs!$B$14*Inputs!$B$17*Inputs!$B$26/(HE8*Inputs!$B$16/0.866)))</f>
        <v>0.00777057134520533</v>
      </c>
      <c r="HN8" s="15" t="n">
        <f aca="false">(HK8-HL8-HM8)*(1-Inputs!$B$19)</f>
        <v>0.00341065687336546</v>
      </c>
      <c r="HO8" s="15" t="n">
        <f aca="false">(HH8+HI8+HJ8+HL8+HM8+HN8)*(1+Inputs!$B$27)</f>
        <v>0.322243120046875</v>
      </c>
      <c r="HP8" s="15" t="n">
        <f aca="false">Inputs!$B$52/(1-HO8-G8)</f>
        <v>198754.920040617</v>
      </c>
      <c r="HQ8" s="15" t="n">
        <f aca="false">HP8/Inputs!$B$34</f>
        <v>331.258200067694</v>
      </c>
      <c r="HR8" s="15" t="n">
        <f aca="false">B8^2/HQ8</f>
        <v>9.46693545807815</v>
      </c>
      <c r="HS8" s="15" t="n">
        <f aca="false">Inputs!$B$54*H8/(Inputs!$B$35*F8+E8*H8^2/(PI()*HR8*Inputs!$B$36))</f>
        <v>18.4348891801449</v>
      </c>
      <c r="HT8" s="15" t="n">
        <f aca="false">EXP(-Inputs!$B$11*Inputs!$B$14*Inputs!$B$17/(Inputs!$B$51*HS8*Inputs!$B$16))</f>
        <v>0.743316624197842</v>
      </c>
      <c r="HU8" s="15" t="n">
        <f aca="false">Inputs!$B$50*Inputs!$B$18*HT8*Inputs!$B$19</f>
        <v>0.726312683614322</v>
      </c>
      <c r="HV8" s="15" t="n">
        <f aca="false">1-HU8</f>
        <v>0.273687316385678</v>
      </c>
      <c r="HW8" s="15" t="n">
        <f aca="false">Inputs!$B$20*HV8</f>
        <v>0.00821061949157033</v>
      </c>
      <c r="HX8" s="15" t="n">
        <f aca="false">0.8*(1-Inputs!$B$50)*(HU8-HW8)</f>
        <v>0.00172962637646257</v>
      </c>
      <c r="HY8" s="15" t="n">
        <f aca="false">HU8-HW8-HX8</f>
        <v>0.716372437746289</v>
      </c>
      <c r="HZ8" s="15" t="n">
        <f aca="false">HY8*(1-Inputs!$B$18*EXP(-Inputs!$B$21*Inputs!$B$14*Inputs!$B$17/(Inputs!$B$22*Inputs!$B$23*Inputs!$B$24*HS8*Inputs!$B$16))*Inputs!$B$19)</f>
        <v>0.0264705421219196</v>
      </c>
      <c r="IA8" s="15" t="n">
        <f aca="false">(HY8-HZ8)*(1-EXP(-Inputs!$B$25*Inputs!$B$14*Inputs!$B$17*Inputs!$B$26/(HS8*Inputs!$B$16/0.866)))</f>
        <v>0.00777057250595458</v>
      </c>
      <c r="IB8" s="15" t="n">
        <f aca="false">(HY8-HZ8-IA8)*(1-Inputs!$B$19)</f>
        <v>0.00341065661559208</v>
      </c>
      <c r="IC8" s="15" t="n">
        <f aca="false">(HV8+HW8+HX8+HZ8+IA8+IB8)*(1+Inputs!$B$27)</f>
        <v>0.322243171497668</v>
      </c>
      <c r="ID8" s="15" t="n">
        <f aca="false">Inputs!$B$52/(1-IC8-G8)</f>
        <v>198754.982339099</v>
      </c>
      <c r="IE8" s="15" t="n">
        <f aca="false">ID8/Inputs!$B$34</f>
        <v>331.258303898498</v>
      </c>
      <c r="IF8" s="15" t="n">
        <f aca="false">B8^2/IE8</f>
        <v>9.46693249072758</v>
      </c>
      <c r="IG8" s="15" t="n">
        <f aca="false">Inputs!$B$54*H8/(Inputs!$B$35*F8+E8*H8^2/(PI()*IF8*Inputs!$B$36))</f>
        <v>18.4348873176845</v>
      </c>
      <c r="IH8" s="15" t="n">
        <f aca="false">EXP(-Inputs!$B$11*Inputs!$B$14*Inputs!$B$17/(Inputs!$B$51*IG8*Inputs!$B$16))</f>
        <v>0.743316601921693</v>
      </c>
      <c r="II8" s="15" t="n">
        <f aca="false">Inputs!$B$50*Inputs!$B$18*IH8*Inputs!$B$19</f>
        <v>0.726312661847757</v>
      </c>
      <c r="IJ8" s="15" t="n">
        <f aca="false">1-II8</f>
        <v>0.273687338152243</v>
      </c>
      <c r="IK8" s="15" t="n">
        <f aca="false">Inputs!$B$20*IJ8</f>
        <v>0.00821062014456729</v>
      </c>
      <c r="IL8" s="15" t="n">
        <f aca="false">0.8*(1-Inputs!$B$50)*(II8-IK8)</f>
        <v>0.00172962632246264</v>
      </c>
      <c r="IM8" s="15" t="n">
        <f aca="false">II8-IK8-IL8</f>
        <v>0.716372415380727</v>
      </c>
      <c r="IN8" s="15" t="n">
        <f aca="false">IM8*(1-Inputs!$B$18*EXP(-Inputs!$B$21*Inputs!$B$14*Inputs!$B$17/(Inputs!$B$22*Inputs!$B$23*Inputs!$B$24*IG8*Inputs!$B$16))*Inputs!$B$19)</f>
        <v>0.0264705425169624</v>
      </c>
      <c r="IO8" s="15" t="n">
        <f aca="false">(IM8-IN8)*(1-EXP(-Inputs!$B$25*Inputs!$B$14*Inputs!$B$17*Inputs!$B$26/(IG8*Inputs!$B$16/0.866)))</f>
        <v>0.0077705730302112</v>
      </c>
      <c r="IP8" s="15" t="n">
        <f aca="false">(IM8-IN8-IO8)*(1-Inputs!$B$19)</f>
        <v>0.00341065649916777</v>
      </c>
      <c r="IQ8" s="15" t="n">
        <f aca="false">(IJ8+IK8+IL8+IN8+IO8+IP8)*(1+Inputs!$B$27)</f>
        <v>0.322243194735611</v>
      </c>
      <c r="IR8" s="15" t="n">
        <f aca="false">Inputs!$B$52/(1-IQ8-G8)</f>
        <v>198755.010476454</v>
      </c>
      <c r="IS8" s="15" t="n">
        <f aca="false">IR8/Inputs!$B$34</f>
        <v>331.258350794089</v>
      </c>
      <c r="IT8" s="15" t="n">
        <f aca="false">B8^2/IS8</f>
        <v>9.46693115051262</v>
      </c>
      <c r="IU8" s="15" t="n">
        <f aca="false">Inputs!$B$54*H8/(Inputs!$B$35*F8+E8*H8^2/(PI()*IT8*Inputs!$B$36))</f>
        <v>18.4348864764971</v>
      </c>
      <c r="IV8" s="15" t="n">
        <f aca="false">EXP(-Inputs!$B$11*Inputs!$B$14*Inputs!$B$17/(Inputs!$B$51*IU8*Inputs!$B$16))</f>
        <v>0.743316591860582</v>
      </c>
      <c r="IW8" s="15" t="n">
        <f aca="false">Inputs!$B$50*Inputs!$B$18*IV8*Inputs!$B$19</f>
        <v>0.726312652016802</v>
      </c>
      <c r="IX8" s="15" t="n">
        <f aca="false">1-IW8</f>
        <v>0.273687347983198</v>
      </c>
      <c r="IY8" s="15" t="n">
        <f aca="false">Inputs!$B$20*IX8</f>
        <v>0.00821062043949593</v>
      </c>
      <c r="IZ8" s="15" t="n">
        <f aca="false">0.8*(1-Inputs!$B$50)*(IW8-IY8)</f>
        <v>0.00172962629807335</v>
      </c>
      <c r="JA8" s="15" t="n">
        <f aca="false">IW8-IY8-IZ8</f>
        <v>0.716372405279233</v>
      </c>
      <c r="JB8" s="15" t="n">
        <f aca="false">JA8*(1-Inputs!$B$18*EXP(-Inputs!$B$21*Inputs!$B$14*Inputs!$B$17/(Inputs!$B$22*Inputs!$B$23*Inputs!$B$24*IU8*Inputs!$B$16))*Inputs!$B$19)</f>
        <v>0.0264705426953849</v>
      </c>
      <c r="JC8" s="15" t="n">
        <f aca="false">(JA8-JB8)*(1-EXP(-Inputs!$B$25*Inputs!$B$14*Inputs!$B$17*Inputs!$B$26/(IU8*Inputs!$B$16/0.866)))</f>
        <v>0.00777057326699375</v>
      </c>
      <c r="JD8" s="15" t="n">
        <f aca="false">(JA8-JB8-JC8)*(1-Inputs!$B$19)</f>
        <v>0.00341065644658428</v>
      </c>
      <c r="JE8" s="15" t="n">
        <f aca="false">(IX8+IY8+IZ8+JB8+JC8+JD8)*(1+Inputs!$B$27)</f>
        <v>0.322243205231119</v>
      </c>
      <c r="JF8" s="15" t="n">
        <f aca="false">Inputs!$B$52/(1-JE8-G8)</f>
        <v>198755.023184803</v>
      </c>
      <c r="JG8" s="15" t="n">
        <f aca="false">JF8/Inputs!$B$34</f>
        <v>331.258371974671</v>
      </c>
      <c r="JH8" s="15" t="n">
        <f aca="false">B8^2/JG8</f>
        <v>9.46693054519928</v>
      </c>
      <c r="JI8" s="15" t="n">
        <f aca="false">Inputs!$B$54*H8/(Inputs!$B$35*F8+E8*H8^2/(PI()*JH8*Inputs!$B$36))</f>
        <v>18.4348860965714</v>
      </c>
      <c r="JJ8" s="15" t="n">
        <f aca="false">EXP(-Inputs!$B$11*Inputs!$B$14*Inputs!$B$17/(Inputs!$B$51*JI8*Inputs!$B$16))</f>
        <v>0.743316587316441</v>
      </c>
      <c r="JK8" s="15" t="n">
        <f aca="false">Inputs!$B$50*Inputs!$B$18*JJ8*Inputs!$B$19</f>
        <v>0.726312647576612</v>
      </c>
      <c r="JL8" s="15" t="n">
        <f aca="false">1-JK8</f>
        <v>0.273687352423388</v>
      </c>
      <c r="JM8" s="15" t="n">
        <f aca="false">Inputs!$B$20*JL8</f>
        <v>0.00821062057270163</v>
      </c>
      <c r="JN8" s="15" t="n">
        <f aca="false">0.8*(1-Inputs!$B$50)*(JK8-JM8)</f>
        <v>0.00172962628705784</v>
      </c>
      <c r="JO8" s="15" t="n">
        <f aca="false">JK8-JM8-JN8</f>
        <v>0.716372400716853</v>
      </c>
      <c r="JP8" s="15" t="n">
        <f aca="false">JO8*(1-Inputs!$B$18*EXP(-Inputs!$B$21*Inputs!$B$14*Inputs!$B$17/(Inputs!$B$22*Inputs!$B$23*Inputs!$B$24*JI8*Inputs!$B$16))*Inputs!$B$19)</f>
        <v>0.0264705427759702</v>
      </c>
      <c r="JQ8" s="15" t="n">
        <f aca="false">(JO8-JP8)*(1-EXP(-Inputs!$B$25*Inputs!$B$14*Inputs!$B$17*Inputs!$B$26/(JI8*Inputs!$B$16/0.866)))</f>
        <v>0.00777057337393758</v>
      </c>
      <c r="JR8" s="15" t="n">
        <f aca="false">(JO8-JP8-JQ8)*(1-Inputs!$B$19)</f>
        <v>0.00341065642283473</v>
      </c>
      <c r="JS8" s="15" t="n">
        <f aca="false">(JL8+JM8+JN8+JP8+JQ8+JR8)*(1+Inputs!$B$27)</f>
        <v>0.322243209971457</v>
      </c>
      <c r="JT8" s="15" t="n">
        <f aca="false">Inputs!$B$52/(1-JS8-G8)</f>
        <v>198755.02892458</v>
      </c>
      <c r="JU8" s="15" t="n">
        <f aca="false">JT8/Inputs!$B$34</f>
        <v>331.258381540967</v>
      </c>
      <c r="JV8" s="15" t="n">
        <f aca="false">B8^2/JU8</f>
        <v>9.46693027180707</v>
      </c>
      <c r="JW8" s="15" t="n">
        <f aca="false">Inputs!$B$54*H8/(Inputs!$B$35*F8+E8*H8^2/(PI()*JV8*Inputs!$B$36))</f>
        <v>18.4348859249765</v>
      </c>
      <c r="JX8" s="15" t="n">
        <f aca="false">EXP(-Inputs!$B$11*Inputs!$B$14*Inputs!$B$17/(Inputs!$B$51*JW8*Inputs!$B$16))</f>
        <v>0.743316585264062</v>
      </c>
      <c r="JY8" s="15" t="n">
        <f aca="false">Inputs!$B$50*Inputs!$B$18*JX8*Inputs!$B$19</f>
        <v>0.726312645571183</v>
      </c>
      <c r="JZ8" s="15" t="n">
        <f aca="false">1-JY8</f>
        <v>0.273687354428817</v>
      </c>
      <c r="KA8" s="15" t="n">
        <f aca="false">Inputs!$B$20*JZ8</f>
        <v>0.00821062063286452</v>
      </c>
      <c r="KB8" s="15" t="n">
        <f aca="false">0.8*(1-Inputs!$B$50)*(JY8-KA8)</f>
        <v>0.00172962628208263</v>
      </c>
      <c r="KC8" s="15" t="n">
        <f aca="false">JY8-KA8-KB8</f>
        <v>0.716372398656236</v>
      </c>
      <c r="KD8" s="15" t="n">
        <f aca="false">KC8*(1-Inputs!$B$18*EXP(-Inputs!$B$21*Inputs!$B$14*Inputs!$B$17/(Inputs!$B$22*Inputs!$B$23*Inputs!$B$24*JW8*Inputs!$B$16))*Inputs!$B$19)</f>
        <v>0.0264705428123669</v>
      </c>
      <c r="KE8" s="15" t="n">
        <f aca="false">(KC8-KD8)*(1-EXP(-Inputs!$B$25*Inputs!$B$14*Inputs!$B$17*Inputs!$B$26/(JW8*Inputs!$B$16/0.866)))</f>
        <v>0.0077705734222392</v>
      </c>
      <c r="KF8" s="15" t="n">
        <f aca="false">(KC8-KD8-KE8)*(1-Inputs!$B$19)</f>
        <v>0.00341065641210815</v>
      </c>
      <c r="KG8" s="15" t="n">
        <f aca="false">(JZ8+KA8+KB8+KD8+KE8+KF8)*(1+Inputs!$B$27)</f>
        <v>0.32224321211245</v>
      </c>
      <c r="KH8" s="15" t="n">
        <f aca="false">Inputs!$B$52/(1-KG8-G8)</f>
        <v>198755.031516974</v>
      </c>
      <c r="KI8" s="15" t="n">
        <f aca="false">KH8/Inputs!$B$34</f>
        <v>331.258385861623</v>
      </c>
      <c r="KJ8" s="15" t="n">
        <f aca="false">B8^2/KI8</f>
        <v>9.46693014832839</v>
      </c>
      <c r="KK8" s="15" t="n">
        <f aca="false">Inputs!$B$54*H8/(Inputs!$B$35*F8+E8*H8^2/(PI()*KJ8*Inputs!$B$36))</f>
        <v>18.4348858474749</v>
      </c>
      <c r="KL8" s="15" t="n">
        <f aca="false">EXP(-Inputs!$B$11*Inputs!$B$14*Inputs!$B$17/(Inputs!$B$51*KK8*Inputs!$B$16))</f>
        <v>0.743316584337096</v>
      </c>
      <c r="KM8" s="15" t="n">
        <f aca="false">Inputs!$B$50*Inputs!$B$18*KL8*Inputs!$B$19</f>
        <v>0.726312644665422</v>
      </c>
      <c r="KN8" s="15" t="n">
        <f aca="false">1-KM8</f>
        <v>0.273687355334578</v>
      </c>
      <c r="KO8" s="15" t="n">
        <f aca="false">Inputs!$B$20*KN8</f>
        <v>0.00821062066003734</v>
      </c>
      <c r="KP8" s="15" t="n">
        <f aca="false">0.8*(1-Inputs!$B$50)*(KM8-KO8)</f>
        <v>0.00172962627983556</v>
      </c>
      <c r="KQ8" s="15" t="n">
        <f aca="false">KM8-KO8-KP8</f>
        <v>0.716372397725549</v>
      </c>
      <c r="KR8" s="15" t="n">
        <f aca="false">KQ8*(1-Inputs!$B$18*EXP(-Inputs!$B$21*Inputs!$B$14*Inputs!$B$17/(Inputs!$B$22*Inputs!$B$23*Inputs!$B$24*KK8*Inputs!$B$16))*Inputs!$B$19)</f>
        <v>0.0264705428288056</v>
      </c>
      <c r="KS8" s="15" t="n">
        <f aca="false">(KQ8-KR8)*(1-EXP(-Inputs!$B$25*Inputs!$B$14*Inputs!$B$17*Inputs!$B$26/(KK8*Inputs!$B$16/0.866)))</f>
        <v>0.00777057344405479</v>
      </c>
      <c r="KT8" s="15" t="n">
        <f aca="false">(KQ8-KR8-KS8)*(1-Inputs!$B$19)</f>
        <v>0.00341065640726345</v>
      </c>
      <c r="KU8" s="15" t="n">
        <f aca="false">(KN8+KO8+KP8+KR8+KS8+KT8)*(1+Inputs!$B$27)</f>
        <v>0.322243213079439</v>
      </c>
      <c r="KV8" s="15" t="n">
        <f aca="false">Inputs!$B$52/(1-KU8-G8)</f>
        <v>198755.032687839</v>
      </c>
      <c r="KW8" s="15" t="n">
        <f aca="false">KV8/Inputs!$B$34</f>
        <v>331.258387813066</v>
      </c>
      <c r="KX8" s="15" t="n">
        <f aca="false">B8^2/KW8</f>
        <v>9.46693009255872</v>
      </c>
      <c r="KY8" s="15" t="n">
        <f aca="false">Inputs!$B$54*H8/(Inputs!$B$35*F8+E8*H8^2/(PI()*KX8*Inputs!$B$36))</f>
        <v>18.434885812471</v>
      </c>
      <c r="KZ8" s="15" t="n">
        <f aca="false">EXP(-Inputs!$B$11*Inputs!$B$14*Inputs!$B$17/(Inputs!$B$51*KY8*Inputs!$B$16))</f>
        <v>0.743316583918428</v>
      </c>
      <c r="LA8" s="15" t="n">
        <f aca="false">Inputs!$B$50*Inputs!$B$18*KZ8*Inputs!$B$19</f>
        <v>0.726312644256332</v>
      </c>
      <c r="LB8" s="15" t="n">
        <f aca="false">1-LA8</f>
        <v>0.273687355743668</v>
      </c>
      <c r="LC8" s="15" t="n">
        <f aca="false">Inputs!$B$20*LB8</f>
        <v>0.00821062067231005</v>
      </c>
      <c r="LD8" s="15" t="n">
        <f aca="false">0.8*(1-Inputs!$B$50)*(LA8-LC8)</f>
        <v>0.00172962627882066</v>
      </c>
      <c r="LE8" s="15" t="n">
        <f aca="false">LA8-LC8-LD8</f>
        <v>0.716372397305201</v>
      </c>
      <c r="LF8" s="15" t="n">
        <f aca="false">LE8*(1-Inputs!$B$18*EXP(-Inputs!$B$21*Inputs!$B$14*Inputs!$B$17/(Inputs!$B$22*Inputs!$B$23*Inputs!$B$24*KY8*Inputs!$B$16))*Inputs!$B$19)</f>
        <v>0.0264705428362302</v>
      </c>
      <c r="LG8" s="15" t="n">
        <f aca="false">(LE8-LF8)*(1-EXP(-Inputs!$B$25*Inputs!$B$14*Inputs!$B$17*Inputs!$B$26/(KY8*Inputs!$B$16/0.866)))</f>
        <v>0.00777057345390787</v>
      </c>
      <c r="LH8" s="15" t="n">
        <f aca="false">(LE8-LF8-LG8)*(1-Inputs!$B$19)</f>
        <v>0.00341065640507532</v>
      </c>
      <c r="LI8" s="15" t="n">
        <f aca="false">(LB8+LC8+LD8+LF8+LG8+LH8)*(1+Inputs!$B$27)</f>
        <v>0.322243213516183</v>
      </c>
      <c r="LJ8" s="15" t="n">
        <f aca="false">Inputs!$B$52/(1-LI8-G8)</f>
        <v>198755.033216665</v>
      </c>
      <c r="LK8" s="15" t="n">
        <f aca="false">LJ8/Inputs!$B$34</f>
        <v>331.258388694442</v>
      </c>
      <c r="LL8" s="15" t="n">
        <f aca="false">B8^2/LK8</f>
        <v>9.46693006737014</v>
      </c>
      <c r="LM8" s="15" t="n">
        <f aca="false">Inputs!$B$54*H8/(Inputs!$B$35*F8+E8*H8^2/(PI()*LL8*Inputs!$B$36))</f>
        <v>18.4348857966614</v>
      </c>
      <c r="LN8" s="15" t="n">
        <f aca="false">EXP(-Inputs!$B$11*Inputs!$B$14*Inputs!$B$17/(Inputs!$B$51*LM8*Inputs!$B$16))</f>
        <v>0.743316583729335</v>
      </c>
      <c r="LO8" s="15" t="n">
        <f aca="false">Inputs!$B$50*Inputs!$B$18*LN8*Inputs!$B$19</f>
        <v>0.726312644071564</v>
      </c>
      <c r="LP8" s="15" t="n">
        <f aca="false">1-LO8</f>
        <v>0.273687355928436</v>
      </c>
      <c r="LQ8" s="15" t="n">
        <f aca="false">Inputs!$B$20*LP8</f>
        <v>0.00821062067785307</v>
      </c>
      <c r="LR8" s="15" t="n">
        <f aca="false">0.8*(1-Inputs!$B$50)*(LO8-LQ8)</f>
        <v>0.00172962627836228</v>
      </c>
      <c r="LS8" s="15" t="n">
        <f aca="false">LO8-LQ8-LR8</f>
        <v>0.716372397115349</v>
      </c>
      <c r="LT8" s="15" t="n">
        <f aca="false">LS8*(1-Inputs!$B$18*EXP(-Inputs!$B$21*Inputs!$B$14*Inputs!$B$17/(Inputs!$B$22*Inputs!$B$23*Inputs!$B$24*LM8*Inputs!$B$16))*Inputs!$B$19)</f>
        <v>0.0264705428395835</v>
      </c>
      <c r="LU8" s="15" t="n">
        <f aca="false">(LS8-LT8)*(1-EXP(-Inputs!$B$25*Inputs!$B$14*Inputs!$B$17*Inputs!$B$26/(LM8*Inputs!$B$16/0.866)))</f>
        <v>0.00777057345835808</v>
      </c>
      <c r="LV8" s="15" t="n">
        <f aca="false">(LS8-LT8-LU8)*(1-Inputs!$B$19)</f>
        <v>0.00341065640408704</v>
      </c>
      <c r="LW8" s="15" t="n">
        <f aca="false">(LP8+LQ8+LR8+LT8+LU8+LV8)*(1+Inputs!$B$27)</f>
        <v>0.32224321371344</v>
      </c>
      <c r="LX8" s="15" t="n">
        <f aca="false">Inputs!$B$52/(1-LW8-G8)</f>
        <v>198755.033455512</v>
      </c>
      <c r="LY8" s="15" t="n">
        <f aca="false">LX8/Inputs!$B$34</f>
        <v>331.258389092519</v>
      </c>
      <c r="LZ8" s="15" t="n">
        <f aca="false">B8^2/LY8</f>
        <v>9.46693005599362</v>
      </c>
      <c r="MA8" s="15" t="n">
        <f aca="false">Inputs!$B$54*H8/(Inputs!$B$35*F8+E8*H8^2/(PI()*LZ8*Inputs!$B$36))</f>
        <v>18.4348857895209</v>
      </c>
      <c r="MB8" s="15" t="n">
        <f aca="false">EXP(-Inputs!$B$11*Inputs!$B$14*Inputs!$B$17/(Inputs!$B$51*MA8*Inputs!$B$16))</f>
        <v>0.743316583643931</v>
      </c>
      <c r="MC8" s="15" t="n">
        <f aca="false">Inputs!$B$50*Inputs!$B$18*MB8*Inputs!$B$19</f>
        <v>0.726312643988113</v>
      </c>
      <c r="MD8" s="15" t="n">
        <f aca="false">1-MC8</f>
        <v>0.273687356011887</v>
      </c>
      <c r="ME8" s="15" t="n">
        <f aca="false">Inputs!$B$20*MD8</f>
        <v>0.0082106206803566</v>
      </c>
      <c r="MF8" s="15" t="n">
        <f aca="false">0.8*(1-Inputs!$B$50)*(MC8-ME8)</f>
        <v>0.00172962627815525</v>
      </c>
      <c r="MG8" s="15" t="n">
        <f aca="false">MC8-ME8-MF8</f>
        <v>0.716372397029602</v>
      </c>
      <c r="MH8" s="15" t="n">
        <f aca="false">MG8*(1-Inputs!$B$18*EXP(-Inputs!$B$21*Inputs!$B$14*Inputs!$B$17/(Inputs!$B$22*Inputs!$B$23*Inputs!$B$24*MA8*Inputs!$B$16))*Inputs!$B$19)</f>
        <v>0.0264705428410981</v>
      </c>
      <c r="MI8" s="15" t="n">
        <f aca="false">(MG8-MH8)*(1-EXP(-Inputs!$B$25*Inputs!$B$14*Inputs!$B$17*Inputs!$B$26/(MA8*Inputs!$B$16/0.866)))</f>
        <v>0.00777057346036808</v>
      </c>
      <c r="MJ8" s="15" t="n">
        <f aca="false">(MG8-MH8-MI8)*(1-Inputs!$B$19)</f>
        <v>0.00341065640364068</v>
      </c>
      <c r="MK8" s="15" t="n">
        <f aca="false">(MD8+ME8+MF8+MH8+MI8+MJ8)*(1+Inputs!$B$27)</f>
        <v>0.322243213802532</v>
      </c>
      <c r="ML8" s="15" t="n">
        <f aca="false">Inputs!$B$52/(1-MK8-G8)</f>
        <v>198755.033563388</v>
      </c>
      <c r="MM8" s="15" t="n">
        <f aca="false">ML8/Inputs!$B$34</f>
        <v>331.258389272313</v>
      </c>
      <c r="MN8" s="15" t="n">
        <f aca="false">B8^2/MM8</f>
        <v>9.46693005085536</v>
      </c>
      <c r="MO8" s="15" t="n">
        <f aca="false">Inputs!$B$54*H8/(Inputs!$B$35*F8+E8*H8^2/(PI()*MN8*Inputs!$B$36))</f>
        <v>18.4348857862958</v>
      </c>
      <c r="MP8" s="15" t="n">
        <f aca="false">EXP(-Inputs!$B$11*Inputs!$B$14*Inputs!$B$17/(Inputs!$B$51*MO8*Inputs!$B$16))</f>
        <v>0.743316583605358</v>
      </c>
      <c r="MQ8" s="15" t="n">
        <f aca="false">Inputs!$B$50*Inputs!$B$18*MP8*Inputs!$B$19</f>
        <v>0.726312643950422</v>
      </c>
      <c r="MR8" s="15" t="n">
        <f aca="false">1-MQ8</f>
        <v>0.273687356049578</v>
      </c>
      <c r="MS8" s="15" t="n">
        <f aca="false">Inputs!$B$20*MR8</f>
        <v>0.00821062068148733</v>
      </c>
      <c r="MT8" s="15" t="n">
        <f aca="false">0.8*(1-Inputs!$B$50)*(MQ8-MS8)</f>
        <v>0.00172962627806174</v>
      </c>
      <c r="MU8" s="15" t="n">
        <f aca="false">MQ8-MS8-MT8</f>
        <v>0.716372396990873</v>
      </c>
      <c r="MV8" s="15" t="n">
        <f aca="false">MU8*(1-Inputs!$B$18*EXP(-Inputs!$B$21*Inputs!$B$14*Inputs!$B$17/(Inputs!$B$22*Inputs!$B$23*Inputs!$B$24*MO8*Inputs!$B$16))*Inputs!$B$19)</f>
        <v>0.0264705428417822</v>
      </c>
      <c r="MW8" s="15" t="n">
        <f aca="false">(MU8-MV8)*(1-EXP(-Inputs!$B$25*Inputs!$B$14*Inputs!$B$17*Inputs!$B$26/(MO8*Inputs!$B$16/0.866)))</f>
        <v>0.00777057346127583</v>
      </c>
      <c r="MX8" s="15" t="n">
        <f aca="false">(MU8-MV8-MW8)*(1-Inputs!$B$19)</f>
        <v>0.00341065640343908</v>
      </c>
      <c r="MY8" s="15" t="n">
        <f aca="false">(MR8+MS8+MT8+MV8+MW8+MX8)*(1+Inputs!$B$27)</f>
        <v>0.322243213842771</v>
      </c>
      <c r="MZ8" s="15" t="n">
        <f aca="false">Inputs!$B$52/(1-MY8-G8)</f>
        <v>198755.03361211</v>
      </c>
      <c r="NA8" s="15" t="n">
        <f aca="false">MZ8/Inputs!$B$34</f>
        <v>331.258389353517</v>
      </c>
      <c r="NB8" s="15" t="n">
        <f aca="false">B8^2/NA8</f>
        <v>9.46693004853465</v>
      </c>
      <c r="NC8" s="15" t="n">
        <f aca="false">Inputs!$B$54*H8/(Inputs!$B$35*F8+E8*H8^2/(PI()*NB8*Inputs!$B$36))</f>
        <v>18.4348857848392</v>
      </c>
      <c r="ND8" s="15" t="n">
        <f aca="false">EXP(-Inputs!$B$11*Inputs!$B$14*Inputs!$B$17/(Inputs!$B$51*NC8*Inputs!$B$16))</f>
        <v>0.743316583587936</v>
      </c>
      <c r="NE8" s="15" t="n">
        <f aca="false">Inputs!$B$50*Inputs!$B$18*ND8*Inputs!$B$19</f>
        <v>0.726312643933399</v>
      </c>
      <c r="NF8" s="15" t="n">
        <f aca="false">1-NE8</f>
        <v>0.273687356066601</v>
      </c>
      <c r="NG8" s="15" t="n">
        <f aca="false">Inputs!$B$20*NF8</f>
        <v>0.00821062068199802</v>
      </c>
      <c r="NH8" s="15" t="n">
        <f aca="false">0.8*(1-Inputs!$B$50)*(NE8-NG8)</f>
        <v>0.00172962627801951</v>
      </c>
      <c r="NI8" s="15" t="n">
        <f aca="false">NE8-NG8-NH8</f>
        <v>0.716372396973382</v>
      </c>
      <c r="NJ8" s="15" t="n">
        <f aca="false">NI8*(1-Inputs!$B$18*EXP(-Inputs!$B$21*Inputs!$B$14*Inputs!$B$17/(Inputs!$B$22*Inputs!$B$23*Inputs!$B$24*NC8*Inputs!$B$16))*Inputs!$B$19)</f>
        <v>0.0264705428420911</v>
      </c>
      <c r="NK8" s="15" t="n">
        <f aca="false">(NI8-NJ8)*(1-EXP(-Inputs!$B$25*Inputs!$B$14*Inputs!$B$17*Inputs!$B$26/(NC8*Inputs!$B$16/0.866)))</f>
        <v>0.00777057346168587</v>
      </c>
      <c r="NL8" s="15" t="n">
        <f aca="false">(NI8-NJ8-NK8)*(1-Inputs!$B$19)</f>
        <v>0.00341065640334803</v>
      </c>
      <c r="NM8" s="15" t="n">
        <f aca="false">(NF8+NG8+NH8+NJ8+NK8+NL8)*(1+Inputs!$B$27)</f>
        <v>0.322243213860945</v>
      </c>
      <c r="NN8" s="15" t="n">
        <f aca="false">Inputs!$B$52/(1-NM8-G8)</f>
        <v>198755.033634116</v>
      </c>
    </row>
    <row r="9" customFormat="false" ht="15" hidden="false" customHeight="false" outlineLevel="0" collapsed="false">
      <c r="A9" s="21" t="s">
        <v>501</v>
      </c>
      <c r="B9" s="21" t="n">
        <v>56</v>
      </c>
      <c r="C9" s="22" t="n">
        <v>0.15</v>
      </c>
      <c r="D9" s="23" t="n">
        <f aca="false">B9*C9</f>
        <v>8.4</v>
      </c>
      <c r="E9" s="24" t="n">
        <f aca="false">IF(C9=0,1,(1+0.45*C9)/(1.04+2.81*C9))</f>
        <v>0.73041395826206</v>
      </c>
      <c r="F9" s="24" t="n">
        <f aca="false">1+Inputs!$B$42*D9</f>
        <v>1.042</v>
      </c>
      <c r="G9" s="25" t="n">
        <f aca="false">Inputs!$B$31+Inputs!$B$43*(B9/Inputs!$B$32-1)+Inputs!$B$44+Inputs!$B$45*D9</f>
        <v>0.51529</v>
      </c>
      <c r="H9" s="22" t="n">
        <f aca="false">Inputs!$B$38</f>
        <v>0.5</v>
      </c>
      <c r="I9" s="23" t="n">
        <f aca="false">Inputs!$B$40</f>
        <v>2.4</v>
      </c>
      <c r="J9" s="26" t="n">
        <f aca="false">NN9/Inputs!$B$34</f>
        <v>324.900069461185</v>
      </c>
      <c r="K9" s="23" t="n">
        <f aca="false">B9^2/J9</f>
        <v>9.6521986135637</v>
      </c>
      <c r="L9" s="23" t="n">
        <f aca="false">2*K9</f>
        <v>19.3043972271274</v>
      </c>
      <c r="M9" s="22" t="n">
        <f aca="false">NC9</f>
        <v>18.8341025635061</v>
      </c>
      <c r="N9" s="23" t="n">
        <f aca="false">B9/SQRT(E9)</f>
        <v>65.5244667105725</v>
      </c>
      <c r="O9" s="24" t="n">
        <f aca="false">NM9</f>
        <v>0.317350848337842</v>
      </c>
      <c r="P9" s="23" t="n">
        <f aca="false">NN9/1000</f>
        <v>194.940041676711</v>
      </c>
      <c r="Q9" s="23" t="n">
        <f aca="false">G9*NN9/1000</f>
        <v>100.450654075592</v>
      </c>
      <c r="R9" s="23" t="n">
        <f aca="false">NM9*NN9/1000</f>
        <v>61.8643876011186</v>
      </c>
      <c r="S9" s="23" t="n">
        <f aca="false">NM9*NN9/Inputs!$B$28/1000</f>
        <v>82.4858501348248</v>
      </c>
      <c r="T9" s="27" t="n">
        <f aca="false">R9/Sweep!$R$5-1</f>
        <v>-0.0101162896862594</v>
      </c>
      <c r="U9" s="27" t="n">
        <f aca="false">R9/SUMIFS(Sweep!$R:$R,Sweep!$A:$A,"Conventional",Sweep!$B:$B,B9)-1</f>
        <v>-0.22935803412842</v>
      </c>
      <c r="V9" s="26" t="n">
        <f aca="false">2*0.54*(J9/2)^1.5/SQRT(L9)*Inputs!$B$46*Inputs!$B$47</f>
        <v>47.5868498554529</v>
      </c>
      <c r="W9" s="28" t="n">
        <f aca="false">MIN(1,V9/S9)</f>
        <v>0.576909249012664</v>
      </c>
      <c r="X9" s="26" t="n">
        <f aca="false">1.23*SQRT(2*Inputs!$B$41*NN9*Inputs!$B$49/(1.225*J9*I9))/0.5144</f>
        <v>133.62967568068</v>
      </c>
      <c r="Y9" s="29" t="n">
        <f aca="false">(11000+6341.6*LN(0.36392/(2*Inputs!$B$50*Inputs!$B$18*(1+ND9)/2*Inputs!$B$34*Inputs!$B$49/((Inputs!$B$12*295.07)^2*H9))))/0.3048</f>
        <v>38684.5691575394</v>
      </c>
      <c r="Z9" s="26" t="n">
        <f aca="false">NN9-MZ9</f>
        <v>4.74101398140192E-007</v>
      </c>
      <c r="AA9" s="30" t="str">
        <f aca="false">IF(ABS(NN9-MZ9)&lt;10,"Yes","No")</f>
        <v>Yes</v>
      </c>
      <c r="AC9" s="15" t="n">
        <f aca="false">Inputs!$B$52/(1-0.3154-G9)/Inputs!$B$34</f>
        <v>321.156458567125</v>
      </c>
      <c r="AD9" s="15" t="n">
        <f aca="false">B9^2/AC9</f>
        <v>9.76471098850574</v>
      </c>
      <c r="AE9" s="15" t="n">
        <f aca="false">Inputs!$B$54*H9/(Inputs!$B$35*F9+E9*H9^2/(PI()*AD9*Inputs!$B$36))</f>
        <v>18.8990423454655</v>
      </c>
      <c r="AF9" s="15" t="n">
        <f aca="false">EXP(-Inputs!$B$11*Inputs!$B$14*Inputs!$B$17/(Inputs!$B$51*AE9*Inputs!$B$16))</f>
        <v>0.748751605014569</v>
      </c>
      <c r="AG9" s="15" t="n">
        <f aca="false">Inputs!$B$50*Inputs!$B$18*AF9*Inputs!$B$19</f>
        <v>0.731623335056632</v>
      </c>
      <c r="AH9" s="15" t="n">
        <f aca="false">1-AG9</f>
        <v>0.268376664943368</v>
      </c>
      <c r="AI9" s="15" t="n">
        <f aca="false">Inputs!$B$20*AH9</f>
        <v>0.00805129994830103</v>
      </c>
      <c r="AJ9" s="15" t="n">
        <f aca="false">0.8*(1-Inputs!$B$50)*(AG9-AI9)</f>
        <v>0.00174280139233821</v>
      </c>
      <c r="AK9" s="15" t="n">
        <f aca="false">AG9-AI9-AJ9</f>
        <v>0.721829233715993</v>
      </c>
      <c r="AL9" s="15" t="n">
        <f aca="false">AK9*(1-Inputs!$B$18*EXP(-Inputs!$B$21*Inputs!$B$14*Inputs!$B$17/(Inputs!$B$22*Inputs!$B$23*Inputs!$B$24*AE9*Inputs!$B$16))*Inputs!$B$19)</f>
        <v>0.026372916814882</v>
      </c>
      <c r="AM9" s="15" t="n">
        <f aca="false">(AK9-AL9)*(1-EXP(-Inputs!$B$25*Inputs!$B$14*Inputs!$B$17*Inputs!$B$26/(AE9*Inputs!$B$16/0.866)))</f>
        <v>0.00764181578306815</v>
      </c>
      <c r="AN9" s="15" t="n">
        <f aca="false">(AK9-AL9-AM9)*(1-Inputs!$B$19)</f>
        <v>0.00343907250559022</v>
      </c>
      <c r="AO9" s="15" t="n">
        <f aca="false">(AH9+AI9+AJ9+AL9+AM9+AN9)*(1+Inputs!$B$27)</f>
        <v>0.31657144510171</v>
      </c>
      <c r="AP9" s="15" t="n">
        <f aca="false">Inputs!$B$52/(1-AO9-G9)</f>
        <v>194036.400632415</v>
      </c>
      <c r="AQ9" s="15" t="n">
        <f aca="false">AP9/Inputs!$B$34</f>
        <v>323.394001054026</v>
      </c>
      <c r="AR9" s="15" t="n">
        <f aca="false">B9^2/AQ9</f>
        <v>9.69714957537541</v>
      </c>
      <c r="AS9" s="15" t="n">
        <f aca="false">Inputs!$B$54*H9/(Inputs!$B$35*F9+E9*H9^2/(PI()*AR9*Inputs!$B$36))</f>
        <v>18.8601743461576</v>
      </c>
      <c r="AT9" s="15" t="n">
        <f aca="false">EXP(-Inputs!$B$11*Inputs!$B$14*Inputs!$B$17/(Inputs!$B$51*AS9*Inputs!$B$16))</f>
        <v>0.748305255327916</v>
      </c>
      <c r="AU9" s="15" t="n">
        <f aca="false">Inputs!$B$50*Inputs!$B$18*AT9*Inputs!$B$19</f>
        <v>0.731187195963022</v>
      </c>
      <c r="AV9" s="15" t="n">
        <f aca="false">1-AU9</f>
        <v>0.268812804036978</v>
      </c>
      <c r="AW9" s="15" t="n">
        <f aca="false">Inputs!$B$20*AV9</f>
        <v>0.00806438412110934</v>
      </c>
      <c r="AX9" s="15" t="n">
        <f aca="false">0.8*(1-Inputs!$B$50)*(AU9-AW9)</f>
        <v>0.00174171938958493</v>
      </c>
      <c r="AY9" s="15" t="n">
        <f aca="false">AU9-AW9-AX9</f>
        <v>0.721381092452328</v>
      </c>
      <c r="AZ9" s="15" t="n">
        <f aca="false">AY9*(1-Inputs!$B$18*EXP(-Inputs!$B$21*Inputs!$B$14*Inputs!$B$17/(Inputs!$B$22*Inputs!$B$23*Inputs!$B$24*AS9*Inputs!$B$16))*Inputs!$B$19)</f>
        <v>0.0263810277444019</v>
      </c>
      <c r="BA9" s="15" t="n">
        <f aca="false">(AY9-AZ9)*(1-EXP(-Inputs!$B$25*Inputs!$B$14*Inputs!$B$17*Inputs!$B$26/(AS9*Inputs!$B$16/0.866)))</f>
        <v>0.00765245373429191</v>
      </c>
      <c r="BB9" s="15" t="n">
        <f aca="false">(AY9-AZ9-BA9)*(1-Inputs!$B$19)</f>
        <v>0.00343673805486817</v>
      </c>
      <c r="BC9" s="15" t="n">
        <f aca="false">(AV9+AW9+AX9+AZ9+BA9+BB9)*(1+Inputs!$B$27)</f>
        <v>0.317037394462478</v>
      </c>
      <c r="BD9" s="15" t="n">
        <f aca="false">Inputs!$B$52/(1-BC9-G9)</f>
        <v>194575.612965585</v>
      </c>
      <c r="BE9" s="15" t="n">
        <f aca="false">BD9/Inputs!$B$34</f>
        <v>324.292688275974</v>
      </c>
      <c r="BF9" s="15" t="n">
        <f aca="false">B9^2/BE9</f>
        <v>9.67027661546058</v>
      </c>
      <c r="BG9" s="15" t="n">
        <f aca="false">Inputs!$B$54*H9/(Inputs!$B$35*F9+E9*H9^2/(PI()*BF9*Inputs!$B$36))</f>
        <v>18.8446083549658</v>
      </c>
      <c r="BH9" s="15" t="n">
        <f aca="false">EXP(-Inputs!$B$11*Inputs!$B$14*Inputs!$B$17/(Inputs!$B$51*BG9*Inputs!$B$16))</f>
        <v>0.748126058213158</v>
      </c>
      <c r="BI9" s="15" t="n">
        <f aca="false">Inputs!$B$50*Inputs!$B$18*BH9*Inputs!$B$19</f>
        <v>0.731012098120355</v>
      </c>
      <c r="BJ9" s="15" t="n">
        <f aca="false">1-BI9</f>
        <v>0.268987901879645</v>
      </c>
      <c r="BK9" s="15" t="n">
        <f aca="false">Inputs!$B$20*BJ9</f>
        <v>0.00806963705638936</v>
      </c>
      <c r="BL9" s="15" t="n">
        <f aca="false">0.8*(1-Inputs!$B$50)*(BI9-BK9)</f>
        <v>0.00174128499525836</v>
      </c>
      <c r="BM9" s="15" t="n">
        <f aca="false">BI9-BK9-BL9</f>
        <v>0.721201176068707</v>
      </c>
      <c r="BN9" s="15" t="n">
        <f aca="false">BM9*(1-Inputs!$B$18*EXP(-Inputs!$B$21*Inputs!$B$14*Inputs!$B$17/(Inputs!$B$22*Inputs!$B$23*Inputs!$B$24*BG9*Inputs!$B$16))*Inputs!$B$19)</f>
        <v>0.026384279366358</v>
      </c>
      <c r="BO9" s="15" t="n">
        <f aca="false">(BM9-BN9)*(1-EXP(-Inputs!$B$25*Inputs!$B$14*Inputs!$B$17*Inputs!$B$26/(BG9*Inputs!$B$16/0.866)))</f>
        <v>0.00765672137508853</v>
      </c>
      <c r="BP9" s="15" t="n">
        <f aca="false">(BM9-BN9-BO9)*(1-Inputs!$B$19)</f>
        <v>0.00343580087663631</v>
      </c>
      <c r="BQ9" s="15" t="n">
        <f aca="false">(BJ9+BK9+BL9+BN9+BO9+BP9)*(1+Inputs!$B$27)</f>
        <v>0.317224452426024</v>
      </c>
      <c r="BR9" s="15" t="n">
        <f aca="false">Inputs!$B$52/(1-BQ9-G9)</f>
        <v>194792.926748441</v>
      </c>
      <c r="BS9" s="15" t="n">
        <f aca="false">BR9/Inputs!$B$34</f>
        <v>324.654877914068</v>
      </c>
      <c r="BT9" s="15" t="n">
        <f aca="false">B9^2/BS9</f>
        <v>9.65948831617451</v>
      </c>
      <c r="BU9" s="15" t="n">
        <f aca="false">Inputs!$B$54*H9/(Inputs!$B$35*F9+E9*H9^2/(PI()*BT9*Inputs!$B$36))</f>
        <v>18.8383421988093</v>
      </c>
      <c r="BV9" s="15" t="n">
        <f aca="false">EXP(-Inputs!$B$11*Inputs!$B$14*Inputs!$B$17/(Inputs!$B$51*BU9*Inputs!$B$16))</f>
        <v>0.748053850182541</v>
      </c>
      <c r="BW9" s="15" t="n">
        <f aca="false">Inputs!$B$50*Inputs!$B$18*BV9*Inputs!$B$19</f>
        <v>0.730941541904082</v>
      </c>
      <c r="BX9" s="15" t="n">
        <f aca="false">1-BW9</f>
        <v>0.269058458095918</v>
      </c>
      <c r="BY9" s="15" t="n">
        <f aca="false">Inputs!$B$20*BX9</f>
        <v>0.00807175374287753</v>
      </c>
      <c r="BZ9" s="15" t="n">
        <f aca="false">0.8*(1-Inputs!$B$50)*(BW9-BY9)</f>
        <v>0.00174110995472338</v>
      </c>
      <c r="CA9" s="15" t="n">
        <f aca="false">BW9-BY9-BZ9</f>
        <v>0.721128678206481</v>
      </c>
      <c r="CB9" s="15" t="n">
        <f aca="false">CA9*(1-Inputs!$B$18*EXP(-Inputs!$B$21*Inputs!$B$14*Inputs!$B$17/(Inputs!$B$22*Inputs!$B$23*Inputs!$B$24*BU9*Inputs!$B$16))*Inputs!$B$19)</f>
        <v>0.0263855888572205</v>
      </c>
      <c r="CC9" s="15" t="n">
        <f aca="false">(CA9-CB9)*(1-EXP(-Inputs!$B$25*Inputs!$B$14*Inputs!$B$17*Inputs!$B$26/(BU9*Inputs!$B$16/0.866)))</f>
        <v>0.00765844051513385</v>
      </c>
      <c r="CD9" s="15" t="n">
        <f aca="false">(CA9-CB9-CC9)*(1-Inputs!$B$19)</f>
        <v>0.00343542324417064</v>
      </c>
      <c r="CE9" s="15" t="n">
        <f aca="false">(BX9+BY9+BZ9+CB9+CC9+CD9)*(1+Inputs!$B$27)</f>
        <v>0.317299826733274</v>
      </c>
      <c r="CF9" s="15" t="n">
        <f aca="false">Inputs!$B$52/(1-CE9-G9)</f>
        <v>194880.62979315</v>
      </c>
      <c r="CG9" s="15" t="n">
        <f aca="false">CF9/Inputs!$B$34</f>
        <v>324.80104965525</v>
      </c>
      <c r="CH9" s="15" t="n">
        <f aca="false">B9^2/CG9</f>
        <v>9.65514121130029</v>
      </c>
      <c r="CI9" s="15" t="n">
        <f aca="false">Inputs!$B$54*H9/(Inputs!$B$35*F9+E9*H9^2/(PI()*CH9*Inputs!$B$36))</f>
        <v>18.8358144966403</v>
      </c>
      <c r="CJ9" s="15" t="n">
        <f aca="false">EXP(-Inputs!$B$11*Inputs!$B$14*Inputs!$B$17/(Inputs!$B$51*CI9*Inputs!$B$16))</f>
        <v>0.748024710589619</v>
      </c>
      <c r="CK9" s="15" t="n">
        <f aca="false">Inputs!$B$50*Inputs!$B$18*CJ9*Inputs!$B$19</f>
        <v>0.730913068901804</v>
      </c>
      <c r="CL9" s="15" t="n">
        <f aca="false">1-CK9</f>
        <v>0.269086931098196</v>
      </c>
      <c r="CM9" s="15" t="n">
        <f aca="false">Inputs!$B$20*CL9</f>
        <v>0.00807260793294589</v>
      </c>
      <c r="CN9" s="15" t="n">
        <f aca="false">0.8*(1-Inputs!$B$50)*(CK9-CM9)</f>
        <v>0.00174103931701328</v>
      </c>
      <c r="CO9" s="15" t="n">
        <f aca="false">CK9-CM9-CN9</f>
        <v>0.721099421651845</v>
      </c>
      <c r="CP9" s="15" t="n">
        <f aca="false">CO9*(1-Inputs!$B$18*EXP(-Inputs!$B$21*Inputs!$B$14*Inputs!$B$17/(Inputs!$B$22*Inputs!$B$23*Inputs!$B$24*CI9*Inputs!$B$16))*Inputs!$B$19)</f>
        <v>0.0263861171793305</v>
      </c>
      <c r="CQ9" s="15" t="n">
        <f aca="false">(CO9-CP9)*(1-EXP(-Inputs!$B$25*Inputs!$B$14*Inputs!$B$17*Inputs!$B$26/(CI9*Inputs!$B$16/0.866)))</f>
        <v>0.00765913419066409</v>
      </c>
      <c r="CR9" s="15" t="n">
        <f aca="false">(CO9-CP9-CQ9)*(1-Inputs!$B$19)</f>
        <v>0.00343527085140925</v>
      </c>
      <c r="CS9" s="15" t="n">
        <f aca="false">(CL9+CM9+CN9+CP9+CQ9+CR9)*(1+Inputs!$B$27)</f>
        <v>0.317330243871268</v>
      </c>
      <c r="CT9" s="15" t="n">
        <f aca="false">Inputs!$B$52/(1-CS9-G9)</f>
        <v>194916.044535924</v>
      </c>
      <c r="CU9" s="15" t="n">
        <f aca="false">CT9/Inputs!$B$34</f>
        <v>324.86007422654</v>
      </c>
      <c r="CV9" s="15" t="n">
        <f aca="false">B9^2/CU9</f>
        <v>9.65338694656926</v>
      </c>
      <c r="CW9" s="15" t="n">
        <f aca="false">Inputs!$B$54*H9/(Inputs!$B$35*F9+E9*H9^2/(PI()*CV9*Inputs!$B$36))</f>
        <v>18.8347939954511</v>
      </c>
      <c r="CX9" s="15" t="n">
        <f aca="false">EXP(-Inputs!$B$11*Inputs!$B$14*Inputs!$B$17/(Inputs!$B$51*CW9*Inputs!$B$16))</f>
        <v>0.748012944259555</v>
      </c>
      <c r="CY9" s="15" t="n">
        <f aca="false">Inputs!$B$50*Inputs!$B$18*CX9*Inputs!$B$19</f>
        <v>0.730901571735607</v>
      </c>
      <c r="CZ9" s="15" t="n">
        <f aca="false">1-CY9</f>
        <v>0.269098428264393</v>
      </c>
      <c r="DA9" s="15" t="n">
        <f aca="false">Inputs!$B$20*CZ9</f>
        <v>0.0080729528479318</v>
      </c>
      <c r="DB9" s="15" t="n">
        <f aca="false">0.8*(1-Inputs!$B$50)*(CY9-DA9)</f>
        <v>0.00174101079408181</v>
      </c>
      <c r="DC9" s="15" t="n">
        <f aca="false">CY9-DA9-DB9</f>
        <v>0.721087608093593</v>
      </c>
      <c r="DD9" s="15" t="n">
        <f aca="false">DC9*(1-Inputs!$B$18*EXP(-Inputs!$B$21*Inputs!$B$14*Inputs!$B$17/(Inputs!$B$22*Inputs!$B$23*Inputs!$B$24*CW9*Inputs!$B$16))*Inputs!$B$19)</f>
        <v>0.0263863304913312</v>
      </c>
      <c r="DE9" s="15" t="n">
        <f aca="false">(DC9-DD9)*(1-EXP(-Inputs!$B$25*Inputs!$B$14*Inputs!$B$17*Inputs!$B$26/(CW9*Inputs!$B$16/0.866)))</f>
        <v>0.00765941427742574</v>
      </c>
      <c r="DF9" s="15" t="n">
        <f aca="false">(DC9-DD9-DE9)*(1-Inputs!$B$19)</f>
        <v>0.00343520931662418</v>
      </c>
      <c r="DG9" s="15" t="n">
        <f aca="false">(CZ9+DA9+DB9+DD9+DE9+DF9)*(1+Inputs!$B$27)</f>
        <v>0.317342526029763</v>
      </c>
      <c r="DH9" s="15" t="n">
        <f aca="false">Inputs!$B$52/(1-DG9-G9)</f>
        <v>194930.348329221</v>
      </c>
      <c r="DI9" s="15" t="n">
        <f aca="false">DH9/Inputs!$B$34</f>
        <v>324.883913882035</v>
      </c>
      <c r="DJ9" s="15" t="n">
        <f aca="false">B9^2/DI9</f>
        <v>9.65267859072482</v>
      </c>
      <c r="DK9" s="15" t="n">
        <f aca="false">Inputs!$B$54*H9/(Inputs!$B$35*F9+E9*H9^2/(PI()*DJ9*Inputs!$B$36))</f>
        <v>18.8343818527478</v>
      </c>
      <c r="DL9" s="15" t="n">
        <f aca="false">EXP(-Inputs!$B$11*Inputs!$B$14*Inputs!$B$17/(Inputs!$B$51*DK9*Inputs!$B$16))</f>
        <v>0.748008191964844</v>
      </c>
      <c r="DM9" s="15" t="n">
        <f aca="false">Inputs!$B$50*Inputs!$B$18*DL9*Inputs!$B$19</f>
        <v>0.730896928153299</v>
      </c>
      <c r="DN9" s="15" t="n">
        <f aca="false">1-DM9</f>
        <v>0.269103071846701</v>
      </c>
      <c r="DO9" s="15" t="n">
        <f aca="false">Inputs!$B$20*DN9</f>
        <v>0.00807309215540102</v>
      </c>
      <c r="DP9" s="15" t="n">
        <f aca="false">0.8*(1-Inputs!$B$50)*(DM9-DO9)</f>
        <v>0.00174099927397523</v>
      </c>
      <c r="DQ9" s="15" t="n">
        <f aca="false">DM9-DO9-DP9</f>
        <v>0.721082836723923</v>
      </c>
      <c r="DR9" s="15" t="n">
        <f aca="false">DQ9*(1-Inputs!$B$18*EXP(-Inputs!$B$21*Inputs!$B$14*Inputs!$B$17/(Inputs!$B$22*Inputs!$B$23*Inputs!$B$24*DK9*Inputs!$B$16))*Inputs!$B$19)</f>
        <v>0.0263864166424757</v>
      </c>
      <c r="DS9" s="15" t="n">
        <f aca="false">(DQ9-DR9)*(1-EXP(-Inputs!$B$25*Inputs!$B$14*Inputs!$B$17*Inputs!$B$26/(DK9*Inputs!$B$16/0.866)))</f>
        <v>0.00765952739922474</v>
      </c>
      <c r="DT9" s="15" t="n">
        <f aca="false">(DQ9-DR9-DS9)*(1-Inputs!$B$19)</f>
        <v>0.00343518446341112</v>
      </c>
      <c r="DU9" s="15" t="n">
        <f aca="false">(DN9+DO9+DP9+DR9+DS9+DT9)*(1+Inputs!$B$27)</f>
        <v>0.317347486656532</v>
      </c>
      <c r="DV9" s="15" t="n">
        <f aca="false">Inputs!$B$52/(1-DU9-G9)</f>
        <v>194936.126066927</v>
      </c>
      <c r="DW9" s="15" t="n">
        <f aca="false">DV9/Inputs!$B$34</f>
        <v>324.893543444878</v>
      </c>
      <c r="DX9" s="15" t="n">
        <f aca="false">B9^2/DW9</f>
        <v>9.65239249370328</v>
      </c>
      <c r="DY9" s="15" t="n">
        <f aca="false">Inputs!$B$54*H9/(Inputs!$B$35*F9+E9*H9^2/(PI()*DX9*Inputs!$B$36))</f>
        <v>18.8342153808732</v>
      </c>
      <c r="DZ9" s="15" t="n">
        <f aca="false">EXP(-Inputs!$B$11*Inputs!$B$14*Inputs!$B$17/(Inputs!$B$51*DY9*Inputs!$B$16))</f>
        <v>0.748006272376849</v>
      </c>
      <c r="EA9" s="15" t="n">
        <f aca="false">Inputs!$B$50*Inputs!$B$18*DZ9*Inputs!$B$19</f>
        <v>0.730895052477359</v>
      </c>
      <c r="EB9" s="15" t="n">
        <f aca="false">1-EA9</f>
        <v>0.269104947522641</v>
      </c>
      <c r="EC9" s="15" t="n">
        <f aca="false">Inputs!$B$20*EB9</f>
        <v>0.00807314842567922</v>
      </c>
      <c r="ED9" s="15" t="n">
        <f aca="false">0.8*(1-Inputs!$B$50)*(EA9-EC9)</f>
        <v>0.00174099462067411</v>
      </c>
      <c r="EE9" s="15" t="n">
        <f aca="false">EA9-EC9-ED9</f>
        <v>0.721080909431006</v>
      </c>
      <c r="EF9" s="15" t="n">
        <f aca="false">EE9*(1-Inputs!$B$18*EXP(-Inputs!$B$21*Inputs!$B$14*Inputs!$B$17/(Inputs!$B$22*Inputs!$B$23*Inputs!$B$24*DY9*Inputs!$B$16))*Inputs!$B$19)</f>
        <v>0.026386451440855</v>
      </c>
      <c r="EG9" s="15" t="n">
        <f aca="false">(EE9-EF9)*(1-EXP(-Inputs!$B$25*Inputs!$B$14*Inputs!$B$17*Inputs!$B$26/(DY9*Inputs!$B$16/0.866)))</f>
        <v>0.00765957309199431</v>
      </c>
      <c r="EH9" s="15" t="n">
        <f aca="false">(EE9-EF9-EG9)*(1-Inputs!$B$19)</f>
        <v>0.00343517442449079</v>
      </c>
      <c r="EI9" s="15" t="n">
        <f aca="false">(EB9+EC9+ED9+EF9+EG9+EH9)*(1+Inputs!$B$27)</f>
        <v>0.317349490394913</v>
      </c>
      <c r="EJ9" s="15" t="n">
        <f aca="false">Inputs!$B$52/(1-EI9-G9)</f>
        <v>194938.459956795</v>
      </c>
      <c r="EK9" s="15" t="n">
        <f aca="false">EJ9/Inputs!$B$34</f>
        <v>324.897433261324</v>
      </c>
      <c r="EL9" s="15" t="n">
        <f aca="false">B9^2/EK9</f>
        <v>9.65227693097109</v>
      </c>
      <c r="EM9" s="15" t="n">
        <f aca="false">Inputs!$B$54*H9/(Inputs!$B$35*F9+E9*H9^2/(PI()*EL9*Inputs!$B$36))</f>
        <v>18.8341481361799</v>
      </c>
      <c r="EN9" s="15" t="n">
        <f aca="false">EXP(-Inputs!$B$11*Inputs!$B$14*Inputs!$B$17/(Inputs!$B$51*EM9*Inputs!$B$16))</f>
        <v>0.748005496969739</v>
      </c>
      <c r="EO9" s="15" t="n">
        <f aca="false">Inputs!$B$50*Inputs!$B$18*EN9*Inputs!$B$19</f>
        <v>0.730894294808284</v>
      </c>
      <c r="EP9" s="15" t="n">
        <f aca="false">1-EO9</f>
        <v>0.269105705191716</v>
      </c>
      <c r="EQ9" s="15" t="n">
        <f aca="false">Inputs!$B$20*EP9</f>
        <v>0.00807317115575148</v>
      </c>
      <c r="ER9" s="15" t="n">
        <f aca="false">0.8*(1-Inputs!$B$50)*(EO9-EQ9)</f>
        <v>0.00174099274099848</v>
      </c>
      <c r="ES9" s="15" t="n">
        <f aca="false">EO9-EQ9-ER9</f>
        <v>0.721080130911534</v>
      </c>
      <c r="ET9" s="15" t="n">
        <f aca="false">ES9*(1-Inputs!$B$18*EXP(-Inputs!$B$21*Inputs!$B$14*Inputs!$B$17/(Inputs!$B$22*Inputs!$B$23*Inputs!$B$24*EM9*Inputs!$B$16))*Inputs!$B$19)</f>
        <v>0.0263864654973831</v>
      </c>
      <c r="EU9" s="15" t="n">
        <f aca="false">(ES9-ET9)*(1-EXP(-Inputs!$B$25*Inputs!$B$14*Inputs!$B$17*Inputs!$B$26/(EM9*Inputs!$B$16/0.866)))</f>
        <v>0.00765959154927983</v>
      </c>
      <c r="EV9" s="15" t="n">
        <f aca="false">(ES9-ET9-EU9)*(1-Inputs!$B$19)</f>
        <v>0.00343517036932436</v>
      </c>
      <c r="EW9" s="15" t="n">
        <f aca="false">(EP9+EQ9+ER9+ET9+EU9+EV9)*(1+Inputs!$B$27)</f>
        <v>0.317350299793966</v>
      </c>
      <c r="EX9" s="15" t="n">
        <f aca="false">Inputs!$B$52/(1-EW9-G9)</f>
        <v>194939.402734565</v>
      </c>
      <c r="EY9" s="15" t="n">
        <f aca="false">EX9/Inputs!$B$34</f>
        <v>324.899004557608</v>
      </c>
      <c r="EZ9" s="15" t="n">
        <f aca="false">B9^2/EY9</f>
        <v>9.65223025004361</v>
      </c>
      <c r="FA9" s="15" t="n">
        <f aca="false">Inputs!$B$54*H9/(Inputs!$B$35*F9+E9*H9^2/(PI()*EZ9*Inputs!$B$36))</f>
        <v>18.834120972737</v>
      </c>
      <c r="FB9" s="15" t="n">
        <f aca="false">EXP(-Inputs!$B$11*Inputs!$B$14*Inputs!$B$17/(Inputs!$B$51*FA9*Inputs!$B$16))</f>
        <v>0.748005183743282</v>
      </c>
      <c r="FC9" s="15" t="n">
        <f aca="false">Inputs!$B$50*Inputs!$B$18*FB9*Inputs!$B$19</f>
        <v>0.730893988747124</v>
      </c>
      <c r="FD9" s="15" t="n">
        <f aca="false">1-FC9</f>
        <v>0.269106011252877</v>
      </c>
      <c r="FE9" s="15" t="n">
        <f aca="false">Inputs!$B$20*FD9</f>
        <v>0.00807318033758629</v>
      </c>
      <c r="FF9" s="15" t="n">
        <f aca="false">0.8*(1-Inputs!$B$50)*(FC9-FE9)</f>
        <v>0.00174099198170168</v>
      </c>
      <c r="FG9" s="15" t="n">
        <f aca="false">FC9-FE9-FF9</f>
        <v>0.721079816427836</v>
      </c>
      <c r="FH9" s="15" t="n">
        <f aca="false">FG9*(1-Inputs!$B$18*EXP(-Inputs!$B$21*Inputs!$B$14*Inputs!$B$17/(Inputs!$B$22*Inputs!$B$23*Inputs!$B$24*FA9*Inputs!$B$16))*Inputs!$B$19)</f>
        <v>0.0263864711755172</v>
      </c>
      <c r="FI9" s="15" t="n">
        <f aca="false">(FG9-FH9)*(1-EXP(-Inputs!$B$25*Inputs!$B$14*Inputs!$B$17*Inputs!$B$26/(FA9*Inputs!$B$16/0.866)))</f>
        <v>0.00765959900510849</v>
      </c>
      <c r="FJ9" s="15" t="n">
        <f aca="false">(FG9-FH9-FI9)*(1-Inputs!$B$19)</f>
        <v>0.00343516873123605</v>
      </c>
      <c r="FK9" s="15" t="n">
        <f aca="false">(FD9+FE9+FF9+FH9+FI9+FJ9)*(1+Inputs!$B$27)</f>
        <v>0.317350626751478</v>
      </c>
      <c r="FL9" s="15" t="n">
        <f aca="false">Inputs!$B$52/(1-FK9-G9)</f>
        <v>194939.783573121</v>
      </c>
      <c r="FM9" s="15" t="n">
        <f aca="false">FL9/Inputs!$B$34</f>
        <v>324.899639288535</v>
      </c>
      <c r="FN9" s="15" t="n">
        <f aca="false">B9^2/FM9</f>
        <v>9.65221139323888</v>
      </c>
      <c r="FO9" s="15" t="n">
        <f aca="false">Inputs!$B$54*H9/(Inputs!$B$35*F9+E9*H9^2/(PI()*FN9*Inputs!$B$36))</f>
        <v>18.8341099999862</v>
      </c>
      <c r="FP9" s="15" t="n">
        <f aca="false">EXP(-Inputs!$B$11*Inputs!$B$14*Inputs!$B$17/(Inputs!$B$51*FO9*Inputs!$B$16))</f>
        <v>0.748005057214337</v>
      </c>
      <c r="FQ9" s="15" t="n">
        <f aca="false">Inputs!$B$50*Inputs!$B$18*FP9*Inputs!$B$19</f>
        <v>0.730893865112626</v>
      </c>
      <c r="FR9" s="15" t="n">
        <f aca="false">1-FQ9</f>
        <v>0.269106134887374</v>
      </c>
      <c r="FS9" s="15" t="n">
        <f aca="false">Inputs!$B$20*FR9</f>
        <v>0.00807318404662123</v>
      </c>
      <c r="FT9" s="15" t="n">
        <f aca="false">0.8*(1-Inputs!$B$50)*(FQ9-FS9)</f>
        <v>0.00174099167498103</v>
      </c>
      <c r="FU9" s="15" t="n">
        <f aca="false">FQ9-FS9-FT9</f>
        <v>0.721079689391023</v>
      </c>
      <c r="FV9" s="15" t="n">
        <f aca="false">FU9*(1-Inputs!$B$18*EXP(-Inputs!$B$21*Inputs!$B$14*Inputs!$B$17/(Inputs!$B$22*Inputs!$B$23*Inputs!$B$24*FO9*Inputs!$B$16))*Inputs!$B$19)</f>
        <v>0.0263864734692172</v>
      </c>
      <c r="FW9" s="15" t="n">
        <f aca="false">(FU9-FV9)*(1-EXP(-Inputs!$B$25*Inputs!$B$14*Inputs!$B$17*Inputs!$B$26/(FO9*Inputs!$B$16/0.866)))</f>
        <v>0.0076596020169155</v>
      </c>
      <c r="FX9" s="15" t="n">
        <f aca="false">(FU9-FV9-FW9)*(1-Inputs!$B$19)</f>
        <v>0.00343516806952446</v>
      </c>
      <c r="FY9" s="15" t="n">
        <f aca="false">(FR9+FS9+FT9+FV9+FW9+FX9)*(1+Inputs!$B$27)</f>
        <v>0.317350758827128</v>
      </c>
      <c r="FZ9" s="15" t="n">
        <f aca="false">Inputs!$B$52/(1-FY9-G9)</f>
        <v>194939.937414632</v>
      </c>
      <c r="GA9" s="15" t="n">
        <f aca="false">FZ9/Inputs!$B$34</f>
        <v>324.899895691053</v>
      </c>
      <c r="GB9" s="15" t="n">
        <f aca="false">B9^2/GA9</f>
        <v>9.65220377596557</v>
      </c>
      <c r="GC9" s="15" t="n">
        <f aca="false">Inputs!$B$54*H9/(Inputs!$B$35*F9+E9*H9^2/(PI()*GB9*Inputs!$B$36))</f>
        <v>18.8341055674961</v>
      </c>
      <c r="GD9" s="15" t="n">
        <f aca="false">EXP(-Inputs!$B$11*Inputs!$B$14*Inputs!$B$17/(Inputs!$B$51*GC9*Inputs!$B$16))</f>
        <v>0.748005006102385</v>
      </c>
      <c r="GE9" s="15" t="n">
        <f aca="false">Inputs!$B$50*Inputs!$B$18*GD9*Inputs!$B$19</f>
        <v>0.7308938151699</v>
      </c>
      <c r="GF9" s="15" t="n">
        <f aca="false">1-GE9</f>
        <v>0.2691061848301</v>
      </c>
      <c r="GG9" s="15" t="n">
        <f aca="false">Inputs!$B$20*GF9</f>
        <v>0.00807318554490301</v>
      </c>
      <c r="GH9" s="15" t="n">
        <f aca="false">0.8*(1-Inputs!$B$50)*(GE9-GG9)</f>
        <v>0.0017409915510798</v>
      </c>
      <c r="GI9" s="15" t="n">
        <f aca="false">GE9-GG9-GH9</f>
        <v>0.721079638073917</v>
      </c>
      <c r="GJ9" s="15" t="n">
        <f aca="false">GI9*(1-Inputs!$B$18*EXP(-Inputs!$B$21*Inputs!$B$14*Inputs!$B$17/(Inputs!$B$22*Inputs!$B$23*Inputs!$B$24*GC9*Inputs!$B$16))*Inputs!$B$19)</f>
        <v>0.0263864743957676</v>
      </c>
      <c r="GK9" s="15" t="n">
        <f aca="false">(GI9-GJ9)*(1-EXP(-Inputs!$B$25*Inputs!$B$14*Inputs!$B$17*Inputs!$B$26/(GC9*Inputs!$B$16/0.866)))</f>
        <v>0.00765960323354865</v>
      </c>
      <c r="GL9" s="15" t="n">
        <f aca="false">(GI9-GJ9-GK9)*(1-Inputs!$B$19)</f>
        <v>0.00343516780222301</v>
      </c>
      <c r="GM9" s="15" t="n">
        <f aca="false">(GF9+GG9+GH9+GJ9+GK9+GL9)*(1+Inputs!$B$27)</f>
        <v>0.317350812179695</v>
      </c>
      <c r="GN9" s="15" t="n">
        <f aca="false">Inputs!$B$52/(1-GM9-G9)</f>
        <v>194939.999559688</v>
      </c>
      <c r="GO9" s="15" t="n">
        <f aca="false">GN9/Inputs!$B$34</f>
        <v>324.899999266147</v>
      </c>
      <c r="GP9" s="15" t="n">
        <f aca="false">B9^2/GO9</f>
        <v>9.65220069893288</v>
      </c>
      <c r="GQ9" s="15" t="n">
        <f aca="false">Inputs!$B$54*H9/(Inputs!$B$35*F9+E9*H9^2/(PI()*GP9*Inputs!$B$36))</f>
        <v>18.8341037769698</v>
      </c>
      <c r="GR9" s="15" t="n">
        <f aca="false">EXP(-Inputs!$B$11*Inputs!$B$14*Inputs!$B$17/(Inputs!$B$51*GQ9*Inputs!$B$16))</f>
        <v>0.748004985455455</v>
      </c>
      <c r="GS9" s="15" t="n">
        <f aca="false">Inputs!$B$50*Inputs!$B$18*GR9*Inputs!$B$19</f>
        <v>0.730893794995284</v>
      </c>
      <c r="GT9" s="15" t="n">
        <f aca="false">1-GS9</f>
        <v>0.269106205004716</v>
      </c>
      <c r="GU9" s="15" t="n">
        <f aca="false">Inputs!$B$20*GT9</f>
        <v>0.00807318615014149</v>
      </c>
      <c r="GV9" s="15" t="n">
        <f aca="false">0.8*(1-Inputs!$B$50)*(GS9-GU9)</f>
        <v>0.00174099150102928</v>
      </c>
      <c r="GW9" s="15" t="n">
        <f aca="false">GS9-GU9-GV9</f>
        <v>0.721079617344113</v>
      </c>
      <c r="GX9" s="15" t="n">
        <f aca="false">GW9*(1-Inputs!$B$18*EXP(-Inputs!$B$21*Inputs!$B$14*Inputs!$B$17/(Inputs!$B$22*Inputs!$B$23*Inputs!$B$24*GQ9*Inputs!$B$16))*Inputs!$B$19)</f>
        <v>0.0263864747700523</v>
      </c>
      <c r="GY9" s="15" t="n">
        <f aca="false">(GW9-GX9)*(1-EXP(-Inputs!$B$25*Inputs!$B$14*Inputs!$B$17*Inputs!$B$26/(GQ9*Inputs!$B$16/0.866)))</f>
        <v>0.00765960372501363</v>
      </c>
      <c r="GZ9" s="15" t="n">
        <f aca="false">(GW9-GX9-GY9)*(1-Inputs!$B$19)</f>
        <v>0.00343516769424524</v>
      </c>
      <c r="HA9" s="15" t="n">
        <f aca="false">(GT9+GU9+GV9+GX9+GY9+GZ9)*(1+Inputs!$B$27)</f>
        <v>0.317350833731734</v>
      </c>
      <c r="HB9" s="15" t="n">
        <f aca="false">Inputs!$B$52/(1-HA9-G9)</f>
        <v>194940.024663508</v>
      </c>
      <c r="HC9" s="15" t="n">
        <f aca="false">HB9/Inputs!$B$34</f>
        <v>324.900041105847</v>
      </c>
      <c r="HD9" s="15" t="n">
        <f aca="false">B9^2/HC9</f>
        <v>9.65219945595004</v>
      </c>
      <c r="HE9" s="15" t="n">
        <f aca="false">Inputs!$B$54*H9/(Inputs!$B$35*F9+E9*H9^2/(PI()*HD9*Inputs!$B$36))</f>
        <v>18.8341030536775</v>
      </c>
      <c r="HF9" s="15" t="n">
        <f aca="false">EXP(-Inputs!$B$11*Inputs!$B$14*Inputs!$B$17/(Inputs!$B$51*HE9*Inputs!$B$16))</f>
        <v>0.74800497711502</v>
      </c>
      <c r="HG9" s="15" t="n">
        <f aca="false">Inputs!$B$50*Inputs!$B$18*HF9*Inputs!$B$19</f>
        <v>0.730893786845642</v>
      </c>
      <c r="HH9" s="15" t="n">
        <f aca="false">1-HG9</f>
        <v>0.269106213154358</v>
      </c>
      <c r="HI9" s="15" t="n">
        <f aca="false">Inputs!$B$20*HH9</f>
        <v>0.00807318639463073</v>
      </c>
      <c r="HJ9" s="15" t="n">
        <f aca="false">0.8*(1-Inputs!$B$50)*(HG9-HI9)</f>
        <v>0.00174099148081111</v>
      </c>
      <c r="HK9" s="15" t="n">
        <f aca="false">HG9-HI9-HJ9</f>
        <v>0.721079608970201</v>
      </c>
      <c r="HL9" s="15" t="n">
        <f aca="false">HK9*(1-Inputs!$B$18*EXP(-Inputs!$B$21*Inputs!$B$14*Inputs!$B$17/(Inputs!$B$22*Inputs!$B$23*Inputs!$B$24*HE9*Inputs!$B$16))*Inputs!$B$19)</f>
        <v>0.0263864749212464</v>
      </c>
      <c r="HM9" s="15" t="n">
        <f aca="false">(HK9-HL9)*(1-EXP(-Inputs!$B$25*Inputs!$B$14*Inputs!$B$17*Inputs!$B$26/(HE9*Inputs!$B$16/0.866)))</f>
        <v>0.00765960392354349</v>
      </c>
      <c r="HN9" s="15" t="n">
        <f aca="false">(HK9-HL9-HM9)*(1-Inputs!$B$19)</f>
        <v>0.00343516765062706</v>
      </c>
      <c r="HO9" s="15" t="n">
        <f aca="false">(HH9+HI9+HJ9+HL9+HM9+HN9)*(1+Inputs!$B$27)</f>
        <v>0.317350842437792</v>
      </c>
      <c r="HP9" s="15" t="n">
        <f aca="false">Inputs!$B$52/(1-HO9-G9)</f>
        <v>194940.034804329</v>
      </c>
      <c r="HQ9" s="15" t="n">
        <f aca="false">HP9/Inputs!$B$34</f>
        <v>324.900058007215</v>
      </c>
      <c r="HR9" s="15" t="n">
        <f aca="false">B9^2/HQ9</f>
        <v>9.65219895384063</v>
      </c>
      <c r="HS9" s="15" t="n">
        <f aca="false">Inputs!$B$54*H9/(Inputs!$B$35*F9+E9*H9^2/(PI()*HR9*Inputs!$B$36))</f>
        <v>18.8341027614997</v>
      </c>
      <c r="HT9" s="15" t="n">
        <f aca="false">EXP(-Inputs!$B$11*Inputs!$B$14*Inputs!$B$17/(Inputs!$B$51*HS9*Inputs!$B$16))</f>
        <v>0.748004973745857</v>
      </c>
      <c r="HU9" s="15" t="n">
        <f aca="false">Inputs!$B$50*Inputs!$B$18*HT9*Inputs!$B$19</f>
        <v>0.730893783553552</v>
      </c>
      <c r="HV9" s="15" t="n">
        <f aca="false">1-HU9</f>
        <v>0.269106216446448</v>
      </c>
      <c r="HW9" s="15" t="n">
        <f aca="false">Inputs!$B$20*HV9</f>
        <v>0.00807318649339345</v>
      </c>
      <c r="HX9" s="15" t="n">
        <f aca="false">0.8*(1-Inputs!$B$50)*(HU9-HW9)</f>
        <v>0.00174099147264388</v>
      </c>
      <c r="HY9" s="15" t="n">
        <f aca="false">HU9-HW9-HX9</f>
        <v>0.721079605587515</v>
      </c>
      <c r="HZ9" s="15" t="n">
        <f aca="false">HY9*(1-Inputs!$B$18*EXP(-Inputs!$B$21*Inputs!$B$14*Inputs!$B$17/(Inputs!$B$22*Inputs!$B$23*Inputs!$B$24*HS9*Inputs!$B$16))*Inputs!$B$19)</f>
        <v>0.0263864749823222</v>
      </c>
      <c r="IA9" s="15" t="n">
        <f aca="false">(HY9-HZ9)*(1-EXP(-Inputs!$B$25*Inputs!$B$14*Inputs!$B$17*Inputs!$B$26/(HS9*Inputs!$B$16/0.866)))</f>
        <v>0.0076596040037407</v>
      </c>
      <c r="IB9" s="15" t="n">
        <f aca="false">(HY9-HZ9-IA9)*(1-Inputs!$B$19)</f>
        <v>0.00343516763300726</v>
      </c>
      <c r="IC9" s="15" t="n">
        <f aca="false">(HV9+HW9+HX9+HZ9+IA9+IB9)*(1+Inputs!$B$27)</f>
        <v>0.31735084595465</v>
      </c>
      <c r="ID9" s="15" t="n">
        <f aca="false">Inputs!$B$52/(1-IC9-G9)</f>
        <v>194940.038900768</v>
      </c>
      <c r="IE9" s="15" t="n">
        <f aca="false">ID9/Inputs!$B$34</f>
        <v>324.900064834613</v>
      </c>
      <c r="IF9" s="15" t="n">
        <f aca="false">B9^2/IE9</f>
        <v>9.65219875101088</v>
      </c>
      <c r="IG9" s="15" t="n">
        <f aca="false">Inputs!$B$54*H9/(Inputs!$B$35*F9+E9*H9^2/(PI()*IF9*Inputs!$B$36))</f>
        <v>18.834102643473</v>
      </c>
      <c r="IH9" s="15" t="n">
        <f aca="false">EXP(-Inputs!$B$11*Inputs!$B$14*Inputs!$B$17/(Inputs!$B$51*IG9*Inputs!$B$16))</f>
        <v>0.748004972384866</v>
      </c>
      <c r="II9" s="15" t="n">
        <f aca="false">Inputs!$B$50*Inputs!$B$18*IH9*Inputs!$B$19</f>
        <v>0.730893782223694</v>
      </c>
      <c r="IJ9" s="15" t="n">
        <f aca="false">1-II9</f>
        <v>0.269106217776306</v>
      </c>
      <c r="IK9" s="15" t="n">
        <f aca="false">Inputs!$B$20*IJ9</f>
        <v>0.00807318653328917</v>
      </c>
      <c r="IL9" s="15" t="n">
        <f aca="false">0.8*(1-Inputs!$B$50)*(II9-IK9)</f>
        <v>0.00174099146934468</v>
      </c>
      <c r="IM9" s="15" t="n">
        <f aca="false">II9-IK9-IL9</f>
        <v>0.721079604221061</v>
      </c>
      <c r="IN9" s="15" t="n">
        <f aca="false">IM9*(1-Inputs!$B$18*EXP(-Inputs!$B$21*Inputs!$B$14*Inputs!$B$17/(Inputs!$B$22*Inputs!$B$23*Inputs!$B$24*IG9*Inputs!$B$16))*Inputs!$B$19)</f>
        <v>0.026386475006994</v>
      </c>
      <c r="IO9" s="15" t="n">
        <f aca="false">(IM9-IN9)*(1-EXP(-Inputs!$B$25*Inputs!$B$14*Inputs!$B$17*Inputs!$B$26/(IG9*Inputs!$B$16/0.866)))</f>
        <v>0.00765960403613679</v>
      </c>
      <c r="IP9" s="15" t="n">
        <f aca="false">(IM9-IN9-IO9)*(1-Inputs!$B$19)</f>
        <v>0.00343516762588965</v>
      </c>
      <c r="IQ9" s="15" t="n">
        <f aca="false">(IJ9+IK9+IL9+IN9+IO9+IP9)*(1+Inputs!$B$27)</f>
        <v>0.317350847375304</v>
      </c>
      <c r="IR9" s="15" t="n">
        <f aca="false">Inputs!$B$52/(1-IQ9-G9)</f>
        <v>194940.040555545</v>
      </c>
      <c r="IS9" s="15" t="n">
        <f aca="false">IR9/Inputs!$B$34</f>
        <v>324.900067592576</v>
      </c>
      <c r="IT9" s="15" t="n">
        <f aca="false">B9^2/IS9</f>
        <v>9.65219866907674</v>
      </c>
      <c r="IU9" s="15" t="n">
        <f aca="false">Inputs!$B$54*H9/(Inputs!$B$35*F9+E9*H9^2/(PI()*IT9*Inputs!$B$36))</f>
        <v>18.8341025957955</v>
      </c>
      <c r="IV9" s="15" t="n">
        <f aca="false">EXP(-Inputs!$B$11*Inputs!$B$14*Inputs!$B$17/(Inputs!$B$51*IU9*Inputs!$B$16))</f>
        <v>0.748004971835086</v>
      </c>
      <c r="IW9" s="15" t="n">
        <f aca="false">Inputs!$B$50*Inputs!$B$18*IV9*Inputs!$B$19</f>
        <v>0.730893781686491</v>
      </c>
      <c r="IX9" s="15" t="n">
        <f aca="false">1-IW9</f>
        <v>0.269106218313509</v>
      </c>
      <c r="IY9" s="15" t="n">
        <f aca="false">Inputs!$B$20*IX9</f>
        <v>0.00807318654940526</v>
      </c>
      <c r="IZ9" s="15" t="n">
        <f aca="false">0.8*(1-Inputs!$B$50)*(IW9-IY9)</f>
        <v>0.00174099146801195</v>
      </c>
      <c r="JA9" s="15" t="n">
        <f aca="false">IW9-IY9-IZ9</f>
        <v>0.721079603669074</v>
      </c>
      <c r="JB9" s="15" t="n">
        <f aca="false">JA9*(1-Inputs!$B$18*EXP(-Inputs!$B$21*Inputs!$B$14*Inputs!$B$17/(Inputs!$B$22*Inputs!$B$23*Inputs!$B$24*IU9*Inputs!$B$16))*Inputs!$B$19)</f>
        <v>0.0263864750169603</v>
      </c>
      <c r="JC9" s="15" t="n">
        <f aca="false">(JA9-JB9)*(1-EXP(-Inputs!$B$25*Inputs!$B$14*Inputs!$B$17*Inputs!$B$26/(IU9*Inputs!$B$16/0.866)))</f>
        <v>0.0076596040492233</v>
      </c>
      <c r="JD9" s="15" t="n">
        <f aca="false">(JA9-JB9-JC9)*(1-Inputs!$B$19)</f>
        <v>0.00343516762301446</v>
      </c>
      <c r="JE9" s="15" t="n">
        <f aca="false">(IX9+IY9+IZ9+JB9+JC9+JD9)*(1+Inputs!$B$27)</f>
        <v>0.317350847949184</v>
      </c>
      <c r="JF9" s="15" t="n">
        <f aca="false">Inputs!$B$52/(1-JE9-G9)</f>
        <v>194940.041224002</v>
      </c>
      <c r="JG9" s="15" t="n">
        <f aca="false">JF9/Inputs!$B$34</f>
        <v>324.900068706669</v>
      </c>
      <c r="JH9" s="15" t="n">
        <f aca="false">B9^2/JG9</f>
        <v>9.65219863597901</v>
      </c>
      <c r="JI9" s="15" t="n">
        <f aca="false">Inputs!$B$54*H9/(Inputs!$B$35*F9+E9*H9^2/(PI()*JH9*Inputs!$B$36))</f>
        <v>18.8341025765359</v>
      </c>
      <c r="JJ9" s="15" t="n">
        <f aca="false">EXP(-Inputs!$B$11*Inputs!$B$14*Inputs!$B$17/(Inputs!$B$51*JI9*Inputs!$B$16))</f>
        <v>0.748004971613</v>
      </c>
      <c r="JK9" s="15" t="n">
        <f aca="false">Inputs!$B$50*Inputs!$B$18*JJ9*Inputs!$B$19</f>
        <v>0.730893781469486</v>
      </c>
      <c r="JL9" s="15" t="n">
        <f aca="false">1-JK9</f>
        <v>0.269106218530514</v>
      </c>
      <c r="JM9" s="15" t="n">
        <f aca="false">Inputs!$B$20*JL9</f>
        <v>0.00807318655591543</v>
      </c>
      <c r="JN9" s="15" t="n">
        <f aca="false">0.8*(1-Inputs!$B$50)*(JK9-JM9)</f>
        <v>0.00174099146747359</v>
      </c>
      <c r="JO9" s="15" t="n">
        <f aca="false">JK9-JM9-JN9</f>
        <v>0.721079603446097</v>
      </c>
      <c r="JP9" s="15" t="n">
        <f aca="false">JO9*(1-Inputs!$B$18*EXP(-Inputs!$B$21*Inputs!$B$14*Inputs!$B$17/(Inputs!$B$22*Inputs!$B$23*Inputs!$B$24*JI9*Inputs!$B$16))*Inputs!$B$19)</f>
        <v>0.0263864750209862</v>
      </c>
      <c r="JQ9" s="15" t="n">
        <f aca="false">(JO9-JP9)*(1-EXP(-Inputs!$B$25*Inputs!$B$14*Inputs!$B$17*Inputs!$B$26/(JI9*Inputs!$B$16/0.866)))</f>
        <v>0.00765960405450969</v>
      </c>
      <c r="JR9" s="15" t="n">
        <f aca="false">(JO9-JP9-JQ9)*(1-Inputs!$B$19)</f>
        <v>0.00343516762185301</v>
      </c>
      <c r="JS9" s="15" t="n">
        <f aca="false">(JL9+JM9+JN9+JP9+JQ9+JR9)*(1+Inputs!$B$27)</f>
        <v>0.317350848181006</v>
      </c>
      <c r="JT9" s="15" t="n">
        <f aca="false">Inputs!$B$52/(1-JS9-G9)</f>
        <v>194940.041494028</v>
      </c>
      <c r="JU9" s="15" t="n">
        <f aca="false">JT9/Inputs!$B$34</f>
        <v>324.900069156713</v>
      </c>
      <c r="JV9" s="15" t="n">
        <f aca="false">B9^2/JU9</f>
        <v>9.65219862260901</v>
      </c>
      <c r="JW9" s="15" t="n">
        <f aca="false">Inputs!$B$54*H9/(Inputs!$B$35*F9+E9*H9^2/(PI()*JV9*Inputs!$B$36))</f>
        <v>18.8341025687559</v>
      </c>
      <c r="JX9" s="15" t="n">
        <f aca="false">EXP(-Inputs!$B$11*Inputs!$B$14*Inputs!$B$17/(Inputs!$B$51*JW9*Inputs!$B$16))</f>
        <v>0.748004971523287</v>
      </c>
      <c r="JY9" s="15" t="n">
        <f aca="false">Inputs!$B$50*Inputs!$B$18*JX9*Inputs!$B$19</f>
        <v>0.730893781381825</v>
      </c>
      <c r="JZ9" s="15" t="n">
        <f aca="false">1-JY9</f>
        <v>0.269106218618175</v>
      </c>
      <c r="KA9" s="15" t="n">
        <f aca="false">Inputs!$B$20*JZ9</f>
        <v>0.00807318655854526</v>
      </c>
      <c r="KB9" s="15" t="n">
        <f aca="false">0.8*(1-Inputs!$B$50)*(JY9-KA9)</f>
        <v>0.00174099146725611</v>
      </c>
      <c r="KC9" s="15" t="n">
        <f aca="false">JY9-KA9-KB9</f>
        <v>0.721079603356023</v>
      </c>
      <c r="KD9" s="15" t="n">
        <f aca="false">KC9*(1-Inputs!$B$18*EXP(-Inputs!$B$21*Inputs!$B$14*Inputs!$B$17/(Inputs!$B$22*Inputs!$B$23*Inputs!$B$24*JW9*Inputs!$B$16))*Inputs!$B$19)</f>
        <v>0.0263864750226126</v>
      </c>
      <c r="KE9" s="15" t="n">
        <f aca="false">(KC9-KD9)*(1-EXP(-Inputs!$B$25*Inputs!$B$14*Inputs!$B$17*Inputs!$B$26/(JW9*Inputs!$B$16/0.866)))</f>
        <v>0.00765960405664515</v>
      </c>
      <c r="KF9" s="15" t="n">
        <f aca="false">(KC9-KD9-KE9)*(1-Inputs!$B$19)</f>
        <v>0.00343516762138383</v>
      </c>
      <c r="KG9" s="15" t="n">
        <f aca="false">(JZ9+KA9+KB9+KD9+KE9+KF9)*(1+Inputs!$B$27)</f>
        <v>0.317350848274652</v>
      </c>
      <c r="KH9" s="15" t="n">
        <f aca="false">Inputs!$B$52/(1-KG9-G9)</f>
        <v>194940.041603107</v>
      </c>
      <c r="KI9" s="15" t="n">
        <f aca="false">KH9/Inputs!$B$34</f>
        <v>324.900069338512</v>
      </c>
      <c r="KJ9" s="15" t="n">
        <f aca="false">B9^2/KI9</f>
        <v>9.65219861720811</v>
      </c>
      <c r="KK9" s="15" t="n">
        <f aca="false">Inputs!$B$54*H9/(Inputs!$B$35*F9+E9*H9^2/(PI()*KJ9*Inputs!$B$36))</f>
        <v>18.8341025656131</v>
      </c>
      <c r="KL9" s="15" t="n">
        <f aca="false">EXP(-Inputs!$B$11*Inputs!$B$14*Inputs!$B$17/(Inputs!$B$51*KK9*Inputs!$B$16))</f>
        <v>0.748004971487047</v>
      </c>
      <c r="KM9" s="15" t="n">
        <f aca="false">Inputs!$B$50*Inputs!$B$18*KL9*Inputs!$B$19</f>
        <v>0.730893781346414</v>
      </c>
      <c r="KN9" s="15" t="n">
        <f aca="false">1-KM9</f>
        <v>0.269106218653586</v>
      </c>
      <c r="KO9" s="15" t="n">
        <f aca="false">Inputs!$B$20*KN9</f>
        <v>0.00807318655960759</v>
      </c>
      <c r="KP9" s="15" t="n">
        <f aca="false">0.8*(1-Inputs!$B$50)*(KM9-KO9)</f>
        <v>0.00174099146716826</v>
      </c>
      <c r="KQ9" s="15" t="n">
        <f aca="false">KM9-KO9-KP9</f>
        <v>0.721079603319638</v>
      </c>
      <c r="KR9" s="15" t="n">
        <f aca="false">KQ9*(1-Inputs!$B$18*EXP(-Inputs!$B$21*Inputs!$B$14*Inputs!$B$17/(Inputs!$B$22*Inputs!$B$23*Inputs!$B$24*KK9*Inputs!$B$16))*Inputs!$B$19)</f>
        <v>0.0263864750232696</v>
      </c>
      <c r="KS9" s="15" t="n">
        <f aca="false">(KQ9-KR9)*(1-EXP(-Inputs!$B$25*Inputs!$B$14*Inputs!$B$17*Inputs!$B$26/(KK9*Inputs!$B$16/0.866)))</f>
        <v>0.00765960405750776</v>
      </c>
      <c r="KT9" s="15" t="n">
        <f aca="false">(KQ9-KR9-KS9)*(1-Inputs!$B$19)</f>
        <v>0.00343516762119431</v>
      </c>
      <c r="KU9" s="15" t="n">
        <f aca="false">(KN9+KO9+KP9+KR9+KS9+KT9)*(1+Inputs!$B$27)</f>
        <v>0.317350848312481</v>
      </c>
      <c r="KV9" s="15" t="n">
        <f aca="false">Inputs!$B$52/(1-KU9-G9)</f>
        <v>194940.04164717</v>
      </c>
      <c r="KW9" s="15" t="n">
        <f aca="false">KV9/Inputs!$B$34</f>
        <v>324.90006941195</v>
      </c>
      <c r="KX9" s="15" t="n">
        <f aca="false">B9^2/KW9</f>
        <v>9.65219861502639</v>
      </c>
      <c r="KY9" s="15" t="n">
        <f aca="false">Inputs!$B$54*H9/(Inputs!$B$35*F9+E9*H9^2/(PI()*KX9*Inputs!$B$36))</f>
        <v>18.8341025643435</v>
      </c>
      <c r="KZ9" s="15" t="n">
        <f aca="false">EXP(-Inputs!$B$11*Inputs!$B$14*Inputs!$B$17/(Inputs!$B$51*KY9*Inputs!$B$16))</f>
        <v>0.748004971472408</v>
      </c>
      <c r="LA9" s="15" t="n">
        <f aca="false">Inputs!$B$50*Inputs!$B$18*KZ9*Inputs!$B$19</f>
        <v>0.730893781332109</v>
      </c>
      <c r="LB9" s="15" t="n">
        <f aca="false">1-LA9</f>
        <v>0.269106218667891</v>
      </c>
      <c r="LC9" s="15" t="n">
        <f aca="false">Inputs!$B$20*LB9</f>
        <v>0.00807318656003672</v>
      </c>
      <c r="LD9" s="15" t="n">
        <f aca="false">0.8*(1-Inputs!$B$50)*(LA9-LC9)</f>
        <v>0.00174099146713277</v>
      </c>
      <c r="LE9" s="15" t="n">
        <f aca="false">LA9-LC9-LD9</f>
        <v>0.72107960330494</v>
      </c>
      <c r="LF9" s="15" t="n">
        <f aca="false">LE9*(1-Inputs!$B$18*EXP(-Inputs!$B$21*Inputs!$B$14*Inputs!$B$17/(Inputs!$B$22*Inputs!$B$23*Inputs!$B$24*KY9*Inputs!$B$16))*Inputs!$B$19)</f>
        <v>0.0263864750235349</v>
      </c>
      <c r="LG9" s="15" t="n">
        <f aca="false">(LE9-LF9)*(1-EXP(-Inputs!$B$25*Inputs!$B$14*Inputs!$B$17*Inputs!$B$26/(KY9*Inputs!$B$16/0.866)))</f>
        <v>0.00765960405785629</v>
      </c>
      <c r="LH9" s="15" t="n">
        <f aca="false">(LE9-LF9-LG9)*(1-Inputs!$B$19)</f>
        <v>0.00343516762111775</v>
      </c>
      <c r="LI9" s="15" t="n">
        <f aca="false">(LB9+LC9+LD9+LF9+LG9+LH9)*(1+Inputs!$B$27)</f>
        <v>0.317350848327762</v>
      </c>
      <c r="LJ9" s="15" t="n">
        <f aca="false">Inputs!$B$52/(1-LI9-G9)</f>
        <v>194940.041664969</v>
      </c>
      <c r="LK9" s="15" t="n">
        <f aca="false">LJ9/Inputs!$B$34</f>
        <v>324.900069441615</v>
      </c>
      <c r="LL9" s="15" t="n">
        <f aca="false">B9^2/LK9</f>
        <v>9.65219861414508</v>
      </c>
      <c r="LM9" s="15" t="n">
        <f aca="false">Inputs!$B$54*H9/(Inputs!$B$35*F9+E9*H9^2/(PI()*LL9*Inputs!$B$36))</f>
        <v>18.8341025638307</v>
      </c>
      <c r="LN9" s="15" t="n">
        <f aca="false">EXP(-Inputs!$B$11*Inputs!$B$14*Inputs!$B$17/(Inputs!$B$51*LM9*Inputs!$B$16))</f>
        <v>0.748004971466494</v>
      </c>
      <c r="LO9" s="15" t="n">
        <f aca="false">Inputs!$B$50*Inputs!$B$18*LN9*Inputs!$B$19</f>
        <v>0.730893781326331</v>
      </c>
      <c r="LP9" s="15" t="n">
        <f aca="false">1-LO9</f>
        <v>0.269106218673669</v>
      </c>
      <c r="LQ9" s="15" t="n">
        <f aca="false">Inputs!$B$20*LP9</f>
        <v>0.00807318656021007</v>
      </c>
      <c r="LR9" s="15" t="n">
        <f aca="false">0.8*(1-Inputs!$B$50)*(LO9-LQ9)</f>
        <v>0.00174099146711844</v>
      </c>
      <c r="LS9" s="15" t="n">
        <f aca="false">LO9-LQ9-LR9</f>
        <v>0.721079603299002</v>
      </c>
      <c r="LT9" s="15" t="n">
        <f aca="false">LS9*(1-Inputs!$B$18*EXP(-Inputs!$B$21*Inputs!$B$14*Inputs!$B$17/(Inputs!$B$22*Inputs!$B$23*Inputs!$B$24*LM9*Inputs!$B$16))*Inputs!$B$19)</f>
        <v>0.0263864750236421</v>
      </c>
      <c r="LU9" s="15" t="n">
        <f aca="false">(LS9-LT9)*(1-EXP(-Inputs!$B$25*Inputs!$B$14*Inputs!$B$17*Inputs!$B$26/(LM9*Inputs!$B$16/0.866)))</f>
        <v>0.00765960405799703</v>
      </c>
      <c r="LV9" s="15" t="n">
        <f aca="false">(LS9-LT9-LU9)*(1-Inputs!$B$19)</f>
        <v>0.00343516762108682</v>
      </c>
      <c r="LW9" s="15" t="n">
        <f aca="false">(LP9+LQ9+LR9+LT9+LU9+LV9)*(1+Inputs!$B$27)</f>
        <v>0.317350848333935</v>
      </c>
      <c r="LX9" s="15" t="n">
        <f aca="false">Inputs!$B$52/(1-LW9-G9)</f>
        <v>194940.041672159</v>
      </c>
      <c r="LY9" s="15" t="n">
        <f aca="false">LX9/Inputs!$B$34</f>
        <v>324.900069453599</v>
      </c>
      <c r="LZ9" s="15" t="n">
        <f aca="false">B9^2/LY9</f>
        <v>9.65219861378907</v>
      </c>
      <c r="MA9" s="15" t="n">
        <f aca="false">Inputs!$B$54*H9/(Inputs!$B$35*F9+E9*H9^2/(PI()*LZ9*Inputs!$B$36))</f>
        <v>18.8341025636235</v>
      </c>
      <c r="MB9" s="15" t="n">
        <f aca="false">EXP(-Inputs!$B$11*Inputs!$B$14*Inputs!$B$17/(Inputs!$B$51*MA9*Inputs!$B$16))</f>
        <v>0.748004971464105</v>
      </c>
      <c r="MC9" s="15" t="n">
        <f aca="false">Inputs!$B$50*Inputs!$B$18*MB9*Inputs!$B$19</f>
        <v>0.730893781323997</v>
      </c>
      <c r="MD9" s="15" t="n">
        <f aca="false">1-MC9</f>
        <v>0.269106218676003</v>
      </c>
      <c r="ME9" s="15" t="n">
        <f aca="false">Inputs!$B$20*MD9</f>
        <v>0.0080731865602801</v>
      </c>
      <c r="MF9" s="15" t="n">
        <f aca="false">0.8*(1-Inputs!$B$50)*(MC9-ME9)</f>
        <v>0.00174099146711265</v>
      </c>
      <c r="MG9" s="15" t="n">
        <f aca="false">MC9-ME9-MF9</f>
        <v>0.721079603296604</v>
      </c>
      <c r="MH9" s="15" t="n">
        <f aca="false">MG9*(1-Inputs!$B$18*EXP(-Inputs!$B$21*Inputs!$B$14*Inputs!$B$17/(Inputs!$B$22*Inputs!$B$23*Inputs!$B$24*MA9*Inputs!$B$16))*Inputs!$B$19)</f>
        <v>0.0263864750236855</v>
      </c>
      <c r="MI9" s="15" t="n">
        <f aca="false">(MG9-MH9)*(1-EXP(-Inputs!$B$25*Inputs!$B$14*Inputs!$B$17*Inputs!$B$26/(MA9*Inputs!$B$16/0.866)))</f>
        <v>0.00765960405805387</v>
      </c>
      <c r="MJ9" s="15" t="n">
        <f aca="false">(MG9-MH9-MI9)*(1-Inputs!$B$19)</f>
        <v>0.00343516762107433</v>
      </c>
      <c r="MK9" s="15" t="n">
        <f aca="false">(MD9+ME9+MF9+MH9+MI9+MJ9)*(1+Inputs!$B$27)</f>
        <v>0.317350848336428</v>
      </c>
      <c r="ML9" s="15" t="n">
        <f aca="false">Inputs!$B$52/(1-MK9-G9)</f>
        <v>194940.041675064</v>
      </c>
      <c r="MM9" s="15" t="n">
        <f aca="false">ML9/Inputs!$B$34</f>
        <v>324.90006945844</v>
      </c>
      <c r="MN9" s="15" t="n">
        <f aca="false">B9^2/MM9</f>
        <v>9.65219861364526</v>
      </c>
      <c r="MO9" s="15" t="n">
        <f aca="false">Inputs!$B$54*H9/(Inputs!$B$35*F9+E9*H9^2/(PI()*MN9*Inputs!$B$36))</f>
        <v>18.8341025635399</v>
      </c>
      <c r="MP9" s="15" t="n">
        <f aca="false">EXP(-Inputs!$B$11*Inputs!$B$14*Inputs!$B$17/(Inputs!$B$51*MO9*Inputs!$B$16))</f>
        <v>0.74800497146314</v>
      </c>
      <c r="MQ9" s="15" t="n">
        <f aca="false">Inputs!$B$50*Inputs!$B$18*MP9*Inputs!$B$19</f>
        <v>0.730893781323054</v>
      </c>
      <c r="MR9" s="15" t="n">
        <f aca="false">1-MQ9</f>
        <v>0.269106218676946</v>
      </c>
      <c r="MS9" s="15" t="n">
        <f aca="false">Inputs!$B$20*MR9</f>
        <v>0.00807318656030838</v>
      </c>
      <c r="MT9" s="15" t="n">
        <f aca="false">0.8*(1-Inputs!$B$50)*(MQ9-MS9)</f>
        <v>0.00174099146711031</v>
      </c>
      <c r="MU9" s="15" t="n">
        <f aca="false">MQ9-MS9-MT9</f>
        <v>0.721079603295635</v>
      </c>
      <c r="MV9" s="15" t="n">
        <f aca="false">MU9*(1-Inputs!$B$18*EXP(-Inputs!$B$21*Inputs!$B$14*Inputs!$B$17/(Inputs!$B$22*Inputs!$B$23*Inputs!$B$24*MO9*Inputs!$B$16))*Inputs!$B$19)</f>
        <v>0.0263864750237029</v>
      </c>
      <c r="MW9" s="15" t="n">
        <f aca="false">(MU9-MV9)*(1-EXP(-Inputs!$B$25*Inputs!$B$14*Inputs!$B$17*Inputs!$B$26/(MO9*Inputs!$B$16/0.866)))</f>
        <v>0.00765960405807685</v>
      </c>
      <c r="MX9" s="15" t="n">
        <f aca="false">(MU9-MV9-MW9)*(1-Inputs!$B$19)</f>
        <v>0.00343516762106928</v>
      </c>
      <c r="MY9" s="15" t="n">
        <f aca="false">(MR9+MS9+MT9+MV9+MW9+MX9)*(1+Inputs!$B$27)</f>
        <v>0.317350848337436</v>
      </c>
      <c r="MZ9" s="15" t="n">
        <f aca="false">Inputs!$B$52/(1-MY9-G9)</f>
        <v>194940.041676237</v>
      </c>
      <c r="NA9" s="15" t="n">
        <f aca="false">MZ9/Inputs!$B$34</f>
        <v>324.900069460395</v>
      </c>
      <c r="NB9" s="15" t="n">
        <f aca="false">B9^2/NA9</f>
        <v>9.65219861358717</v>
      </c>
      <c r="NC9" s="15" t="n">
        <f aca="false">Inputs!$B$54*H9/(Inputs!$B$35*F9+E9*H9^2/(PI()*NB9*Inputs!$B$36))</f>
        <v>18.8341025635061</v>
      </c>
      <c r="ND9" s="15" t="n">
        <f aca="false">EXP(-Inputs!$B$11*Inputs!$B$14*Inputs!$B$17/(Inputs!$B$51*NC9*Inputs!$B$16))</f>
        <v>0.74800497146275</v>
      </c>
      <c r="NE9" s="15" t="n">
        <f aca="false">Inputs!$B$50*Inputs!$B$18*ND9*Inputs!$B$19</f>
        <v>0.730893781322673</v>
      </c>
      <c r="NF9" s="15" t="n">
        <f aca="false">1-NE9</f>
        <v>0.269106218677327</v>
      </c>
      <c r="NG9" s="15" t="n">
        <f aca="false">Inputs!$B$20*NF9</f>
        <v>0.00807318656031981</v>
      </c>
      <c r="NH9" s="15" t="n">
        <f aca="false">0.8*(1-Inputs!$B$50)*(NE9-NG9)</f>
        <v>0.00174099146710936</v>
      </c>
      <c r="NI9" s="15" t="n">
        <f aca="false">NE9-NG9-NH9</f>
        <v>0.721079603295244</v>
      </c>
      <c r="NJ9" s="15" t="n">
        <f aca="false">NI9*(1-Inputs!$B$18*EXP(-Inputs!$B$21*Inputs!$B$14*Inputs!$B$17/(Inputs!$B$22*Inputs!$B$23*Inputs!$B$24*NC9*Inputs!$B$16))*Inputs!$B$19)</f>
        <v>0.02638647502371</v>
      </c>
      <c r="NK9" s="15" t="n">
        <f aca="false">(NI9-NJ9)*(1-EXP(-Inputs!$B$25*Inputs!$B$14*Inputs!$B$17*Inputs!$B$26/(NC9*Inputs!$B$16/0.866)))</f>
        <v>0.00765960405808611</v>
      </c>
      <c r="NL9" s="15" t="n">
        <f aca="false">(NI9-NJ9-NK9)*(1-Inputs!$B$19)</f>
        <v>0.00343516762106724</v>
      </c>
      <c r="NM9" s="15" t="n">
        <f aca="false">(NF9+NG9+NH9+NJ9+NK9+NL9)*(1+Inputs!$B$27)</f>
        <v>0.317350848337842</v>
      </c>
      <c r="NN9" s="15" t="n">
        <f aca="false">Inputs!$B$52/(1-NM9-G9)</f>
        <v>194940.041676711</v>
      </c>
    </row>
    <row r="10" customFormat="false" ht="15" hidden="false" customHeight="false" outlineLevel="0" collapsed="false">
      <c r="A10" s="21" t="s">
        <v>501</v>
      </c>
      <c r="B10" s="21" t="n">
        <v>56</v>
      </c>
      <c r="C10" s="22" t="n">
        <v>0.2</v>
      </c>
      <c r="D10" s="23" t="n">
        <f aca="false">B10*C10</f>
        <v>11.2</v>
      </c>
      <c r="E10" s="24" t="n">
        <f aca="false">IF(C10=0,1,(1+0.45*C10)/(1.04+2.81*C10))</f>
        <v>0.68039950062422</v>
      </c>
      <c r="F10" s="24" t="n">
        <f aca="false">1+Inputs!$B$42*D10</f>
        <v>1.056</v>
      </c>
      <c r="G10" s="25" t="n">
        <f aca="false">Inputs!$B$31+Inputs!$B$43*(B10/Inputs!$B$32-1)+Inputs!$B$44+Inputs!$B$45*D10</f>
        <v>0.51697</v>
      </c>
      <c r="H10" s="22" t="n">
        <f aca="false">Inputs!$B$38</f>
        <v>0.5</v>
      </c>
      <c r="I10" s="23" t="n">
        <f aca="false">Inputs!$B$40</f>
        <v>2.4</v>
      </c>
      <c r="J10" s="26" t="n">
        <f aca="false">NN10/Inputs!$B$34</f>
        <v>322.385582008478</v>
      </c>
      <c r="K10" s="23" t="n">
        <f aca="false">B10^2/J10</f>
        <v>9.72748216735551</v>
      </c>
      <c r="L10" s="23" t="n">
        <f aca="false">2*K10</f>
        <v>19.454964334711</v>
      </c>
      <c r="M10" s="22" t="n">
        <f aca="false">NC10</f>
        <v>19.0848973279062</v>
      </c>
      <c r="N10" s="23" t="n">
        <f aca="false">B10/SQRT(E10)</f>
        <v>67.8900352094028</v>
      </c>
      <c r="O10" s="24" t="n">
        <f aca="false">NM10</f>
        <v>0.314365509295295</v>
      </c>
      <c r="P10" s="23" t="n">
        <f aca="false">NN10/1000</f>
        <v>193.431349205087</v>
      </c>
      <c r="Q10" s="23" t="n">
        <f aca="false">G10*NN10/1000</f>
        <v>99.9982045985538</v>
      </c>
      <c r="R10" s="23" t="n">
        <f aca="false">NM10*NN10/1000</f>
        <v>60.8081446065332</v>
      </c>
      <c r="S10" s="23" t="n">
        <f aca="false">NM10*NN10/Inputs!$B$28/1000</f>
        <v>81.0775261420442</v>
      </c>
      <c r="T10" s="27" t="n">
        <f aca="false">R10/Sweep!$R$5-1</f>
        <v>-0.0270170911815328</v>
      </c>
      <c r="U10" s="27" t="n">
        <f aca="false">R10/SUMIFS(Sweep!$R:$R,Sweep!$A:$A,"Conventional",Sweep!$B:$B,B10)-1</f>
        <v>-0.242515606834607</v>
      </c>
      <c r="V10" s="26" t="n">
        <f aca="false">2*0.54*(J10/2)^1.5/SQRT(L10)*Inputs!$B$46*Inputs!$B$47</f>
        <v>46.8531257272845</v>
      </c>
      <c r="W10" s="28" t="n">
        <f aca="false">MIN(1,V10/S10)</f>
        <v>0.577880554041572</v>
      </c>
      <c r="X10" s="26" t="n">
        <f aca="false">1.23*SQRT(2*Inputs!$B$41*NN10*Inputs!$B$49/(1.225*J10*I10))/0.5144</f>
        <v>133.62967568068</v>
      </c>
      <c r="Y10" s="29" t="n">
        <f aca="false">(11000+6341.6*LN(0.36392/(2*Inputs!$B$50*Inputs!$B$18*(1+ND10)/2*Inputs!$B$34*Inputs!$B$49/((Inputs!$B$12*295.07)^2*H10))))/0.3048</f>
        <v>38650.5625369957</v>
      </c>
      <c r="Z10" s="26" t="n">
        <f aca="false">NN10-MZ10</f>
        <v>-3.71655914932489E-008</v>
      </c>
      <c r="AA10" s="30" t="str">
        <f aca="false">IF(ABS(NN10-MZ10)&lt;10,"Yes","No")</f>
        <v>Yes</v>
      </c>
      <c r="AC10" s="15" t="n">
        <f aca="false">Inputs!$B$52/(1-0.3154-G10)/Inputs!$B$34</f>
        <v>324.375111853487</v>
      </c>
      <c r="AD10" s="15" t="n">
        <f aca="false">B10^2/AC10</f>
        <v>9.66781940229886</v>
      </c>
      <c r="AE10" s="15" t="n">
        <f aca="false">Inputs!$B$54*H10/(Inputs!$B$35*F10+E10*H10^2/(PI()*AD10*Inputs!$B$36))</f>
        <v>19.0520566232871</v>
      </c>
      <c r="AF10" s="15" t="n">
        <f aca="false">EXP(-Inputs!$B$11*Inputs!$B$14*Inputs!$B$17/(Inputs!$B$51*AE10*Inputs!$B$16))</f>
        <v>0.750493624632793</v>
      </c>
      <c r="AG10" s="15" t="n">
        <f aca="false">Inputs!$B$50*Inputs!$B$18*AF10*Inputs!$B$19</f>
        <v>0.733325504633677</v>
      </c>
      <c r="AH10" s="15" t="n">
        <f aca="false">1-AG10</f>
        <v>0.266674495366323</v>
      </c>
      <c r="AI10" s="15" t="n">
        <f aca="false">Inputs!$B$20*AH10</f>
        <v>0.00800023486098968</v>
      </c>
      <c r="AJ10" s="15" t="n">
        <f aca="false">0.8*(1-Inputs!$B$50)*(AG10-AI10)</f>
        <v>0.00174702424737665</v>
      </c>
      <c r="AK10" s="15" t="n">
        <f aca="false">AG10-AI10-AJ10</f>
        <v>0.723578245525311</v>
      </c>
      <c r="AL10" s="15" t="n">
        <f aca="false">AK10*(1-Inputs!$B$18*EXP(-Inputs!$B$21*Inputs!$B$14*Inputs!$B$17/(Inputs!$B$22*Inputs!$B$23*Inputs!$B$24*AE10*Inputs!$B$16))*Inputs!$B$19)</f>
        <v>0.0263411019321243</v>
      </c>
      <c r="AM10" s="15" t="n">
        <f aca="false">(AK10-AL10)*(1-EXP(-Inputs!$B$25*Inputs!$B$14*Inputs!$B$17*Inputs!$B$26/(AE10*Inputs!$B$16/0.866)))</f>
        <v>0.00760018898626934</v>
      </c>
      <c r="AN10" s="15" t="n">
        <f aca="false">(AK10-AL10-AM10)*(1-Inputs!$B$19)</f>
        <v>0.00344818477303459</v>
      </c>
      <c r="AO10" s="15" t="n">
        <f aca="false">(AH10+AI10+AJ10+AL10+AM10+AN10)*(1+Inputs!$B$27)</f>
        <v>0.314752663856616</v>
      </c>
      <c r="AP10" s="15" t="n">
        <f aca="false">Inputs!$B$52/(1-AO10-G10)</f>
        <v>193876.375438943</v>
      </c>
      <c r="AQ10" s="15" t="n">
        <f aca="false">AP10/Inputs!$B$34</f>
        <v>323.127292398238</v>
      </c>
      <c r="AR10" s="15" t="n">
        <f aca="false">B10^2/AQ10</f>
        <v>9.70515358428789</v>
      </c>
      <c r="AS10" s="15" t="n">
        <f aca="false">Inputs!$B$54*H10/(Inputs!$B$35*F10+E10*H10^2/(PI()*AR10*Inputs!$B$36))</f>
        <v>19.0726408598337</v>
      </c>
      <c r="AT10" s="15" t="n">
        <f aca="false">EXP(-Inputs!$B$11*Inputs!$B$14*Inputs!$B$17/(Inputs!$B$51*AS10*Inputs!$B$16))</f>
        <v>0.750726142647635</v>
      </c>
      <c r="AU10" s="15" t="n">
        <f aca="false">Inputs!$B$50*Inputs!$B$18*AT10*Inputs!$B$19</f>
        <v>0.73355270361975</v>
      </c>
      <c r="AV10" s="15" t="n">
        <f aca="false">1-AU10</f>
        <v>0.26644729638025</v>
      </c>
      <c r="AW10" s="15" t="n">
        <f aca="false">Inputs!$B$20*AV10</f>
        <v>0.0079934188914075</v>
      </c>
      <c r="AX10" s="15" t="n">
        <f aca="false">0.8*(1-Inputs!$B$50)*(AU10-AW10)</f>
        <v>0.00174758789767096</v>
      </c>
      <c r="AY10" s="15" t="n">
        <f aca="false">AU10-AW10-AX10</f>
        <v>0.723811696830672</v>
      </c>
      <c r="AZ10" s="15" t="n">
        <f aca="false">AY10*(1-Inputs!$B$18*EXP(-Inputs!$B$21*Inputs!$B$14*Inputs!$B$17/(Inputs!$B$22*Inputs!$B$23*Inputs!$B$24*AS10*Inputs!$B$16))*Inputs!$B$19)</f>
        <v>0.0263368362236595</v>
      </c>
      <c r="BA10" s="15" t="n">
        <f aca="false">(AY10-AZ10)*(1-EXP(-Inputs!$B$25*Inputs!$B$14*Inputs!$B$17*Inputs!$B$26/(AS10*Inputs!$B$16/0.866)))</f>
        <v>0.00759461970542327</v>
      </c>
      <c r="BB10" s="15" t="n">
        <f aca="false">(AY10-AZ10-BA10)*(1-Inputs!$B$19)</f>
        <v>0.00344940120450795</v>
      </c>
      <c r="BC10" s="15" t="n">
        <f aca="false">(AV10+AW10+AX10+AZ10+BA10+BB10)*(1+Inputs!$B$27)</f>
        <v>0.314509867783828</v>
      </c>
      <c r="BD10" s="15" t="n">
        <f aca="false">Inputs!$B$52/(1-BC10-G10)</f>
        <v>193597.047254566</v>
      </c>
      <c r="BE10" s="15" t="n">
        <f aca="false">BD10/Inputs!$B$34</f>
        <v>322.661745424277</v>
      </c>
      <c r="BF10" s="15" t="n">
        <f aca="false">B10^2/BE10</f>
        <v>9.71915649894099</v>
      </c>
      <c r="BG10" s="15" t="n">
        <f aca="false">Inputs!$B$54*H10/(Inputs!$B$35*F10+E10*H10^2/(PI()*BF10*Inputs!$B$36))</f>
        <v>19.0803319974652</v>
      </c>
      <c r="BH10" s="15" t="n">
        <f aca="false">EXP(-Inputs!$B$11*Inputs!$B$14*Inputs!$B$17/(Inputs!$B$51*BG10*Inputs!$B$16))</f>
        <v>0.750812910874545</v>
      </c>
      <c r="BI10" s="15" t="n">
        <f aca="false">Inputs!$B$50*Inputs!$B$18*BH10*Inputs!$B$19</f>
        <v>0.733637486956605</v>
      </c>
      <c r="BJ10" s="15" t="n">
        <f aca="false">1-BI10</f>
        <v>0.266362513043395</v>
      </c>
      <c r="BK10" s="15" t="n">
        <f aca="false">Inputs!$B$20*BJ10</f>
        <v>0.00799087539130185</v>
      </c>
      <c r="BL10" s="15" t="n">
        <f aca="false">0.8*(1-Inputs!$B$50)*(BI10-BK10)</f>
        <v>0.00174779823378908</v>
      </c>
      <c r="BM10" s="15" t="n">
        <f aca="false">BI10-BK10-BL10</f>
        <v>0.723898813331514</v>
      </c>
      <c r="BN10" s="15" t="n">
        <f aca="false">BM10*(1-Inputs!$B$18*EXP(-Inputs!$B$21*Inputs!$B$14*Inputs!$B$17/(Inputs!$B$22*Inputs!$B$23*Inputs!$B$24*BG10*Inputs!$B$16))*Inputs!$B$19)</f>
        <v>0.0263352432423729</v>
      </c>
      <c r="BO10" s="15" t="n">
        <f aca="false">(BM10-BN10)*(1-EXP(-Inputs!$B$25*Inputs!$B$14*Inputs!$B$17*Inputs!$B$26/(BG10*Inputs!$B$16/0.866)))</f>
        <v>0.00759254063965856</v>
      </c>
      <c r="BP10" s="15" t="n">
        <f aca="false">(BM10-BN10-BO10)*(1-Inputs!$B$19)</f>
        <v>0.00344985514724742</v>
      </c>
      <c r="BQ10" s="15" t="n">
        <f aca="false">(BJ10+BK10+BL10+BN10+BO10+BP10)*(1+Inputs!$B$27)</f>
        <v>0.314419262174858</v>
      </c>
      <c r="BR10" s="15" t="n">
        <f aca="false">Inputs!$B$52/(1-BQ10-G10)</f>
        <v>193493.014862634</v>
      </c>
      <c r="BS10" s="15" t="n">
        <f aca="false">BR10/Inputs!$B$34</f>
        <v>322.488358104391</v>
      </c>
      <c r="BT10" s="15" t="n">
        <f aca="false">B10^2/BS10</f>
        <v>9.72438204725786</v>
      </c>
      <c r="BU10" s="15" t="n">
        <f aca="false">Inputs!$B$54*H10/(Inputs!$B$35*F10+E10*H10^2/(PI()*BT10*Inputs!$B$36))</f>
        <v>19.0831980538829</v>
      </c>
      <c r="BV10" s="15" t="n">
        <f aca="false">EXP(-Inputs!$B$11*Inputs!$B$14*Inputs!$B$17/(Inputs!$B$51*BU10*Inputs!$B$16))</f>
        <v>0.750845229210495</v>
      </c>
      <c r="BW10" s="15" t="n">
        <f aca="false">Inputs!$B$50*Inputs!$B$18*BV10*Inputs!$B$19</f>
        <v>0.733669065985715</v>
      </c>
      <c r="BX10" s="15" t="n">
        <f aca="false">1-BW10</f>
        <v>0.266330934014285</v>
      </c>
      <c r="BY10" s="15" t="n">
        <f aca="false">Inputs!$B$20*BX10</f>
        <v>0.00798992802042856</v>
      </c>
      <c r="BZ10" s="15" t="n">
        <f aca="false">0.8*(1-Inputs!$B$50)*(BW10-BY10)</f>
        <v>0.00174787657713629</v>
      </c>
      <c r="CA10" s="15" t="n">
        <f aca="false">BW10-BY10-BZ10</f>
        <v>0.72393126138815</v>
      </c>
      <c r="CB10" s="15" t="n">
        <f aca="false">CA10*(1-Inputs!$B$18*EXP(-Inputs!$B$21*Inputs!$B$14*Inputs!$B$17/(Inputs!$B$22*Inputs!$B$23*Inputs!$B$24*BU10*Inputs!$B$16))*Inputs!$B$19)</f>
        <v>0.0263346497481471</v>
      </c>
      <c r="CC10" s="15" t="n">
        <f aca="false">(CA10-CB10)*(1-EXP(-Inputs!$B$25*Inputs!$B$14*Inputs!$B$17*Inputs!$B$26/(BU10*Inputs!$B$16/0.866)))</f>
        <v>0.00759176614574506</v>
      </c>
      <c r="CD10" s="15" t="n">
        <f aca="false">(CA10-CB10-CC10)*(1-Inputs!$B$19)</f>
        <v>0.00345002422747129</v>
      </c>
      <c r="CE10" s="15" t="n">
        <f aca="false">(BX10+BY10+BZ10+CB10+CC10+CD10)*(1+Inputs!$B$27)</f>
        <v>0.314385514269413</v>
      </c>
      <c r="CF10" s="15" t="n">
        <f aca="false">Inputs!$B$52/(1-CE10-G10)</f>
        <v>193454.29445063</v>
      </c>
      <c r="CG10" s="15" t="n">
        <f aca="false">CF10/Inputs!$B$34</f>
        <v>322.423824084383</v>
      </c>
      <c r="CH10" s="15" t="n">
        <f aca="false">B10^2/CG10</f>
        <v>9.72632840921601</v>
      </c>
      <c r="CI10" s="15" t="n">
        <f aca="false">Inputs!$B$54*H10/(Inputs!$B$35*F10+E10*H10^2/(PI()*CH10*Inputs!$B$36))</f>
        <v>19.0842650077269</v>
      </c>
      <c r="CJ10" s="15" t="n">
        <f aca="false">EXP(-Inputs!$B$11*Inputs!$B$14*Inputs!$B$17/(Inputs!$B$51*CI10*Inputs!$B$16))</f>
        <v>0.750857258312357</v>
      </c>
      <c r="CK10" s="15" t="n">
        <f aca="false">Inputs!$B$50*Inputs!$B$18*CJ10*Inputs!$B$19</f>
        <v>0.733680819912603</v>
      </c>
      <c r="CL10" s="15" t="n">
        <f aca="false">1-CK10</f>
        <v>0.266319180087397</v>
      </c>
      <c r="CM10" s="15" t="n">
        <f aca="false">Inputs!$B$20*CL10</f>
        <v>0.00798957540262192</v>
      </c>
      <c r="CN10" s="15" t="n">
        <f aca="false">0.8*(1-Inputs!$B$50)*(CK10-CM10)</f>
        <v>0.0017479057370567</v>
      </c>
      <c r="CO10" s="15" t="n">
        <f aca="false">CK10-CM10-CN10</f>
        <v>0.723943338772924</v>
      </c>
      <c r="CP10" s="15" t="n">
        <f aca="false">CO10*(1-Inputs!$B$18*EXP(-Inputs!$B$21*Inputs!$B$14*Inputs!$B$17/(Inputs!$B$22*Inputs!$B$23*Inputs!$B$24*CI10*Inputs!$B$16))*Inputs!$B$19)</f>
        <v>0.0263344288233442</v>
      </c>
      <c r="CQ10" s="15" t="n">
        <f aca="false">(CO10-CP10)*(1-EXP(-Inputs!$B$25*Inputs!$B$14*Inputs!$B$17*Inputs!$B$26/(CI10*Inputs!$B$16/0.866)))</f>
        <v>0.00759147785870134</v>
      </c>
      <c r="CR10" s="15" t="n">
        <f aca="false">(CO10-CP10-CQ10)*(1-Inputs!$B$19)</f>
        <v>0.0034500871604544</v>
      </c>
      <c r="CS10" s="15" t="n">
        <f aca="false">(CL10+CM10+CN10+CP10+CQ10+CR10)*(1+Inputs!$B$27)</f>
        <v>0.314372953034785</v>
      </c>
      <c r="CT10" s="15" t="n">
        <f aca="false">Inputs!$B$52/(1-CS10-G10)</f>
        <v>193439.886367326</v>
      </c>
      <c r="CU10" s="15" t="n">
        <f aca="false">CT10/Inputs!$B$34</f>
        <v>322.39981061221</v>
      </c>
      <c r="CV10" s="15" t="n">
        <f aca="false">B10^2/CU10</f>
        <v>9.72705286037546</v>
      </c>
      <c r="CW10" s="15" t="n">
        <f aca="false">Inputs!$B$54*H10/(Inputs!$B$35*F10+E10*H10^2/(PI()*CV10*Inputs!$B$36))</f>
        <v>19.0846620577173</v>
      </c>
      <c r="CX10" s="15" t="n">
        <f aca="false">EXP(-Inputs!$B$11*Inputs!$B$14*Inputs!$B$17/(Inputs!$B$51*CW10*Inputs!$B$16))</f>
        <v>0.750861734458081</v>
      </c>
      <c r="CY10" s="15" t="n">
        <f aca="false">Inputs!$B$50*Inputs!$B$18*CX10*Inputs!$B$19</f>
        <v>0.733685193663044</v>
      </c>
      <c r="CZ10" s="15" t="n">
        <f aca="false">1-CY10</f>
        <v>0.266314806336956</v>
      </c>
      <c r="DA10" s="15" t="n">
        <f aca="false">Inputs!$B$20*CZ10</f>
        <v>0.00798944419010868</v>
      </c>
      <c r="DB10" s="15" t="n">
        <f aca="false">0.8*(1-Inputs!$B$50)*(CY10-DA10)</f>
        <v>0.00174791658774651</v>
      </c>
      <c r="DC10" s="15" t="n">
        <f aca="false">CY10-DA10-DB10</f>
        <v>0.723947832885189</v>
      </c>
      <c r="DD10" s="15" t="n">
        <f aca="false">DC10*(1-Inputs!$B$18*EXP(-Inputs!$B$21*Inputs!$B$14*Inputs!$B$17/(Inputs!$B$22*Inputs!$B$23*Inputs!$B$24*CW10*Inputs!$B$16))*Inputs!$B$19)</f>
        <v>0.0263343466119946</v>
      </c>
      <c r="DE10" s="15" t="n">
        <f aca="false">(DC10-DD10)*(1-EXP(-Inputs!$B$25*Inputs!$B$14*Inputs!$B$17*Inputs!$B$26/(CW10*Inputs!$B$16/0.866)))</f>
        <v>0.00759137058218472</v>
      </c>
      <c r="DF10" s="15" t="n">
        <f aca="false">(DC10-DD10-DE10)*(1-Inputs!$B$19)</f>
        <v>0.00345011057845505</v>
      </c>
      <c r="DG10" s="15" t="n">
        <f aca="false">(CZ10+DA10+DB10+DD10+DE10+DF10)*(1+Inputs!$B$27)</f>
        <v>0.314368278872108</v>
      </c>
      <c r="DH10" s="15" t="n">
        <f aca="false">Inputs!$B$52/(1-DG10-G10)</f>
        <v>193434.525521421</v>
      </c>
      <c r="DI10" s="15" t="n">
        <f aca="false">DH10/Inputs!$B$34</f>
        <v>322.390875869034</v>
      </c>
      <c r="DJ10" s="15" t="n">
        <f aca="false">B10^2/DI10</f>
        <v>9.72732243599209</v>
      </c>
      <c r="DK10" s="15" t="n">
        <f aca="false">Inputs!$B$54*H10/(Inputs!$B$35*F10+E10*H10^2/(PI()*DJ10*Inputs!$B$36))</f>
        <v>19.0848097931608</v>
      </c>
      <c r="DL10" s="15" t="n">
        <f aca="false">EXP(-Inputs!$B$11*Inputs!$B$14*Inputs!$B$17/(Inputs!$B$51*DK10*Inputs!$B$16))</f>
        <v>0.750863399913861</v>
      </c>
      <c r="DM10" s="15" t="n">
        <f aca="false">Inputs!$B$50*Inputs!$B$18*DL10*Inputs!$B$19</f>
        <v>0.733686821020239</v>
      </c>
      <c r="DN10" s="15" t="n">
        <f aca="false">1-DM10</f>
        <v>0.266313178979761</v>
      </c>
      <c r="DO10" s="15" t="n">
        <f aca="false">Inputs!$B$20*DN10</f>
        <v>0.00798939536939282</v>
      </c>
      <c r="DP10" s="15" t="n">
        <f aca="false">0.8*(1-Inputs!$B$50)*(DM10-DO10)</f>
        <v>0.00174792062500204</v>
      </c>
      <c r="DQ10" s="15" t="n">
        <f aca="false">DM10-DO10-DP10</f>
        <v>0.723949505025845</v>
      </c>
      <c r="DR10" s="15" t="n">
        <f aca="false">DQ10*(1-Inputs!$B$18*EXP(-Inputs!$B$21*Inputs!$B$14*Inputs!$B$17/(Inputs!$B$22*Inputs!$B$23*Inputs!$B$24*DK10*Inputs!$B$16))*Inputs!$B$19)</f>
        <v>0.0263343160228925</v>
      </c>
      <c r="DS10" s="15" t="n">
        <f aca="false">(DQ10-DR10)*(1-EXP(-Inputs!$B$25*Inputs!$B$14*Inputs!$B$17*Inputs!$B$26/(DK10*Inputs!$B$16/0.866)))</f>
        <v>0.0075913306671305</v>
      </c>
      <c r="DT10" s="15" t="n">
        <f aca="false">(DQ10-DR10-DS10)*(1-Inputs!$B$19)</f>
        <v>0.00345011929167911</v>
      </c>
      <c r="DU10" s="15" t="n">
        <f aca="false">(DN10+DO10+DP10+DR10+DS10+DT10)*(1+Inputs!$B$27)</f>
        <v>0.314366539738725</v>
      </c>
      <c r="DV10" s="15" t="n">
        <f aca="false">Inputs!$B$52/(1-DU10-G10)</f>
        <v>193432.530967057</v>
      </c>
      <c r="DW10" s="15" t="n">
        <f aca="false">DV10/Inputs!$B$34</f>
        <v>322.387551611761</v>
      </c>
      <c r="DX10" s="15" t="n">
        <f aca="false">B10^2/DW10</f>
        <v>9.72742273801118</v>
      </c>
      <c r="DY10" s="15" t="n">
        <f aca="false">Inputs!$B$54*H10/(Inputs!$B$35*F10+E10*H10^2/(PI()*DX10*Inputs!$B$36))</f>
        <v>19.0848647601396</v>
      </c>
      <c r="DZ10" s="15" t="n">
        <f aca="false">EXP(-Inputs!$B$11*Inputs!$B$14*Inputs!$B$17/(Inputs!$B$51*DY10*Inputs!$B$16))</f>
        <v>0.750864019563671</v>
      </c>
      <c r="EA10" s="15" t="n">
        <f aca="false">Inputs!$B$50*Inputs!$B$18*DZ10*Inputs!$B$19</f>
        <v>0.733687426495083</v>
      </c>
      <c r="EB10" s="15" t="n">
        <f aca="false">1-EA10</f>
        <v>0.266312573504917</v>
      </c>
      <c r="EC10" s="15" t="n">
        <f aca="false">Inputs!$B$20*EB10</f>
        <v>0.00798937720514752</v>
      </c>
      <c r="ED10" s="15" t="n">
        <f aca="false">0.8*(1-Inputs!$B$50)*(EA10-EC10)</f>
        <v>0.00174792212710413</v>
      </c>
      <c r="EE10" s="15" t="n">
        <f aca="false">EA10-EC10-ED10</f>
        <v>0.723950127162831</v>
      </c>
      <c r="EF10" s="15" t="n">
        <f aca="false">EE10*(1-Inputs!$B$18*EXP(-Inputs!$B$21*Inputs!$B$14*Inputs!$B$17/(Inputs!$B$22*Inputs!$B$23*Inputs!$B$24*DY10*Inputs!$B$16))*Inputs!$B$19)</f>
        <v>0.0263343046418461</v>
      </c>
      <c r="EG10" s="15" t="n">
        <f aca="false">(EE10-EF10)*(1-EXP(-Inputs!$B$25*Inputs!$B$14*Inputs!$B$17*Inputs!$B$26/(DY10*Inputs!$B$16/0.866)))</f>
        <v>0.00759131581628704</v>
      </c>
      <c r="EH10" s="15" t="n">
        <f aca="false">(EE10-EF10-EG10)*(1-Inputs!$B$19)</f>
        <v>0.00345012253352349</v>
      </c>
      <c r="EI10" s="15" t="n">
        <f aca="false">(EB10+EC10+ED10+EF10+EG10+EH10)*(1+Inputs!$B$27)</f>
        <v>0.314365892676312</v>
      </c>
      <c r="EJ10" s="15" t="n">
        <f aca="false">Inputs!$B$52/(1-EI10-G10)</f>
        <v>193431.788883147</v>
      </c>
      <c r="EK10" s="15" t="n">
        <f aca="false">EJ10/Inputs!$B$34</f>
        <v>322.386314805244</v>
      </c>
      <c r="EL10" s="15" t="n">
        <f aca="false">B10^2/EK10</f>
        <v>9.72746005640618</v>
      </c>
      <c r="EM10" s="15" t="n">
        <f aca="false">Inputs!$B$54*H10/(Inputs!$B$35*F10+E10*H10^2/(PI()*EL10*Inputs!$B$36))</f>
        <v>19.0848852109593</v>
      </c>
      <c r="EN10" s="15" t="n">
        <f aca="false">EXP(-Inputs!$B$11*Inputs!$B$14*Inputs!$B$17/(Inputs!$B$51*EM10*Inputs!$B$16))</f>
        <v>0.750864250107608</v>
      </c>
      <c r="EO10" s="15" t="n">
        <f aca="false">Inputs!$B$50*Inputs!$B$18*EN10*Inputs!$B$19</f>
        <v>0.733687651765149</v>
      </c>
      <c r="EP10" s="15" t="n">
        <f aca="false">1-EO10</f>
        <v>0.266312348234851</v>
      </c>
      <c r="EQ10" s="15" t="n">
        <f aca="false">Inputs!$B$20*EP10</f>
        <v>0.00798937044704553</v>
      </c>
      <c r="ER10" s="15" t="n">
        <f aca="false">0.8*(1-Inputs!$B$50)*(EO10-EQ10)</f>
        <v>0.00174792268596904</v>
      </c>
      <c r="ES10" s="15" t="n">
        <f aca="false">EO10-EQ10-ER10</f>
        <v>0.723950358632134</v>
      </c>
      <c r="ET10" s="15" t="n">
        <f aca="false">ES10*(1-Inputs!$B$18*EXP(-Inputs!$B$21*Inputs!$B$14*Inputs!$B$17/(Inputs!$B$22*Inputs!$B$23*Inputs!$B$24*EM10*Inputs!$B$16))*Inputs!$B$19)</f>
        <v>0.0263343004074603</v>
      </c>
      <c r="EU10" s="15" t="n">
        <f aca="false">(ES10-ET10)*(1-EXP(-Inputs!$B$25*Inputs!$B$14*Inputs!$B$17*Inputs!$B$26/(EM10*Inputs!$B$16/0.866)))</f>
        <v>0.0075913102909479</v>
      </c>
      <c r="EV10" s="15" t="n">
        <f aca="false">(ES10-ET10-EU10)*(1-Inputs!$B$19)</f>
        <v>0.00345012373966863</v>
      </c>
      <c r="EW10" s="15" t="n">
        <f aca="false">(EP10+EQ10+ER10+ET10+EU10+EV10)*(1+Inputs!$B$27)</f>
        <v>0.31436565193336</v>
      </c>
      <c r="EX10" s="15" t="n">
        <f aca="false">Inputs!$B$52/(1-EW10-G10)</f>
        <v>193431.512788404</v>
      </c>
      <c r="EY10" s="15" t="n">
        <f aca="false">EX10/Inputs!$B$34</f>
        <v>322.385854647339</v>
      </c>
      <c r="EZ10" s="15" t="n">
        <f aca="false">B10^2/EY10</f>
        <v>9.72747394091003</v>
      </c>
      <c r="FA10" s="15" t="n">
        <f aca="false">Inputs!$B$54*H10/(Inputs!$B$35*F10+E10*H10^2/(PI()*EZ10*Inputs!$B$36))</f>
        <v>19.0848928197648</v>
      </c>
      <c r="FB10" s="15" t="n">
        <f aca="false">EXP(-Inputs!$B$11*Inputs!$B$14*Inputs!$B$17/(Inputs!$B$51*FA10*Inputs!$B$16))</f>
        <v>0.75086433588225</v>
      </c>
      <c r="FC10" s="15" t="n">
        <f aca="false">Inputs!$B$50*Inputs!$B$18*FB10*Inputs!$B$19</f>
        <v>0.733687735577631</v>
      </c>
      <c r="FD10" s="15" t="n">
        <f aca="false">1-FC10</f>
        <v>0.266312264422369</v>
      </c>
      <c r="FE10" s="15" t="n">
        <f aca="false">Inputs!$B$20*FD10</f>
        <v>0.00798936793267108</v>
      </c>
      <c r="FF10" s="15" t="n">
        <f aca="false">0.8*(1-Inputs!$B$50)*(FC10-FE10)</f>
        <v>0.00174792289389659</v>
      </c>
      <c r="FG10" s="15" t="n">
        <f aca="false">FC10-FE10-FF10</f>
        <v>0.723950444751063</v>
      </c>
      <c r="FH10" s="15" t="n">
        <f aca="false">FG10*(1-Inputs!$B$18*EXP(-Inputs!$B$21*Inputs!$B$14*Inputs!$B$17/(Inputs!$B$22*Inputs!$B$23*Inputs!$B$24*FA10*Inputs!$B$16))*Inputs!$B$19)</f>
        <v>0.0263342988320418</v>
      </c>
      <c r="FI10" s="15" t="n">
        <f aca="false">(FG10-FH10)*(1-EXP(-Inputs!$B$25*Inputs!$B$14*Inputs!$B$17*Inputs!$B$26/(FA10*Inputs!$B$16/0.866)))</f>
        <v>0.0075913082352262</v>
      </c>
      <c r="FJ10" s="15" t="n">
        <f aca="false">(FG10-FH10-FI10)*(1-Inputs!$B$19)</f>
        <v>0.00345012418841898</v>
      </c>
      <c r="FK10" s="15" t="n">
        <f aca="false">(FD10+FE10+FF10+FH10+FI10+FJ10)*(1+Inputs!$B$27)</f>
        <v>0.314365562364138</v>
      </c>
      <c r="FL10" s="15" t="n">
        <f aca="false">Inputs!$B$52/(1-FK10-G10)</f>
        <v>193431.41006663</v>
      </c>
      <c r="FM10" s="15" t="n">
        <f aca="false">FL10/Inputs!$B$34</f>
        <v>322.385683444383</v>
      </c>
      <c r="FN10" s="15" t="n">
        <f aca="false">B10^2/FM10</f>
        <v>9.72747910668624</v>
      </c>
      <c r="FO10" s="15" t="n">
        <f aca="false">Inputs!$B$54*H10/(Inputs!$B$35*F10+E10*H10^2/(PI()*FN10*Inputs!$B$36))</f>
        <v>19.0848956506424</v>
      </c>
      <c r="FP10" s="15" t="n">
        <f aca="false">EXP(-Inputs!$B$11*Inputs!$B$14*Inputs!$B$17/(Inputs!$B$51*FO10*Inputs!$B$16))</f>
        <v>0.750864367794934</v>
      </c>
      <c r="FQ10" s="15" t="n">
        <f aca="false">Inputs!$B$50*Inputs!$B$18*FP10*Inputs!$B$19</f>
        <v>0.733687766760287</v>
      </c>
      <c r="FR10" s="15" t="n">
        <f aca="false">1-FQ10</f>
        <v>0.266312233239713</v>
      </c>
      <c r="FS10" s="15" t="n">
        <f aca="false">Inputs!$B$20*FR10</f>
        <v>0.00798936699719139</v>
      </c>
      <c r="FT10" s="15" t="n">
        <f aca="false">0.8*(1-Inputs!$B$50)*(FQ10-FS10)</f>
        <v>0.00174792297125659</v>
      </c>
      <c r="FU10" s="15" t="n">
        <f aca="false">FQ10-FS10-FT10</f>
        <v>0.723950476791839</v>
      </c>
      <c r="FV10" s="15" t="n">
        <f aca="false">FU10*(1-Inputs!$B$18*EXP(-Inputs!$B$21*Inputs!$B$14*Inputs!$B$17/(Inputs!$B$22*Inputs!$B$23*Inputs!$B$24*FO10*Inputs!$B$16))*Inputs!$B$19)</f>
        <v>0.0263342982459029</v>
      </c>
      <c r="FW10" s="15" t="n">
        <f aca="false">(FU10-FV10)*(1-EXP(-Inputs!$B$25*Inputs!$B$14*Inputs!$B$17*Inputs!$B$26/(FO10*Inputs!$B$16/0.866)))</f>
        <v>0.00759130747038942</v>
      </c>
      <c r="FX10" s="15" t="n">
        <f aca="false">(FU10-FV10-FW10)*(1-Inputs!$B$19)</f>
        <v>0.00345012435537774</v>
      </c>
      <c r="FY10" s="15" t="n">
        <f aca="false">(FR10+FS10+FT10+FV10+FW10+FX10)*(1+Inputs!$B$27)</f>
        <v>0.314365529039671</v>
      </c>
      <c r="FZ10" s="15" t="n">
        <f aca="false">Inputs!$B$52/(1-FY10-G10)</f>
        <v>193431.371848749</v>
      </c>
      <c r="GA10" s="15" t="n">
        <f aca="false">FZ10/Inputs!$B$34</f>
        <v>322.385619747915</v>
      </c>
      <c r="GB10" s="15" t="n">
        <f aca="false">B10^2/GA10</f>
        <v>9.727481028627</v>
      </c>
      <c r="GC10" s="15" t="n">
        <f aca="false">Inputs!$B$54*H10/(Inputs!$B$35*F10+E10*H10^2/(PI()*GB10*Inputs!$B$36))</f>
        <v>19.0848967038774</v>
      </c>
      <c r="GD10" s="15" t="n">
        <f aca="false">EXP(-Inputs!$B$11*Inputs!$B$14*Inputs!$B$17/(Inputs!$B$51*GC10*Inputs!$B$16))</f>
        <v>0.750864379668124</v>
      </c>
      <c r="GE10" s="15" t="n">
        <f aca="false">Inputs!$B$50*Inputs!$B$18*GD10*Inputs!$B$19</f>
        <v>0.733687778361869</v>
      </c>
      <c r="GF10" s="15" t="n">
        <f aca="false">1-GE10</f>
        <v>0.266312221638131</v>
      </c>
      <c r="GG10" s="15" t="n">
        <f aca="false">Inputs!$B$20*GF10</f>
        <v>0.00798936664914393</v>
      </c>
      <c r="GH10" s="15" t="n">
        <f aca="false">0.8*(1-Inputs!$B$50)*(GE10-GG10)</f>
        <v>0.00174792300003856</v>
      </c>
      <c r="GI10" s="15" t="n">
        <f aca="false">GE10-GG10-GH10</f>
        <v>0.723950488712686</v>
      </c>
      <c r="GJ10" s="15" t="n">
        <f aca="false">GI10*(1-Inputs!$B$18*EXP(-Inputs!$B$21*Inputs!$B$14*Inputs!$B$17/(Inputs!$B$22*Inputs!$B$23*Inputs!$B$24*GC10*Inputs!$B$16))*Inputs!$B$19)</f>
        <v>0.0263342980278286</v>
      </c>
      <c r="GK10" s="15" t="n">
        <f aca="false">(GI10-GJ10)*(1-EXP(-Inputs!$B$25*Inputs!$B$14*Inputs!$B$17*Inputs!$B$26/(GC10*Inputs!$B$16/0.866)))</f>
        <v>0.00759130718583</v>
      </c>
      <c r="GL10" s="15" t="n">
        <f aca="false">(GI10-GJ10-GK10)*(1-Inputs!$B$19)</f>
        <v>0.00345012441749514</v>
      </c>
      <c r="GM10" s="15" t="n">
        <f aca="false">(GF10+GG10+GH10+GJ10+GK10+GL10)*(1+Inputs!$B$27)</f>
        <v>0.314365516641223</v>
      </c>
      <c r="GN10" s="15" t="n">
        <f aca="false">Inputs!$B$52/(1-GM10-G10)</f>
        <v>193431.357629699</v>
      </c>
      <c r="GO10" s="15" t="n">
        <f aca="false">GN10/Inputs!$B$34</f>
        <v>322.385596049498</v>
      </c>
      <c r="GP10" s="15" t="n">
        <f aca="false">B10^2/GO10</f>
        <v>9.72748174368967</v>
      </c>
      <c r="GQ10" s="15" t="n">
        <f aca="false">Inputs!$B$54*H10/(Inputs!$B$35*F10+E10*H10^2/(PI()*GP10*Inputs!$B$36))</f>
        <v>19.0848970957359</v>
      </c>
      <c r="GR10" s="15" t="n">
        <f aca="false">EXP(-Inputs!$B$11*Inputs!$B$14*Inputs!$B$17/(Inputs!$B$51*GQ10*Inputs!$B$16))</f>
        <v>0.750864384085572</v>
      </c>
      <c r="GS10" s="15" t="n">
        <f aca="false">Inputs!$B$50*Inputs!$B$18*GR10*Inputs!$B$19</f>
        <v>0.733687782678264</v>
      </c>
      <c r="GT10" s="15" t="n">
        <f aca="false">1-GS10</f>
        <v>0.266312217321736</v>
      </c>
      <c r="GU10" s="15" t="n">
        <f aca="false">Inputs!$B$20*GT10</f>
        <v>0.00798936651965207</v>
      </c>
      <c r="GV10" s="15" t="n">
        <f aca="false">0.8*(1-Inputs!$B$50)*(GS10-GU10)</f>
        <v>0.00174792301074696</v>
      </c>
      <c r="GW10" s="15" t="n">
        <f aca="false">GS10-GU10-GV10</f>
        <v>0.723950493147865</v>
      </c>
      <c r="GX10" s="15" t="n">
        <f aca="false">GW10*(1-Inputs!$B$18*EXP(-Inputs!$B$21*Inputs!$B$14*Inputs!$B$17/(Inputs!$B$22*Inputs!$B$23*Inputs!$B$24*GQ10*Inputs!$B$16))*Inputs!$B$19)</f>
        <v>0.0263342979466936</v>
      </c>
      <c r="GY10" s="15" t="n">
        <f aca="false">(GW10-GX10)*(1-EXP(-Inputs!$B$25*Inputs!$B$14*Inputs!$B$17*Inputs!$B$26/(GQ10*Inputs!$B$16/0.866)))</f>
        <v>0.007591307079959</v>
      </c>
      <c r="GZ10" s="15" t="n">
        <f aca="false">(GW10-GX10-GY10)*(1-Inputs!$B$19)</f>
        <v>0.00345012444060607</v>
      </c>
      <c r="HA10" s="15" t="n">
        <f aca="false">(GT10+GU10+GV10+GX10+GY10+GZ10)*(1+Inputs!$B$27)</f>
        <v>0.314365512028352</v>
      </c>
      <c r="HB10" s="15" t="n">
        <f aca="false">Inputs!$B$52/(1-HA10-G10)</f>
        <v>193431.352339469</v>
      </c>
      <c r="HC10" s="15" t="n">
        <f aca="false">HB10/Inputs!$B$34</f>
        <v>322.385587232448</v>
      </c>
      <c r="HD10" s="15" t="n">
        <f aca="false">B10^2/HC10</f>
        <v>9.72748200973038</v>
      </c>
      <c r="HE10" s="15" t="n">
        <f aca="false">Inputs!$B$54*H10/(Inputs!$B$35*F10+E10*H10^2/(PI()*HD10*Inputs!$B$36))</f>
        <v>19.0848972415278</v>
      </c>
      <c r="HF10" s="15" t="n">
        <f aca="false">EXP(-Inputs!$B$11*Inputs!$B$14*Inputs!$B$17/(Inputs!$B$51*HE10*Inputs!$B$16))</f>
        <v>0.750864385729094</v>
      </c>
      <c r="HG10" s="15" t="n">
        <f aca="false">Inputs!$B$50*Inputs!$B$18*HF10*Inputs!$B$19</f>
        <v>0.733687784284189</v>
      </c>
      <c r="HH10" s="15" t="n">
        <f aca="false">1-HG10</f>
        <v>0.266312215715811</v>
      </c>
      <c r="HI10" s="15" t="n">
        <f aca="false">Inputs!$B$20*HH10</f>
        <v>0.00798936647147434</v>
      </c>
      <c r="HJ10" s="15" t="n">
        <f aca="false">0.8*(1-Inputs!$B$50)*(HG10-HI10)</f>
        <v>0.00174792301473105</v>
      </c>
      <c r="HK10" s="15" t="n">
        <f aca="false">HG10-HI10-HJ10</f>
        <v>0.723950494797984</v>
      </c>
      <c r="HL10" s="15" t="n">
        <f aca="false">HK10*(1-Inputs!$B$18*EXP(-Inputs!$B$21*Inputs!$B$14*Inputs!$B$17/(Inputs!$B$22*Inputs!$B$23*Inputs!$B$24*HE10*Inputs!$B$16))*Inputs!$B$19)</f>
        <v>0.026334297916507</v>
      </c>
      <c r="HM10" s="15" t="n">
        <f aca="false">(HK10-HL10)*(1-EXP(-Inputs!$B$25*Inputs!$B$14*Inputs!$B$17*Inputs!$B$26/(HE10*Inputs!$B$16/0.866)))</f>
        <v>0.00759130704056947</v>
      </c>
      <c r="HN10" s="15" t="n">
        <f aca="false">(HK10-HL10-HM10)*(1-Inputs!$B$19)</f>
        <v>0.00345012444920454</v>
      </c>
      <c r="HO10" s="15" t="n">
        <f aca="false">(HH10+HI10+HJ10+HL10+HM10+HN10)*(1+Inputs!$B$27)</f>
        <v>0.314365510312123</v>
      </c>
      <c r="HP10" s="15" t="n">
        <f aca="false">Inputs!$B$52/(1-HO10-G10)</f>
        <v>193431.350371227</v>
      </c>
      <c r="HQ10" s="15" t="n">
        <f aca="false">HP10/Inputs!$B$34</f>
        <v>322.385583952045</v>
      </c>
      <c r="HR10" s="15" t="n">
        <f aca="false">B10^2/HQ10</f>
        <v>9.72748210871143</v>
      </c>
      <c r="HS10" s="15" t="n">
        <f aca="false">Inputs!$B$54*H10/(Inputs!$B$35*F10+E10*H10^2/(PI()*HR10*Inputs!$B$36))</f>
        <v>19.0848972957699</v>
      </c>
      <c r="HT10" s="15" t="n">
        <f aca="false">EXP(-Inputs!$B$11*Inputs!$B$14*Inputs!$B$17/(Inputs!$B$51*HS10*Inputs!$B$16))</f>
        <v>0.750864386340569</v>
      </c>
      <c r="HU10" s="15" t="n">
        <f aca="false">Inputs!$B$50*Inputs!$B$18*HT10*Inputs!$B$19</f>
        <v>0.733687784881677</v>
      </c>
      <c r="HV10" s="15" t="n">
        <f aca="false">1-HU10</f>
        <v>0.266312215118323</v>
      </c>
      <c r="HW10" s="15" t="n">
        <f aca="false">Inputs!$B$20*HV10</f>
        <v>0.0079893664535497</v>
      </c>
      <c r="HX10" s="15" t="n">
        <f aca="false">0.8*(1-Inputs!$B$50)*(HU10-HW10)</f>
        <v>0.00174792301621333</v>
      </c>
      <c r="HY10" s="15" t="n">
        <f aca="false">HU10-HW10-HX10</f>
        <v>0.723950495411914</v>
      </c>
      <c r="HZ10" s="15" t="n">
        <f aca="false">HY10*(1-Inputs!$B$18*EXP(-Inputs!$B$21*Inputs!$B$14*Inputs!$B$17/(Inputs!$B$22*Inputs!$B$23*Inputs!$B$24*HS10*Inputs!$B$16))*Inputs!$B$19)</f>
        <v>0.0263342979052761</v>
      </c>
      <c r="IA10" s="15" t="n">
        <f aca="false">(HY10-HZ10)*(1-EXP(-Inputs!$B$25*Inputs!$B$14*Inputs!$B$17*Inputs!$B$26/(HS10*Inputs!$B$16/0.866)))</f>
        <v>0.00759130702591455</v>
      </c>
      <c r="IB10" s="15" t="n">
        <f aca="false">(HY10-HZ10-IA10)*(1-Inputs!$B$19)</f>
        <v>0.00345012445240362</v>
      </c>
      <c r="IC10" s="15" t="n">
        <f aca="false">(HV10+HW10+HX10+HZ10+IA10+IB10)*(1+Inputs!$B$27)</f>
        <v>0.314365509673596</v>
      </c>
      <c r="ID10" s="15" t="n">
        <f aca="false">Inputs!$B$52/(1-IC10-G10)</f>
        <v>193431.349638938</v>
      </c>
      <c r="IE10" s="15" t="n">
        <f aca="false">ID10/Inputs!$B$34</f>
        <v>322.385582731564</v>
      </c>
      <c r="IF10" s="15" t="n">
        <f aca="false">B10^2/IE10</f>
        <v>9.72748214553754</v>
      </c>
      <c r="IG10" s="15" t="n">
        <f aca="false">Inputs!$B$54*H10/(Inputs!$B$35*F10+E10*H10^2/(PI()*IF10*Inputs!$B$36))</f>
        <v>19.0848973159509</v>
      </c>
      <c r="IH10" s="15" t="n">
        <f aca="false">EXP(-Inputs!$B$11*Inputs!$B$14*Inputs!$B$17/(Inputs!$B$51*IG10*Inputs!$B$16))</f>
        <v>0.75086438656807</v>
      </c>
      <c r="II10" s="15" t="n">
        <f aca="false">Inputs!$B$50*Inputs!$B$18*IH10*Inputs!$B$19</f>
        <v>0.733687785103973</v>
      </c>
      <c r="IJ10" s="15" t="n">
        <f aca="false">1-II10</f>
        <v>0.266312214896027</v>
      </c>
      <c r="IK10" s="15" t="n">
        <f aca="false">Inputs!$B$20*IJ10</f>
        <v>0.00798936644688081</v>
      </c>
      <c r="IL10" s="15" t="n">
        <f aca="false">0.8*(1-Inputs!$B$50)*(II10-IK10)</f>
        <v>0.00174792301676482</v>
      </c>
      <c r="IM10" s="15" t="n">
        <f aca="false">II10-IK10-IL10</f>
        <v>0.723950495640328</v>
      </c>
      <c r="IN10" s="15" t="n">
        <f aca="false">IM10*(1-Inputs!$B$18*EXP(-Inputs!$B$21*Inputs!$B$14*Inputs!$B$17/(Inputs!$B$22*Inputs!$B$23*Inputs!$B$24*IG10*Inputs!$B$16))*Inputs!$B$19)</f>
        <v>0.0263342979010976</v>
      </c>
      <c r="IO10" s="15" t="n">
        <f aca="false">(IM10-IN10)*(1-EXP(-Inputs!$B$25*Inputs!$B$14*Inputs!$B$17*Inputs!$B$26/(IG10*Inputs!$B$16/0.866)))</f>
        <v>0.00759130702046215</v>
      </c>
      <c r="IP10" s="15" t="n">
        <f aca="false">(IM10-IN10-IO10)*(1-Inputs!$B$19)</f>
        <v>0.00345012445359384</v>
      </c>
      <c r="IQ10" s="15" t="n">
        <f aca="false">(IJ10+IK10+IL10+IN10+IO10+IP10)*(1+Inputs!$B$27)</f>
        <v>0.314365509436031</v>
      </c>
      <c r="IR10" s="15" t="n">
        <f aca="false">Inputs!$B$52/(1-IQ10-G10)</f>
        <v>193431.349366488</v>
      </c>
      <c r="IS10" s="15" t="n">
        <f aca="false">IR10/Inputs!$B$34</f>
        <v>322.385582277481</v>
      </c>
      <c r="IT10" s="15" t="n">
        <f aca="false">B10^2/IS10</f>
        <v>9.72748215923878</v>
      </c>
      <c r="IU10" s="15" t="n">
        <f aca="false">Inputs!$B$54*H10/(Inputs!$B$35*F10+E10*H10^2/(PI()*IT10*Inputs!$B$36))</f>
        <v>19.0848973234592</v>
      </c>
      <c r="IV10" s="15" t="n">
        <f aca="false">EXP(-Inputs!$B$11*Inputs!$B$14*Inputs!$B$17/(Inputs!$B$51*IU10*Inputs!$B$16))</f>
        <v>0.750864386652713</v>
      </c>
      <c r="IW10" s="15" t="n">
        <f aca="false">Inputs!$B$50*Inputs!$B$18*IV10*Inputs!$B$19</f>
        <v>0.733687785186679</v>
      </c>
      <c r="IX10" s="15" t="n">
        <f aca="false">1-IW10</f>
        <v>0.266312214813321</v>
      </c>
      <c r="IY10" s="15" t="n">
        <f aca="false">Inputs!$B$20*IX10</f>
        <v>0.00798936644439962</v>
      </c>
      <c r="IZ10" s="15" t="n">
        <f aca="false">0.8*(1-Inputs!$B$50)*(IW10-IY10)</f>
        <v>0.00174792301697001</v>
      </c>
      <c r="JA10" s="15" t="n">
        <f aca="false">IW10-IY10-IZ10</f>
        <v>0.72395049572531</v>
      </c>
      <c r="JB10" s="15" t="n">
        <f aca="false">JA10*(1-Inputs!$B$18*EXP(-Inputs!$B$21*Inputs!$B$14*Inputs!$B$17/(Inputs!$B$22*Inputs!$B$23*Inputs!$B$24*IU10*Inputs!$B$16))*Inputs!$B$19)</f>
        <v>0.026334297899543</v>
      </c>
      <c r="JC10" s="15" t="n">
        <f aca="false">(JA10-JB10)*(1-EXP(-Inputs!$B$25*Inputs!$B$14*Inputs!$B$17*Inputs!$B$26/(IU10*Inputs!$B$16/0.866)))</f>
        <v>0.00759130701843351</v>
      </c>
      <c r="JD10" s="15" t="n">
        <f aca="false">(JA10-JB10-JC10)*(1-Inputs!$B$19)</f>
        <v>0.00345012445403667</v>
      </c>
      <c r="JE10" s="15" t="n">
        <f aca="false">(IX10+IY10+IZ10+JB10+JC10+JD10)*(1+Inputs!$B$27)</f>
        <v>0.314365509347644</v>
      </c>
      <c r="JF10" s="15" t="n">
        <f aca="false">Inputs!$B$52/(1-JE10-G10)</f>
        <v>193431.349265123</v>
      </c>
      <c r="JG10" s="15" t="n">
        <f aca="false">JF10/Inputs!$B$34</f>
        <v>322.385582108538</v>
      </c>
      <c r="JH10" s="15" t="n">
        <f aca="false">B10^2/JG10</f>
        <v>9.72748216433636</v>
      </c>
      <c r="JI10" s="15" t="n">
        <f aca="false">Inputs!$B$54*H10/(Inputs!$B$35*F10+E10*H10^2/(PI()*JH10*Inputs!$B$36))</f>
        <v>19.0848973262527</v>
      </c>
      <c r="JJ10" s="15" t="n">
        <f aca="false">EXP(-Inputs!$B$11*Inputs!$B$14*Inputs!$B$17/(Inputs!$B$51*JI10*Inputs!$B$16))</f>
        <v>0.750864386684204</v>
      </c>
      <c r="JK10" s="15" t="n">
        <f aca="false">Inputs!$B$50*Inputs!$B$18*JJ10*Inputs!$B$19</f>
        <v>0.73368778521745</v>
      </c>
      <c r="JL10" s="15" t="n">
        <f aca="false">1-JK10</f>
        <v>0.26631221478255</v>
      </c>
      <c r="JM10" s="15" t="n">
        <f aca="false">Inputs!$B$20*JL10</f>
        <v>0.00798936644347649</v>
      </c>
      <c r="JN10" s="15" t="n">
        <f aca="false">0.8*(1-Inputs!$B$50)*(JK10-JM10)</f>
        <v>0.00174792301704634</v>
      </c>
      <c r="JO10" s="15" t="n">
        <f aca="false">JK10-JM10-JN10</f>
        <v>0.723950495756928</v>
      </c>
      <c r="JP10" s="15" t="n">
        <f aca="false">JO10*(1-Inputs!$B$18*EXP(-Inputs!$B$21*Inputs!$B$14*Inputs!$B$17/(Inputs!$B$22*Inputs!$B$23*Inputs!$B$24*JI10*Inputs!$B$16))*Inputs!$B$19)</f>
        <v>0.0263342978989646</v>
      </c>
      <c r="JQ10" s="15" t="n">
        <f aca="false">(JO10-JP10)*(1-EXP(-Inputs!$B$25*Inputs!$B$14*Inputs!$B$17*Inputs!$B$26/(JI10*Inputs!$B$16/0.866)))</f>
        <v>0.00759130701767879</v>
      </c>
      <c r="JR10" s="15" t="n">
        <f aca="false">(JO10-JP10-JQ10)*(1-Inputs!$B$19)</f>
        <v>0.00345012445420142</v>
      </c>
      <c r="JS10" s="15" t="n">
        <f aca="false">(JL10+JM10+JN10+JP10+JQ10+JR10)*(1+Inputs!$B$27)</f>
        <v>0.314365509314759</v>
      </c>
      <c r="JT10" s="15" t="n">
        <f aca="false">Inputs!$B$52/(1-JS10-G10)</f>
        <v>193431.349227409</v>
      </c>
      <c r="JU10" s="15" t="n">
        <f aca="false">JT10/Inputs!$B$34</f>
        <v>322.385582045682</v>
      </c>
      <c r="JV10" s="15" t="n">
        <f aca="false">B10^2/JU10</f>
        <v>9.72748216623294</v>
      </c>
      <c r="JW10" s="15" t="n">
        <f aca="false">Inputs!$B$54*H10/(Inputs!$B$35*F10+E10*H10^2/(PI()*JV10*Inputs!$B$36))</f>
        <v>19.0848973272921</v>
      </c>
      <c r="JX10" s="15" t="n">
        <f aca="false">EXP(-Inputs!$B$11*Inputs!$B$14*Inputs!$B$17/(Inputs!$B$51*JW10*Inputs!$B$16))</f>
        <v>0.75086438669592</v>
      </c>
      <c r="JY10" s="15" t="n">
        <f aca="false">Inputs!$B$50*Inputs!$B$18*JX10*Inputs!$B$19</f>
        <v>0.733687785228899</v>
      </c>
      <c r="JZ10" s="15" t="n">
        <f aca="false">1-JY10</f>
        <v>0.266312214771101</v>
      </c>
      <c r="KA10" s="15" t="n">
        <f aca="false">Inputs!$B$20*JZ10</f>
        <v>0.00798936644313304</v>
      </c>
      <c r="KB10" s="15" t="n">
        <f aca="false">0.8*(1-Inputs!$B$50)*(JY10-KA10)</f>
        <v>0.00174792301707475</v>
      </c>
      <c r="KC10" s="15" t="n">
        <f aca="false">JY10-KA10-KB10</f>
        <v>0.723950495768691</v>
      </c>
      <c r="KD10" s="15" t="n">
        <f aca="false">KC10*(1-Inputs!$B$18*EXP(-Inputs!$B$21*Inputs!$B$14*Inputs!$B$17/(Inputs!$B$22*Inputs!$B$23*Inputs!$B$24*JW10*Inputs!$B$16))*Inputs!$B$19)</f>
        <v>0.0263342978987494</v>
      </c>
      <c r="KE10" s="15" t="n">
        <f aca="false">(KC10-KD10)*(1-EXP(-Inputs!$B$25*Inputs!$B$14*Inputs!$B$17*Inputs!$B$26/(JW10*Inputs!$B$16/0.866)))</f>
        <v>0.00759130701739803</v>
      </c>
      <c r="KF10" s="15" t="n">
        <f aca="false">(KC10-KD10-KE10)*(1-Inputs!$B$19)</f>
        <v>0.00345012445426272</v>
      </c>
      <c r="KG10" s="15" t="n">
        <f aca="false">(JZ10+KA10+KB10+KD10+KE10+KF10)*(1+Inputs!$B$27)</f>
        <v>0.314365509302524</v>
      </c>
      <c r="KH10" s="15" t="n">
        <f aca="false">Inputs!$B$52/(1-KG10-G10)</f>
        <v>193431.349213378</v>
      </c>
      <c r="KI10" s="15" t="n">
        <f aca="false">KH10/Inputs!$B$34</f>
        <v>322.385582022297</v>
      </c>
      <c r="KJ10" s="15" t="n">
        <f aca="false">B10^2/KI10</f>
        <v>9.72748216693856</v>
      </c>
      <c r="KK10" s="15" t="n">
        <f aca="false">Inputs!$B$54*H10/(Inputs!$B$35*F10+E10*H10^2/(PI()*KJ10*Inputs!$B$36))</f>
        <v>19.0848973276787</v>
      </c>
      <c r="KL10" s="15" t="n">
        <f aca="false">EXP(-Inputs!$B$11*Inputs!$B$14*Inputs!$B$17/(Inputs!$B$51*KK10*Inputs!$B$16))</f>
        <v>0.750864386700279</v>
      </c>
      <c r="KM10" s="15" t="n">
        <f aca="false">Inputs!$B$50*Inputs!$B$18*KL10*Inputs!$B$19</f>
        <v>0.733687785233158</v>
      </c>
      <c r="KN10" s="15" t="n">
        <f aca="false">1-KM10</f>
        <v>0.266312214766842</v>
      </c>
      <c r="KO10" s="15" t="n">
        <f aca="false">Inputs!$B$20*KN10</f>
        <v>0.00798936644300526</v>
      </c>
      <c r="KP10" s="15" t="n">
        <f aca="false">0.8*(1-Inputs!$B$50)*(KM10-KO10)</f>
        <v>0.00174792301708531</v>
      </c>
      <c r="KQ10" s="15" t="n">
        <f aca="false">KM10-KO10-KP10</f>
        <v>0.723950495773068</v>
      </c>
      <c r="KR10" s="15" t="n">
        <f aca="false">KQ10*(1-Inputs!$B$18*EXP(-Inputs!$B$21*Inputs!$B$14*Inputs!$B$17/(Inputs!$B$22*Inputs!$B$23*Inputs!$B$24*KK10*Inputs!$B$16))*Inputs!$B$19)</f>
        <v>0.0263342978986694</v>
      </c>
      <c r="KS10" s="15" t="n">
        <f aca="false">(KQ10-KR10)*(1-EXP(-Inputs!$B$25*Inputs!$B$14*Inputs!$B$17*Inputs!$B$26/(KK10*Inputs!$B$16/0.866)))</f>
        <v>0.00759130701729356</v>
      </c>
      <c r="KT10" s="15" t="n">
        <f aca="false">(KQ10-KR10-KS10)*(1-Inputs!$B$19)</f>
        <v>0.00345012445428553</v>
      </c>
      <c r="KU10" s="15" t="n">
        <f aca="false">(KN10+KO10+KP10+KR10+KS10+KT10)*(1+Inputs!$B$27)</f>
        <v>0.314365509297973</v>
      </c>
      <c r="KV10" s="15" t="n">
        <f aca="false">Inputs!$B$52/(1-KU10-G10)</f>
        <v>193431.349208158</v>
      </c>
      <c r="KW10" s="15" t="n">
        <f aca="false">KV10/Inputs!$B$34</f>
        <v>322.385582013597</v>
      </c>
      <c r="KX10" s="15" t="n">
        <f aca="false">B10^2/KW10</f>
        <v>9.72748216720108</v>
      </c>
      <c r="KY10" s="15" t="n">
        <f aca="false">Inputs!$B$54*H10/(Inputs!$B$35*F10+E10*H10^2/(PI()*KX10*Inputs!$B$36))</f>
        <v>19.0848973278226</v>
      </c>
      <c r="KZ10" s="15" t="n">
        <f aca="false">EXP(-Inputs!$B$11*Inputs!$B$14*Inputs!$B$17/(Inputs!$B$51*KY10*Inputs!$B$16))</f>
        <v>0.750864386701901</v>
      </c>
      <c r="LA10" s="15" t="n">
        <f aca="false">Inputs!$B$50*Inputs!$B$18*KZ10*Inputs!$B$19</f>
        <v>0.733687785234743</v>
      </c>
      <c r="LB10" s="15" t="n">
        <f aca="false">1-LA10</f>
        <v>0.266312214765257</v>
      </c>
      <c r="LC10" s="15" t="n">
        <f aca="false">Inputs!$B$20*LB10</f>
        <v>0.00798936644295772</v>
      </c>
      <c r="LD10" s="15" t="n">
        <f aca="false">0.8*(1-Inputs!$B$50)*(LA10-LC10)</f>
        <v>0.00174792301708924</v>
      </c>
      <c r="LE10" s="15" t="n">
        <f aca="false">LA10-LC10-LD10</f>
        <v>0.723950495774696</v>
      </c>
      <c r="LF10" s="15" t="n">
        <f aca="false">LE10*(1-Inputs!$B$18*EXP(-Inputs!$B$21*Inputs!$B$14*Inputs!$B$17/(Inputs!$B$22*Inputs!$B$23*Inputs!$B$24*KY10*Inputs!$B$16))*Inputs!$B$19)</f>
        <v>0.0263342978986396</v>
      </c>
      <c r="LG10" s="15" t="n">
        <f aca="false">(LE10-LF10)*(1-EXP(-Inputs!$B$25*Inputs!$B$14*Inputs!$B$17*Inputs!$B$26/(KY10*Inputs!$B$16/0.866)))</f>
        <v>0.00759130701725467</v>
      </c>
      <c r="LH10" s="15" t="n">
        <f aca="false">(LE10-LF10-LG10)*(1-Inputs!$B$19)</f>
        <v>0.00345012445429401</v>
      </c>
      <c r="LI10" s="15" t="n">
        <f aca="false">(LB10+LC10+LD10+LF10+LG10+LH10)*(1+Inputs!$B$27)</f>
        <v>0.314365509296279</v>
      </c>
      <c r="LJ10" s="15" t="n">
        <f aca="false">Inputs!$B$52/(1-LI10-G10)</f>
        <v>193431.349206216</v>
      </c>
      <c r="LK10" s="15" t="n">
        <f aca="false">LJ10/Inputs!$B$34</f>
        <v>322.38558201036</v>
      </c>
      <c r="LL10" s="15" t="n">
        <f aca="false">B10^2/LK10</f>
        <v>9.72748216729874</v>
      </c>
      <c r="LM10" s="15" t="n">
        <f aca="false">Inputs!$B$54*H10/(Inputs!$B$35*F10+E10*H10^2/(PI()*LL10*Inputs!$B$36))</f>
        <v>19.0848973278761</v>
      </c>
      <c r="LN10" s="15" t="n">
        <f aca="false">EXP(-Inputs!$B$11*Inputs!$B$14*Inputs!$B$17/(Inputs!$B$51*LM10*Inputs!$B$16))</f>
        <v>0.750864386702505</v>
      </c>
      <c r="LO10" s="15" t="n">
        <f aca="false">Inputs!$B$50*Inputs!$B$18*LN10*Inputs!$B$19</f>
        <v>0.733687785235332</v>
      </c>
      <c r="LP10" s="15" t="n">
        <f aca="false">1-LO10</f>
        <v>0.266312214764668</v>
      </c>
      <c r="LQ10" s="15" t="n">
        <f aca="false">Inputs!$B$20*LP10</f>
        <v>0.00798936644294003</v>
      </c>
      <c r="LR10" s="15" t="n">
        <f aca="false">0.8*(1-Inputs!$B$50)*(LO10-LQ10)</f>
        <v>0.00174792301709071</v>
      </c>
      <c r="LS10" s="15" t="n">
        <f aca="false">LO10-LQ10-LR10</f>
        <v>0.723950495775302</v>
      </c>
      <c r="LT10" s="15" t="n">
        <f aca="false">LS10*(1-Inputs!$B$18*EXP(-Inputs!$B$21*Inputs!$B$14*Inputs!$B$17/(Inputs!$B$22*Inputs!$B$23*Inputs!$B$24*LM10*Inputs!$B$16))*Inputs!$B$19)</f>
        <v>0.0263342978986285</v>
      </c>
      <c r="LU10" s="15" t="n">
        <f aca="false">(LS10-LT10)*(1-EXP(-Inputs!$B$25*Inputs!$B$14*Inputs!$B$17*Inputs!$B$26/(LM10*Inputs!$B$16/0.866)))</f>
        <v>0.00759130701724017</v>
      </c>
      <c r="LV10" s="15" t="n">
        <f aca="false">(LS10-LT10-LU10)*(1-Inputs!$B$19)</f>
        <v>0.00345012445429717</v>
      </c>
      <c r="LW10" s="15" t="n">
        <f aca="false">(LP10+LQ10+LR10+LT10+LU10+LV10)*(1+Inputs!$B$27)</f>
        <v>0.314365509295649</v>
      </c>
      <c r="LX10" s="15" t="n">
        <f aca="false">Inputs!$B$52/(1-LW10-G10)</f>
        <v>193431.349205493</v>
      </c>
      <c r="LY10" s="15" t="n">
        <f aca="false">LX10/Inputs!$B$34</f>
        <v>322.385582009155</v>
      </c>
      <c r="LZ10" s="15" t="n">
        <f aca="false">B10^2/LY10</f>
        <v>9.72748216733509</v>
      </c>
      <c r="MA10" s="15" t="n">
        <f aca="false">Inputs!$B$54*H10/(Inputs!$B$35*F10+E10*H10^2/(PI()*LZ10*Inputs!$B$36))</f>
        <v>19.084897327896</v>
      </c>
      <c r="MB10" s="15" t="n">
        <f aca="false">EXP(-Inputs!$B$11*Inputs!$B$14*Inputs!$B$17/(Inputs!$B$51*MA10*Inputs!$B$16))</f>
        <v>0.750864386702729</v>
      </c>
      <c r="MC10" s="15" t="n">
        <f aca="false">Inputs!$B$50*Inputs!$B$18*MB10*Inputs!$B$19</f>
        <v>0.733687785235552</v>
      </c>
      <c r="MD10" s="15" t="n">
        <f aca="false">1-MC10</f>
        <v>0.266312214764448</v>
      </c>
      <c r="ME10" s="15" t="n">
        <f aca="false">Inputs!$B$20*MD10</f>
        <v>0.00798936644293345</v>
      </c>
      <c r="MF10" s="15" t="n">
        <f aca="false">0.8*(1-Inputs!$B$50)*(MC10-ME10)</f>
        <v>0.00174792301709125</v>
      </c>
      <c r="MG10" s="15" t="n">
        <f aca="false">MC10-ME10-MF10</f>
        <v>0.723950495775527</v>
      </c>
      <c r="MH10" s="15" t="n">
        <f aca="false">MG10*(1-Inputs!$B$18*EXP(-Inputs!$B$21*Inputs!$B$14*Inputs!$B$17/(Inputs!$B$22*Inputs!$B$23*Inputs!$B$24*MA10*Inputs!$B$16))*Inputs!$B$19)</f>
        <v>0.0263342978986244</v>
      </c>
      <c r="MI10" s="15" t="n">
        <f aca="false">(MG10-MH10)*(1-EXP(-Inputs!$B$25*Inputs!$B$14*Inputs!$B$17*Inputs!$B$26/(MA10*Inputs!$B$16/0.866)))</f>
        <v>0.00759130701723484</v>
      </c>
      <c r="MJ10" s="15" t="n">
        <f aca="false">(MG10-MH10-MI10)*(1-Inputs!$B$19)</f>
        <v>0.00345012445429834</v>
      </c>
      <c r="MK10" s="15" t="n">
        <f aca="false">(MD10+ME10+MF10+MH10+MI10+MJ10)*(1+Inputs!$B$27)</f>
        <v>0.314365509295414</v>
      </c>
      <c r="ML10" s="15" t="n">
        <f aca="false">Inputs!$B$52/(1-MK10-G10)</f>
        <v>193431.349205224</v>
      </c>
      <c r="MM10" s="15" t="n">
        <f aca="false">ML10/Inputs!$B$34</f>
        <v>322.385582008707</v>
      </c>
      <c r="MN10" s="15" t="n">
        <f aca="false">B10^2/MM10</f>
        <v>9.72748216734862</v>
      </c>
      <c r="MO10" s="15" t="n">
        <f aca="false">Inputs!$B$54*H10/(Inputs!$B$35*F10+E10*H10^2/(PI()*MN10*Inputs!$B$36))</f>
        <v>19.0848973279035</v>
      </c>
      <c r="MP10" s="15" t="n">
        <f aca="false">EXP(-Inputs!$B$11*Inputs!$B$14*Inputs!$B$17/(Inputs!$B$51*MO10*Inputs!$B$16))</f>
        <v>0.750864386702813</v>
      </c>
      <c r="MQ10" s="15" t="n">
        <f aca="false">Inputs!$B$50*Inputs!$B$18*MP10*Inputs!$B$19</f>
        <v>0.733687785235633</v>
      </c>
      <c r="MR10" s="15" t="n">
        <f aca="false">1-MQ10</f>
        <v>0.266312214764367</v>
      </c>
      <c r="MS10" s="15" t="n">
        <f aca="false">Inputs!$B$20*MR10</f>
        <v>0.007989366442931</v>
      </c>
      <c r="MT10" s="15" t="n">
        <f aca="false">0.8*(1-Inputs!$B$50)*(MQ10-MS10)</f>
        <v>0.00174792301709145</v>
      </c>
      <c r="MU10" s="15" t="n">
        <f aca="false">MQ10-MS10-MT10</f>
        <v>0.723950495775611</v>
      </c>
      <c r="MV10" s="15" t="n">
        <f aca="false">MU10*(1-Inputs!$B$18*EXP(-Inputs!$B$21*Inputs!$B$14*Inputs!$B$17/(Inputs!$B$22*Inputs!$B$23*Inputs!$B$24*MO10*Inputs!$B$16))*Inputs!$B$19)</f>
        <v>0.0263342978986227</v>
      </c>
      <c r="MW10" s="15" t="n">
        <f aca="false">(MU10-MV10)*(1-EXP(-Inputs!$B$25*Inputs!$B$14*Inputs!$B$17*Inputs!$B$26/(MO10*Inputs!$B$16/0.866)))</f>
        <v>0.00759130701723283</v>
      </c>
      <c r="MX10" s="15" t="n">
        <f aca="false">(MU10-MV10-MW10)*(1-Inputs!$B$19)</f>
        <v>0.00345012445429878</v>
      </c>
      <c r="MY10" s="15" t="n">
        <f aca="false">(MR10+MS10+MT10+MV10+MW10+MX10)*(1+Inputs!$B$27)</f>
        <v>0.314365509295327</v>
      </c>
      <c r="MZ10" s="15" t="n">
        <f aca="false">Inputs!$B$52/(1-MY10-G10)</f>
        <v>193431.349205124</v>
      </c>
      <c r="NA10" s="15" t="n">
        <f aca="false">MZ10/Inputs!$B$34</f>
        <v>322.38558200854</v>
      </c>
      <c r="NB10" s="15" t="n">
        <f aca="false">B10^2/NA10</f>
        <v>9.72748216735364</v>
      </c>
      <c r="NC10" s="15" t="n">
        <f aca="false">Inputs!$B$54*H10/(Inputs!$B$35*F10+E10*H10^2/(PI()*NB10*Inputs!$B$36))</f>
        <v>19.0848973279062</v>
      </c>
      <c r="ND10" s="15" t="n">
        <f aca="false">EXP(-Inputs!$B$11*Inputs!$B$14*Inputs!$B$17/(Inputs!$B$51*NC10*Inputs!$B$16))</f>
        <v>0.750864386702844</v>
      </c>
      <c r="NE10" s="15" t="n">
        <f aca="false">Inputs!$B$50*Inputs!$B$18*ND10*Inputs!$B$19</f>
        <v>0.733687785235664</v>
      </c>
      <c r="NF10" s="15" t="n">
        <f aca="false">1-NE10</f>
        <v>0.266312214764336</v>
      </c>
      <c r="NG10" s="15" t="n">
        <f aca="false">Inputs!$B$20*NF10</f>
        <v>0.00798936644293009</v>
      </c>
      <c r="NH10" s="15" t="n">
        <f aca="false">0.8*(1-Inputs!$B$50)*(NE10-NG10)</f>
        <v>0.00174792301709153</v>
      </c>
      <c r="NI10" s="15" t="n">
        <f aca="false">NE10-NG10-NH10</f>
        <v>0.723950495775642</v>
      </c>
      <c r="NJ10" s="15" t="n">
        <f aca="false">NI10*(1-Inputs!$B$18*EXP(-Inputs!$B$21*Inputs!$B$14*Inputs!$B$17/(Inputs!$B$22*Inputs!$B$23*Inputs!$B$24*NC10*Inputs!$B$16))*Inputs!$B$19)</f>
        <v>0.0263342978986223</v>
      </c>
      <c r="NK10" s="15" t="n">
        <f aca="false">(NI10-NJ10)*(1-EXP(-Inputs!$B$25*Inputs!$B$14*Inputs!$B$17*Inputs!$B$26/(NC10*Inputs!$B$16/0.866)))</f>
        <v>0.00759130701723209</v>
      </c>
      <c r="NL10" s="15" t="n">
        <f aca="false">(NI10-NJ10-NK10)*(1-Inputs!$B$19)</f>
        <v>0.00345012445429894</v>
      </c>
      <c r="NM10" s="15" t="n">
        <f aca="false">(NF10+NG10+NH10+NJ10+NK10+NL10)*(1+Inputs!$B$27)</f>
        <v>0.314365509295295</v>
      </c>
      <c r="NN10" s="15" t="n">
        <f aca="false">Inputs!$B$52/(1-NM10-G10)</f>
        <v>193431.349205087</v>
      </c>
    </row>
    <row r="11" customFormat="false" ht="15" hidden="false" customHeight="false" outlineLevel="0" collapsed="false">
      <c r="A11" s="21" t="s">
        <v>501</v>
      </c>
      <c r="B11" s="21" t="n">
        <v>56</v>
      </c>
      <c r="C11" s="22" t="n">
        <v>0.25</v>
      </c>
      <c r="D11" s="23" t="n">
        <f aca="false">B11*C11</f>
        <v>14</v>
      </c>
      <c r="E11" s="24" t="n">
        <f aca="false">IF(C11=0,1,(1+0.45*C11)/(1.04+2.81*C11))</f>
        <v>0.63845050215208</v>
      </c>
      <c r="F11" s="24" t="n">
        <f aca="false">1+Inputs!$B$42*D11</f>
        <v>1.07</v>
      </c>
      <c r="G11" s="25" t="n">
        <f aca="false">Inputs!$B$31+Inputs!$B$43*(B11/Inputs!$B$32-1)+Inputs!$B$44+Inputs!$B$45*D11</f>
        <v>0.51865</v>
      </c>
      <c r="H11" s="22" t="n">
        <f aca="false">Inputs!$B$38</f>
        <v>0.5</v>
      </c>
      <c r="I11" s="23" t="n">
        <f aca="false">Inputs!$B$40</f>
        <v>2.4</v>
      </c>
      <c r="J11" s="26" t="n">
        <f aca="false">NN11/Inputs!$B$34</f>
        <v>322.255065117206</v>
      </c>
      <c r="K11" s="23" t="n">
        <f aca="false">B11^2/J11</f>
        <v>9.73142190599677</v>
      </c>
      <c r="L11" s="23" t="n">
        <f aca="false">2*K11</f>
        <v>19.4628438119935</v>
      </c>
      <c r="M11" s="22" t="n">
        <f aca="false">NC11</f>
        <v>19.2343944846633</v>
      </c>
      <c r="N11" s="23" t="n">
        <f aca="false">B11/SQRT(E11)</f>
        <v>70.0848923437246</v>
      </c>
      <c r="O11" s="24" t="n">
        <f aca="false">NM11</f>
        <v>0.312617198297648</v>
      </c>
      <c r="P11" s="23" t="n">
        <f aca="false">NN11/1000</f>
        <v>193.353039070324</v>
      </c>
      <c r="Q11" s="23" t="n">
        <f aca="false">G11*NN11/1000</f>
        <v>100.282553713823</v>
      </c>
      <c r="R11" s="23" t="n">
        <f aca="false">NM11*NN11/1000</f>
        <v>60.4454853565004</v>
      </c>
      <c r="S11" s="23" t="n">
        <f aca="false">NM11*NN11/Inputs!$B$28/1000</f>
        <v>80.5939804753339</v>
      </c>
      <c r="T11" s="27" t="n">
        <f aca="false">R11/Sweep!$R$5-1</f>
        <v>-0.0328199528588629</v>
      </c>
      <c r="U11" s="27" t="n">
        <f aca="false">R11/SUMIFS(Sweep!$R:$R,Sweep!$A:$A,"Conventional",Sweep!$B:$B,B11)-1</f>
        <v>-0.24703323722301</v>
      </c>
      <c r="V11" s="26" t="n">
        <f aca="false">2*0.54*(J11/2)^1.5/SQRT(L11)*Inputs!$B$46*Inputs!$B$47</f>
        <v>46.8151966956398</v>
      </c>
      <c r="W11" s="28" t="n">
        <f aca="false">MIN(1,V11/S11)</f>
        <v>0.580877088084362</v>
      </c>
      <c r="X11" s="26" t="n">
        <f aca="false">1.23*SQRT(2*Inputs!$B$41*NN11*Inputs!$B$49/(1.225*J11*I11))/0.5144</f>
        <v>133.62967568068</v>
      </c>
      <c r="Y11" s="29" t="n">
        <f aca="false">(11000+6341.6*LN(0.36392/(2*Inputs!$B$50*Inputs!$B$18*(1+ND11)/2*Inputs!$B$34*Inputs!$B$49/((Inputs!$B$12*295.07)^2*H11))))/0.3048</f>
        <v>38630.6789894972</v>
      </c>
      <c r="Z11" s="26" t="n">
        <f aca="false">NN11-MZ11</f>
        <v>-2.37778294831514E-008</v>
      </c>
      <c r="AA11" s="30" t="str">
        <f aca="false">IF(ABS(NN11-MZ11)&lt;10,"Yes","No")</f>
        <v>Yes</v>
      </c>
      <c r="AC11" s="15" t="n">
        <f aca="false">Inputs!$B$52/(1-0.3154-G11)/Inputs!$B$34</f>
        <v>327.658933413679</v>
      </c>
      <c r="AD11" s="15" t="n">
        <f aca="false">B11^2/AC11</f>
        <v>9.57092781609196</v>
      </c>
      <c r="AE11" s="15" t="n">
        <f aca="false">Inputs!$B$54*H11/(Inputs!$B$35*F11+E11*H11^2/(PI()*AD11*Inputs!$B$36))</f>
        <v>19.1496060374387</v>
      </c>
      <c r="AF11" s="15" t="n">
        <f aca="false">EXP(-Inputs!$B$11*Inputs!$B$14*Inputs!$B$17/(Inputs!$B$51*AE11*Inputs!$B$16))</f>
        <v>0.751591739475041</v>
      </c>
      <c r="AG11" s="15" t="n">
        <f aca="false">Inputs!$B$50*Inputs!$B$18*AF11*Inputs!$B$19</f>
        <v>0.734398499252694</v>
      </c>
      <c r="AH11" s="15" t="n">
        <f aca="false">1-AG11</f>
        <v>0.265601500747306</v>
      </c>
      <c r="AI11" s="15" t="n">
        <f aca="false">Inputs!$B$20*AH11</f>
        <v>0.00796804502241918</v>
      </c>
      <c r="AJ11" s="15" t="n">
        <f aca="false">0.8*(1-Inputs!$B$50)*(AG11-AI11)</f>
        <v>0.00174968620350267</v>
      </c>
      <c r="AK11" s="15" t="n">
        <f aca="false">AG11-AI11-AJ11</f>
        <v>0.724680768026772</v>
      </c>
      <c r="AL11" s="15" t="n">
        <f aca="false">AK11*(1-Inputs!$B$18*EXP(-Inputs!$B$21*Inputs!$B$14*Inputs!$B$17/(Inputs!$B$22*Inputs!$B$23*Inputs!$B$24*AE11*Inputs!$B$16))*Inputs!$B$19)</f>
        <v>0.0263209165705579</v>
      </c>
      <c r="AM11" s="15" t="n">
        <f aca="false">(AK11-AL11)*(1-EXP(-Inputs!$B$25*Inputs!$B$14*Inputs!$B$17*Inputs!$B$26/(AE11*Inputs!$B$16/0.866)))</f>
        <v>0.00757385980876506</v>
      </c>
      <c r="AN11" s="15" t="n">
        <f aca="false">(AK11-AL11-AM11)*(1-Inputs!$B$19)</f>
        <v>0.00345392995823725</v>
      </c>
      <c r="AO11" s="15" t="n">
        <f aca="false">(AH11+AI11+AJ11+AL11+AM11+AN11)*(1+Inputs!$B$27)</f>
        <v>0.31360594212572</v>
      </c>
      <c r="AP11" s="15" t="n">
        <f aca="false">Inputs!$B$52/(1-AO11-G11)</f>
        <v>194492.731447165</v>
      </c>
      <c r="AQ11" s="15" t="n">
        <f aca="false">AP11/Inputs!$B$34</f>
        <v>324.154552411942</v>
      </c>
      <c r="AR11" s="15" t="n">
        <f aca="false">B11^2/AQ11</f>
        <v>9.67439752632168</v>
      </c>
      <c r="AS11" s="15" t="n">
        <f aca="false">Inputs!$B$54*H11/(Inputs!$B$35*F11+E11*H11^2/(PI()*AR11*Inputs!$B$36))</f>
        <v>19.2045054696229</v>
      </c>
      <c r="AT11" s="15" t="n">
        <f aca="false">EXP(-Inputs!$B$11*Inputs!$B$14*Inputs!$B$17/(Inputs!$B$51*AS11*Inputs!$B$16))</f>
        <v>0.752205535987425</v>
      </c>
      <c r="AU11" s="15" t="n">
        <f aca="false">Inputs!$B$50*Inputs!$B$18*AT11*Inputs!$B$19</f>
        <v>0.734998254696861</v>
      </c>
      <c r="AV11" s="15" t="n">
        <f aca="false">1-AU11</f>
        <v>0.265001745303139</v>
      </c>
      <c r="AW11" s="15" t="n">
        <f aca="false">Inputs!$B$20*AV11</f>
        <v>0.00795005235909417</v>
      </c>
      <c r="AX11" s="15" t="n">
        <f aca="false">0.8*(1-Inputs!$B$50)*(AU11-AW11)</f>
        <v>0.00175117411653636</v>
      </c>
      <c r="AY11" s="15" t="n">
        <f aca="false">AU11-AW11-AX11</f>
        <v>0.72529702822123</v>
      </c>
      <c r="AZ11" s="15" t="n">
        <f aca="false">AY11*(1-Inputs!$B$18*EXP(-Inputs!$B$21*Inputs!$B$14*Inputs!$B$17/(Inputs!$B$22*Inputs!$B$23*Inputs!$B$24*AS11*Inputs!$B$16))*Inputs!$B$19)</f>
        <v>0.0263095900487126</v>
      </c>
      <c r="BA11" s="15" t="n">
        <f aca="false">(AY11-AZ11)*(1-EXP(-Inputs!$B$25*Inputs!$B$14*Inputs!$B$17*Inputs!$B$26/(AS11*Inputs!$B$16/0.866)))</f>
        <v>0.00755911306387156</v>
      </c>
      <c r="BB11" s="15" t="n">
        <f aca="false">(AY11-AZ11-BA11)*(1-Inputs!$B$19)</f>
        <v>0.00345714162554323</v>
      </c>
      <c r="BC11" s="15" t="n">
        <f aca="false">(AV11+AW11+AX11+AZ11+BA11+BB11)*(1+Inputs!$B$27)</f>
        <v>0.312964902966448</v>
      </c>
      <c r="BD11" s="15" t="n">
        <f aca="false">Inputs!$B$52/(1-BC11-G11)</f>
        <v>193752.300974113</v>
      </c>
      <c r="BE11" s="15" t="n">
        <f aca="false">BD11/Inputs!$B$34</f>
        <v>322.920501623521</v>
      </c>
      <c r="BF11" s="15" t="n">
        <f aca="false">B11^2/BE11</f>
        <v>9.71136853879945</v>
      </c>
      <c r="BG11" s="15" t="n">
        <f aca="false">Inputs!$B$54*H11/(Inputs!$B$35*F11+E11*H11^2/(PI()*BF11*Inputs!$B$36))</f>
        <v>19.223913055615</v>
      </c>
      <c r="BH11" s="15" t="n">
        <f aca="false">EXP(-Inputs!$B$11*Inputs!$B$14*Inputs!$B$17/(Inputs!$B$51*BG11*Inputs!$B$16))</f>
        <v>0.752421800772775</v>
      </c>
      <c r="BI11" s="15" t="n">
        <f aca="false">Inputs!$B$50*Inputs!$B$18*BH11*Inputs!$B$19</f>
        <v>0.735209572258592</v>
      </c>
      <c r="BJ11" s="15" t="n">
        <f aca="false">1-BI11</f>
        <v>0.264790427741409</v>
      </c>
      <c r="BK11" s="15" t="n">
        <f aca="false">Inputs!$B$20*BJ11</f>
        <v>0.00794371283224226</v>
      </c>
      <c r="BL11" s="15" t="n">
        <f aca="false">0.8*(1-Inputs!$B$50)*(BI11-BK11)</f>
        <v>0.00175169836714118</v>
      </c>
      <c r="BM11" s="15" t="n">
        <f aca="false">BI11-BK11-BL11</f>
        <v>0.725514161059208</v>
      </c>
      <c r="BN11" s="15" t="n">
        <f aca="false">BM11*(1-Inputs!$B$18*EXP(-Inputs!$B$21*Inputs!$B$14*Inputs!$B$17/(Inputs!$B$22*Inputs!$B$23*Inputs!$B$24*BG11*Inputs!$B$16))*Inputs!$B$19)</f>
        <v>0.0263055917874878</v>
      </c>
      <c r="BO11" s="15" t="n">
        <f aca="false">(BM11-BN11)*(1-EXP(-Inputs!$B$25*Inputs!$B$14*Inputs!$B$17*Inputs!$B$26/(BG11*Inputs!$B$16/0.866)))</f>
        <v>0.00755391209371826</v>
      </c>
      <c r="BP11" s="15" t="n">
        <f aca="false">(BM11-BN11-BO11)*(1-Inputs!$B$19)</f>
        <v>0.00345827328589001</v>
      </c>
      <c r="BQ11" s="15" t="n">
        <f aca="false">(BJ11+BK11+BL11+BN11+BO11+BP11)*(1+Inputs!$B$27)</f>
        <v>0.312739026956212</v>
      </c>
      <c r="BR11" s="15" t="n">
        <f aca="false">Inputs!$B$52/(1-BQ11-G11)</f>
        <v>193492.744932604</v>
      </c>
      <c r="BS11" s="15" t="n">
        <f aca="false">BR11/Inputs!$B$34</f>
        <v>322.487908221007</v>
      </c>
      <c r="BT11" s="15" t="n">
        <f aca="false">B11^2/BS11</f>
        <v>9.72439561315532</v>
      </c>
      <c r="BU11" s="15" t="n">
        <f aca="false">Inputs!$B$54*H11/(Inputs!$B$35*F11+E11*H11^2/(PI()*BT11*Inputs!$B$36))</f>
        <v>19.2307256247153</v>
      </c>
      <c r="BV11" s="15" t="n">
        <f aca="false">EXP(-Inputs!$B$11*Inputs!$B$14*Inputs!$B$17/(Inputs!$B$51*BU11*Inputs!$B$16))</f>
        <v>0.752497626567297</v>
      </c>
      <c r="BW11" s="15" t="n">
        <f aca="false">Inputs!$B$50*Inputs!$B$18*BV11*Inputs!$B$19</f>
        <v>0.735283663479632</v>
      </c>
      <c r="BX11" s="15" t="n">
        <f aca="false">1-BW11</f>
        <v>0.264716336520368</v>
      </c>
      <c r="BY11" s="15" t="n">
        <f aca="false">Inputs!$B$20*BX11</f>
        <v>0.00794149009561105</v>
      </c>
      <c r="BZ11" s="15" t="n">
        <f aca="false">0.8*(1-Inputs!$B$50)*(BW11-BY11)</f>
        <v>0.00175188217755014</v>
      </c>
      <c r="CA11" s="15" t="n">
        <f aca="false">BW11-BY11-BZ11</f>
        <v>0.72559029120647</v>
      </c>
      <c r="CB11" s="15" t="n">
        <f aca="false">CA11*(1-Inputs!$B$18*EXP(-Inputs!$B$21*Inputs!$B$14*Inputs!$B$17/(Inputs!$B$22*Inputs!$B$23*Inputs!$B$24*BU11*Inputs!$B$16))*Inputs!$B$19)</f>
        <v>0.0263041890125048</v>
      </c>
      <c r="CC11" s="15" t="n">
        <f aca="false">(CA11-CB11)*(1-EXP(-Inputs!$B$25*Inputs!$B$14*Inputs!$B$17*Inputs!$B$26/(BU11*Inputs!$B$16/0.866)))</f>
        <v>0.00755208792267382</v>
      </c>
      <c r="CD11" s="15" t="n">
        <f aca="false">(CA11-CB11-CC11)*(1-Inputs!$B$19)</f>
        <v>0.00345867007135646</v>
      </c>
      <c r="CE11" s="15" t="n">
        <f aca="false">(BX11+BY11+BZ11+CB11+CC11+CD11)*(1+Inputs!$B$27)</f>
        <v>0.312659829767465</v>
      </c>
      <c r="CF11" s="15" t="n">
        <f aca="false">Inputs!$B$52/(1-CE11-G11)</f>
        <v>193401.90335351</v>
      </c>
      <c r="CG11" s="15" t="n">
        <f aca="false">CF11/Inputs!$B$34</f>
        <v>322.336505589184</v>
      </c>
      <c r="CH11" s="15" t="n">
        <f aca="false">B11^2/CG11</f>
        <v>9.72896319722723</v>
      </c>
      <c r="CI11" s="15" t="n">
        <f aca="false">Inputs!$B$54*H11/(Inputs!$B$35*F11+E11*H11^2/(PI()*CH11*Inputs!$B$36))</f>
        <v>19.2331110850503</v>
      </c>
      <c r="CJ11" s="15" t="n">
        <f aca="false">EXP(-Inputs!$B$11*Inputs!$B$14*Inputs!$B$17/(Inputs!$B$51*CI11*Inputs!$B$16))</f>
        <v>0.752524166513782</v>
      </c>
      <c r="CK11" s="15" t="n">
        <f aca="false">Inputs!$B$50*Inputs!$B$18*CJ11*Inputs!$B$19</f>
        <v>0.735309596304389</v>
      </c>
      <c r="CL11" s="15" t="n">
        <f aca="false">1-CK11</f>
        <v>0.264690403695611</v>
      </c>
      <c r="CM11" s="15" t="n">
        <f aca="false">Inputs!$B$20*CL11</f>
        <v>0.00794071211086832</v>
      </c>
      <c r="CN11" s="15" t="n">
        <f aca="false">0.8*(1-Inputs!$B$50)*(CK11-CM11)</f>
        <v>0.00175194651341959</v>
      </c>
      <c r="CO11" s="15" t="n">
        <f aca="false">CK11-CM11-CN11</f>
        <v>0.725616937680101</v>
      </c>
      <c r="CP11" s="15" t="n">
        <f aca="false">CO11*(1-Inputs!$B$18*EXP(-Inputs!$B$21*Inputs!$B$14*Inputs!$B$17/(Inputs!$B$22*Inputs!$B$23*Inputs!$B$24*CI11*Inputs!$B$16))*Inputs!$B$19)</f>
        <v>0.0263036979111319</v>
      </c>
      <c r="CQ11" s="15" t="n">
        <f aca="false">(CO11-CP11)*(1-EXP(-Inputs!$B$25*Inputs!$B$14*Inputs!$B$17*Inputs!$B$26/(CI11*Inputs!$B$16/0.866)))</f>
        <v>0.00755144936343418</v>
      </c>
      <c r="CR11" s="15" t="n">
        <f aca="false">(CO11-CP11-CQ11)*(1-Inputs!$B$19)</f>
        <v>0.00345880895202768</v>
      </c>
      <c r="CS11" s="15" t="n">
        <f aca="false">(CL11+CM11+CN11+CP11+CQ11+CR11)*(1+Inputs!$B$27)</f>
        <v>0.312632109602132</v>
      </c>
      <c r="CT11" s="15" t="n">
        <f aca="false">Inputs!$B$52/(1-CS11-G11)</f>
        <v>193370.127631777</v>
      </c>
      <c r="CU11" s="15" t="n">
        <f aca="false">CT11/Inputs!$B$34</f>
        <v>322.283546052962</v>
      </c>
      <c r="CV11" s="15" t="n">
        <f aca="false">B11^2/CU11</f>
        <v>9.73056191793498</v>
      </c>
      <c r="CW11" s="15" t="n">
        <f aca="false">Inputs!$B$54*H11/(Inputs!$B$35*F11+E11*H11^2/(PI()*CV11*Inputs!$B$36))</f>
        <v>19.2339456413907</v>
      </c>
      <c r="CX11" s="15" t="n">
        <f aca="false">EXP(-Inputs!$B$11*Inputs!$B$14*Inputs!$B$17/(Inputs!$B$51*CW11*Inputs!$B$16))</f>
        <v>0.752533450214443</v>
      </c>
      <c r="CY11" s="15" t="n">
        <f aca="false">Inputs!$B$50*Inputs!$B$18*CX11*Inputs!$B$19</f>
        <v>0.735318667633244</v>
      </c>
      <c r="CZ11" s="15" t="n">
        <f aca="false">1-CY11</f>
        <v>0.264681332366757</v>
      </c>
      <c r="DA11" s="15" t="n">
        <f aca="false">Inputs!$B$20*CZ11</f>
        <v>0.0079404399710027</v>
      </c>
      <c r="DB11" s="15" t="n">
        <f aca="false">0.8*(1-Inputs!$B$50)*(CY11-DA11)</f>
        <v>0.0017519690181731</v>
      </c>
      <c r="DC11" s="15" t="n">
        <f aca="false">CY11-DA11-DB11</f>
        <v>0.725626258644068</v>
      </c>
      <c r="DD11" s="15" t="n">
        <f aca="false">DC11*(1-Inputs!$B$18*EXP(-Inputs!$B$21*Inputs!$B$14*Inputs!$B$17/(Inputs!$B$22*Inputs!$B$23*Inputs!$B$24*CW11*Inputs!$B$16))*Inputs!$B$19)</f>
        <v>0.0263035261095159</v>
      </c>
      <c r="DE11" s="15" t="n">
        <f aca="false">(DC11-DD11)*(1-EXP(-Inputs!$B$25*Inputs!$B$14*Inputs!$B$17*Inputs!$B$26/(CW11*Inputs!$B$16/0.866)))</f>
        <v>0.00755122598529352</v>
      </c>
      <c r="DF11" s="15" t="n">
        <f aca="false">(DC11-DD11-DE11)*(1-Inputs!$B$19)</f>
        <v>0.00345885753274629</v>
      </c>
      <c r="DG11" s="15" t="n">
        <f aca="false">(CZ11+DA11+DB11+DD11+DE11+DF11)*(1+Inputs!$B$27)</f>
        <v>0.312622413036438</v>
      </c>
      <c r="DH11" s="15" t="n">
        <f aca="false">Inputs!$B$52/(1-DG11-G11)</f>
        <v>193359.014889756</v>
      </c>
      <c r="DI11" s="15" t="n">
        <f aca="false">DH11/Inputs!$B$34</f>
        <v>322.265024816261</v>
      </c>
      <c r="DJ11" s="15" t="n">
        <f aca="false">B11^2/DI11</f>
        <v>9.73112115342951</v>
      </c>
      <c r="DK11" s="15" t="n">
        <f aca="false">Inputs!$B$54*H11/(Inputs!$B$35*F11+E11*H11^2/(PI()*DJ11*Inputs!$B$36))</f>
        <v>19.234237523116</v>
      </c>
      <c r="DL11" s="15" t="n">
        <f aca="false">EXP(-Inputs!$B$11*Inputs!$B$14*Inputs!$B$17/(Inputs!$B$51*DK11*Inputs!$B$16))</f>
        <v>0.752536696977184</v>
      </c>
      <c r="DM11" s="15" t="n">
        <f aca="false">Inputs!$B$50*Inputs!$B$18*DL11*Inputs!$B$19</f>
        <v>0.735321840123784</v>
      </c>
      <c r="DN11" s="15" t="n">
        <f aca="false">1-DM11</f>
        <v>0.264678159876216</v>
      </c>
      <c r="DO11" s="15" t="n">
        <f aca="false">Inputs!$B$20*DN11</f>
        <v>0.00794034479628647</v>
      </c>
      <c r="DP11" s="15" t="n">
        <f aca="false">0.8*(1-Inputs!$B$50)*(DM11-DO11)</f>
        <v>0.00175197688869777</v>
      </c>
      <c r="DQ11" s="15" t="n">
        <f aca="false">DM11-DO11-DP11</f>
        <v>0.7256295184388</v>
      </c>
      <c r="DR11" s="15" t="n">
        <f aca="false">DQ11*(1-Inputs!$B$18*EXP(-Inputs!$B$21*Inputs!$B$14*Inputs!$B$17/(Inputs!$B$22*Inputs!$B$23*Inputs!$B$24*DK11*Inputs!$B$16))*Inputs!$B$19)</f>
        <v>0.0263034660241216</v>
      </c>
      <c r="DS11" s="15" t="n">
        <f aca="false">(DQ11-DR11)*(1-EXP(-Inputs!$B$25*Inputs!$B$14*Inputs!$B$17*Inputs!$B$26/(DK11*Inputs!$B$16/0.866)))</f>
        <v>0.00755114786272217</v>
      </c>
      <c r="DT11" s="15" t="n">
        <f aca="false">(DQ11-DR11-DS11)*(1-Inputs!$B$19)</f>
        <v>0.00345887452275979</v>
      </c>
      <c r="DU11" s="15" t="n">
        <f aca="false">(DN11+DO11+DP11+DR11+DS11+DT11)*(1+Inputs!$B$27)</f>
        <v>0.312619021880716</v>
      </c>
      <c r="DV11" s="15" t="n">
        <f aca="false">Inputs!$B$52/(1-DU11-G11)</f>
        <v>193355.128759674</v>
      </c>
      <c r="DW11" s="15" t="n">
        <f aca="false">DV11/Inputs!$B$34</f>
        <v>322.258547932791</v>
      </c>
      <c r="DX11" s="15" t="n">
        <f aca="false">B11^2/DW11</f>
        <v>9.73131673346345</v>
      </c>
      <c r="DY11" s="15" t="n">
        <f aca="false">Inputs!$B$54*H11/(Inputs!$B$35*F11+E11*H11^2/(PI()*DX11*Inputs!$B$36))</f>
        <v>19.2343395963562</v>
      </c>
      <c r="DZ11" s="15" t="n">
        <f aca="false">EXP(-Inputs!$B$11*Inputs!$B$14*Inputs!$B$17/(Inputs!$B$51*DY11*Inputs!$B$16))</f>
        <v>0.752537832374646</v>
      </c>
      <c r="EA11" s="15" t="n">
        <f aca="false">Inputs!$B$50*Inputs!$B$18*DZ11*Inputs!$B$19</f>
        <v>0.735322949548155</v>
      </c>
      <c r="EB11" s="15" t="n">
        <f aca="false">1-EA11</f>
        <v>0.264677050451845</v>
      </c>
      <c r="EC11" s="15" t="n">
        <f aca="false">Inputs!$B$20*EB11</f>
        <v>0.00794031151355536</v>
      </c>
      <c r="ED11" s="15" t="n">
        <f aca="false">0.8*(1-Inputs!$B$50)*(EA11-EC11)</f>
        <v>0.00175197964103124</v>
      </c>
      <c r="EE11" s="15" t="n">
        <f aca="false">EA11-EC11-ED11</f>
        <v>0.725630658393568</v>
      </c>
      <c r="EF11" s="15" t="n">
        <f aca="false">EE11*(1-Inputs!$B$18*EXP(-Inputs!$B$21*Inputs!$B$14*Inputs!$B$17/(Inputs!$B$22*Inputs!$B$23*Inputs!$B$24*DY11*Inputs!$B$16))*Inputs!$B$19)</f>
        <v>0.0263034450119683</v>
      </c>
      <c r="EG11" s="15" t="n">
        <f aca="false">(EE11-EF11)*(1-EXP(-Inputs!$B$25*Inputs!$B$14*Inputs!$B$17*Inputs!$B$26/(DY11*Inputs!$B$16/0.866)))</f>
        <v>0.00755112054300843</v>
      </c>
      <c r="EH11" s="15" t="n">
        <f aca="false">(EE11-EF11-EG11)*(1-Inputs!$B$19)</f>
        <v>0.00345888046419296</v>
      </c>
      <c r="EI11" s="15" t="n">
        <f aca="false">(EB11+EC11+ED11+EF11+EG11+EH11)*(1+Inputs!$B$27)</f>
        <v>0.312617835988478</v>
      </c>
      <c r="EJ11" s="15" t="n">
        <f aca="false">Inputs!$B$52/(1-EI11-G11)</f>
        <v>193353.769811026</v>
      </c>
      <c r="EK11" s="15" t="n">
        <f aca="false">EJ11/Inputs!$B$34</f>
        <v>322.256283018376</v>
      </c>
      <c r="EL11" s="15" t="n">
        <f aca="false">B11^2/EK11</f>
        <v>9.73138512809438</v>
      </c>
      <c r="EM11" s="15" t="n">
        <f aca="false">Inputs!$B$54*H11/(Inputs!$B$35*F11+E11*H11^2/(PI()*EL11*Inputs!$B$36))</f>
        <v>19.2343752908087</v>
      </c>
      <c r="EN11" s="15" t="n">
        <f aca="false">EXP(-Inputs!$B$11*Inputs!$B$14*Inputs!$B$17/(Inputs!$B$51*EM11*Inputs!$B$16))</f>
        <v>0.752538229414474</v>
      </c>
      <c r="EO11" s="15" t="n">
        <f aca="false">Inputs!$B$50*Inputs!$B$18*EN11*Inputs!$B$19</f>
        <v>0.735323337505391</v>
      </c>
      <c r="EP11" s="15" t="n">
        <f aca="false">1-EO11</f>
        <v>0.264676662494609</v>
      </c>
      <c r="EQ11" s="15" t="n">
        <f aca="false">Inputs!$B$20*EP11</f>
        <v>0.00794029987483828</v>
      </c>
      <c r="ER11" s="15" t="n">
        <f aca="false">0.8*(1-Inputs!$B$50)*(EO11-EQ11)</f>
        <v>0.00175198060350125</v>
      </c>
      <c r="ES11" s="15" t="n">
        <f aca="false">EO11-EQ11-ER11</f>
        <v>0.725631057027051</v>
      </c>
      <c r="ET11" s="15" t="n">
        <f aca="false">ES11*(1-Inputs!$B$18*EXP(-Inputs!$B$21*Inputs!$B$14*Inputs!$B$17/(Inputs!$B$22*Inputs!$B$23*Inputs!$B$24*EM11*Inputs!$B$16))*Inputs!$B$19)</f>
        <v>0.0263034376641533</v>
      </c>
      <c r="EU11" s="15" t="n">
        <f aca="false">(ES11-ET11)*(1-EXP(-Inputs!$B$25*Inputs!$B$14*Inputs!$B$17*Inputs!$B$26/(EM11*Inputs!$B$16/0.866)))</f>
        <v>0.00755111098949572</v>
      </c>
      <c r="EV11" s="15" t="n">
        <f aca="false">(ES11-ET11-EU11)*(1-Inputs!$B$19)</f>
        <v>0.00345888254186701</v>
      </c>
      <c r="EW11" s="15" t="n">
        <f aca="false">(EP11+EQ11+ER11+ET11+EU11+EV11)*(1+Inputs!$B$27)</f>
        <v>0.31261742129097</v>
      </c>
      <c r="EX11" s="15" t="n">
        <f aca="false">Inputs!$B$52/(1-EW11-G11)</f>
        <v>193353.294601513</v>
      </c>
      <c r="EY11" s="15" t="n">
        <f aca="false">EX11/Inputs!$B$34</f>
        <v>322.255491002522</v>
      </c>
      <c r="EZ11" s="15" t="n">
        <f aca="false">B11^2/EY11</f>
        <v>9.73140904517733</v>
      </c>
      <c r="FA11" s="15" t="n">
        <f aca="false">Inputs!$B$54*H11/(Inputs!$B$35*F11+E11*H11^2/(PI()*EZ11*Inputs!$B$36))</f>
        <v>19.2343877728004</v>
      </c>
      <c r="FB11" s="15" t="n">
        <f aca="false">EXP(-Inputs!$B$11*Inputs!$B$14*Inputs!$B$17/(Inputs!$B$51*FA11*Inputs!$B$16))</f>
        <v>0.752538368255018</v>
      </c>
      <c r="FC11" s="15" t="n">
        <f aca="false">Inputs!$B$50*Inputs!$B$18*FB11*Inputs!$B$19</f>
        <v>0.735323473169851</v>
      </c>
      <c r="FD11" s="15" t="n">
        <f aca="false">1-FC11</f>
        <v>0.26467652683015</v>
      </c>
      <c r="FE11" s="15" t="n">
        <f aca="false">Inputs!$B$20*FD11</f>
        <v>0.00794029580490449</v>
      </c>
      <c r="FF11" s="15" t="n">
        <f aca="false">0.8*(1-Inputs!$B$50)*(FC11-FE11)</f>
        <v>0.00175198094006663</v>
      </c>
      <c r="FG11" s="15" t="n">
        <f aca="false">FC11-FE11-FF11</f>
        <v>0.725631196424879</v>
      </c>
      <c r="FH11" s="15" t="n">
        <f aca="false">FG11*(1-Inputs!$B$18*EXP(-Inputs!$B$21*Inputs!$B$14*Inputs!$B$17/(Inputs!$B$22*Inputs!$B$23*Inputs!$B$24*FA11*Inputs!$B$16))*Inputs!$B$19)</f>
        <v>0.0263034350946985</v>
      </c>
      <c r="FI11" s="15" t="n">
        <f aca="false">(FG11-FH11)*(1-EXP(-Inputs!$B$25*Inputs!$B$14*Inputs!$B$17*Inputs!$B$26/(FA11*Inputs!$B$16/0.866)))</f>
        <v>0.00755110764873324</v>
      </c>
      <c r="FJ11" s="15" t="n">
        <f aca="false">(FG11-FH11-FI11)*(1-Inputs!$B$19)</f>
        <v>0.00345888326840724</v>
      </c>
      <c r="FK11" s="15" t="n">
        <f aca="false">(FD11+FE11+FF11+FH11+FI11+FJ11)*(1+Inputs!$B$27)</f>
        <v>0.312617276275721</v>
      </c>
      <c r="FL11" s="15" t="n">
        <f aca="false">Inputs!$B$52/(1-FK11-G11)</f>
        <v>193353.128426418</v>
      </c>
      <c r="FM11" s="15" t="n">
        <f aca="false">FL11/Inputs!$B$34</f>
        <v>322.255214044031</v>
      </c>
      <c r="FN11" s="15" t="n">
        <f aca="false">B11^2/FM11</f>
        <v>9.73141740872351</v>
      </c>
      <c r="FO11" s="15" t="n">
        <f aca="false">Inputs!$B$54*H11/(Inputs!$B$35*F11+E11*H11^2/(PI()*FN11*Inputs!$B$36))</f>
        <v>19.2343921376078</v>
      </c>
      <c r="FP11" s="15" t="n">
        <f aca="false">EXP(-Inputs!$B$11*Inputs!$B$14*Inputs!$B$17/(Inputs!$B$51*FO11*Inputs!$B$16))</f>
        <v>0.752538416805906</v>
      </c>
      <c r="FQ11" s="15" t="n">
        <f aca="false">Inputs!$B$50*Inputs!$B$18*FP11*Inputs!$B$19</f>
        <v>0.735323520610099</v>
      </c>
      <c r="FR11" s="15" t="n">
        <f aca="false">1-FQ11</f>
        <v>0.264676479389901</v>
      </c>
      <c r="FS11" s="15" t="n">
        <f aca="false">Inputs!$B$20*FR11</f>
        <v>0.00794029438169703</v>
      </c>
      <c r="FT11" s="15" t="n">
        <f aca="false">0.8*(1-Inputs!$B$50)*(FQ11-FS11)</f>
        <v>0.00175198105775954</v>
      </c>
      <c r="FU11" s="15" t="n">
        <f aca="false">FQ11-FS11-FT11</f>
        <v>0.725631245170642</v>
      </c>
      <c r="FV11" s="15" t="n">
        <f aca="false">FU11*(1-Inputs!$B$18*EXP(-Inputs!$B$21*Inputs!$B$14*Inputs!$B$17/(Inputs!$B$22*Inputs!$B$23*Inputs!$B$24*FO11*Inputs!$B$16))*Inputs!$B$19)</f>
        <v>0.0263034341961904</v>
      </c>
      <c r="FW11" s="15" t="n">
        <f aca="false">(FU11-FV11)*(1-EXP(-Inputs!$B$25*Inputs!$B$14*Inputs!$B$17*Inputs!$B$26/(FO11*Inputs!$B$16/0.866)))</f>
        <v>0.00755110648050808</v>
      </c>
      <c r="FX11" s="15" t="n">
        <f aca="false">(FU11-FV11-FW11)*(1-Inputs!$B$19)</f>
        <v>0.00345888352246972</v>
      </c>
      <c r="FY11" s="15" t="n">
        <f aca="false">(FR11+FS11+FT11+FV11+FW11+FX11)*(1+Inputs!$B$27)</f>
        <v>0.312617225565611</v>
      </c>
      <c r="FZ11" s="15" t="n">
        <f aca="false">Inputs!$B$52/(1-FY11-G11)</f>
        <v>193353.07031703</v>
      </c>
      <c r="GA11" s="15" t="n">
        <f aca="false">FZ11/Inputs!$B$34</f>
        <v>322.255117195051</v>
      </c>
      <c r="GB11" s="15" t="n">
        <f aca="false">B11^2/GA11</f>
        <v>9.73142033335619</v>
      </c>
      <c r="GC11" s="15" t="n">
        <f aca="false">Inputs!$B$54*H11/(Inputs!$B$35*F11+E11*H11^2/(PI()*GB11*Inputs!$B$36))</f>
        <v>19.2343936639277</v>
      </c>
      <c r="GD11" s="15" t="n">
        <f aca="false">EXP(-Inputs!$B$11*Inputs!$B$14*Inputs!$B$17/(Inputs!$B$51*GC11*Inputs!$B$16))</f>
        <v>0.752538433783555</v>
      </c>
      <c r="GE11" s="15" t="n">
        <f aca="false">Inputs!$B$50*Inputs!$B$18*GD11*Inputs!$B$19</f>
        <v>0.735323537199371</v>
      </c>
      <c r="GF11" s="15" t="n">
        <f aca="false">1-GE11</f>
        <v>0.264676462800629</v>
      </c>
      <c r="GG11" s="15" t="n">
        <f aca="false">Inputs!$B$20*GF11</f>
        <v>0.00794029388401886</v>
      </c>
      <c r="GH11" s="15" t="n">
        <f aca="false">0.8*(1-Inputs!$B$50)*(GE11-GG11)</f>
        <v>0.00175198109891531</v>
      </c>
      <c r="GI11" s="15" t="n">
        <f aca="false">GE11-GG11-GH11</f>
        <v>0.725631262216437</v>
      </c>
      <c r="GJ11" s="15" t="n">
        <f aca="false">GI11*(1-Inputs!$B$18*EXP(-Inputs!$B$21*Inputs!$B$14*Inputs!$B$17/(Inputs!$B$22*Inputs!$B$23*Inputs!$B$24*GC11*Inputs!$B$16))*Inputs!$B$19)</f>
        <v>0.026303433881993</v>
      </c>
      <c r="GK11" s="15" t="n">
        <f aca="false">(GI11-GJ11)*(1-EXP(-Inputs!$B$25*Inputs!$B$14*Inputs!$B$17*Inputs!$B$26/(GC11*Inputs!$B$16/0.866)))</f>
        <v>0.0075511060719941</v>
      </c>
      <c r="GL11" s="15" t="n">
        <f aca="false">(GI11-GJ11-GK11)*(1-Inputs!$B$19)</f>
        <v>0.00345888361131225</v>
      </c>
      <c r="GM11" s="15" t="n">
        <f aca="false">(GF11+GG11+GH11+GJ11+GK11+GL11)*(1+Inputs!$B$27)</f>
        <v>0.312617207832909</v>
      </c>
      <c r="GN11" s="15" t="n">
        <f aca="false">Inputs!$B$52/(1-GM11-G11)</f>
        <v>193353.049996899</v>
      </c>
      <c r="GO11" s="15" t="n">
        <f aca="false">GN11/Inputs!$B$34</f>
        <v>322.255083328165</v>
      </c>
      <c r="GP11" s="15" t="n">
        <f aca="false">B11^2/GO11</f>
        <v>9.73142135606434</v>
      </c>
      <c r="GQ11" s="15" t="n">
        <f aca="false">Inputs!$B$54*H11/(Inputs!$B$35*F11+E11*H11^2/(PI()*GP11*Inputs!$B$36))</f>
        <v>19.2343941976629</v>
      </c>
      <c r="GR11" s="15" t="n">
        <f aca="false">EXP(-Inputs!$B$11*Inputs!$B$14*Inputs!$B$17/(Inputs!$B$51*GQ11*Inputs!$B$16))</f>
        <v>0.752538439720428</v>
      </c>
      <c r="GS11" s="15" t="n">
        <f aca="false">Inputs!$B$50*Inputs!$B$18*GR11*Inputs!$B$19</f>
        <v>0.735323543000434</v>
      </c>
      <c r="GT11" s="15" t="n">
        <f aca="false">1-GS11</f>
        <v>0.264676456999566</v>
      </c>
      <c r="GU11" s="15" t="n">
        <f aca="false">Inputs!$B$20*GT11</f>
        <v>0.00794029370998698</v>
      </c>
      <c r="GV11" s="15" t="n">
        <f aca="false">0.8*(1-Inputs!$B$50)*(GS11-GU11)</f>
        <v>0.00175198111330697</v>
      </c>
      <c r="GW11" s="15" t="n">
        <f aca="false">GS11-GU11-GV11</f>
        <v>0.72563126817714</v>
      </c>
      <c r="GX11" s="15" t="n">
        <f aca="false">GW11*(1-Inputs!$B$18*EXP(-Inputs!$B$21*Inputs!$B$14*Inputs!$B$17/(Inputs!$B$22*Inputs!$B$23*Inputs!$B$24*GQ11*Inputs!$B$16))*Inputs!$B$19)</f>
        <v>0.026303433772122</v>
      </c>
      <c r="GY11" s="15" t="n">
        <f aca="false">(GW11-GX11)*(1-EXP(-Inputs!$B$25*Inputs!$B$14*Inputs!$B$17*Inputs!$B$26/(GQ11*Inputs!$B$16/0.866)))</f>
        <v>0.00755110592914182</v>
      </c>
      <c r="GZ11" s="15" t="n">
        <f aca="false">(GW11-GX11-GY11)*(1-Inputs!$B$19)</f>
        <v>0.00345888364237938</v>
      </c>
      <c r="HA11" s="15" t="n">
        <f aca="false">(GT11+GU11+GV11+GX11+GY11+GZ11)*(1+Inputs!$B$27)</f>
        <v>0.312617201632003</v>
      </c>
      <c r="HB11" s="15" t="n">
        <f aca="false">Inputs!$B$52/(1-HA11-G11)</f>
        <v>193353.042891203</v>
      </c>
      <c r="HC11" s="15" t="n">
        <f aca="false">HB11/Inputs!$B$34</f>
        <v>322.255071485338</v>
      </c>
      <c r="HD11" s="15" t="n">
        <f aca="false">B11^2/HC11</f>
        <v>9.73142171369268</v>
      </c>
      <c r="HE11" s="15" t="n">
        <f aca="false">Inputs!$B$54*H11/(Inputs!$B$35*F11+E11*H11^2/(PI()*HD11*Inputs!$B$36))</f>
        <v>19.2343943843035</v>
      </c>
      <c r="HF11" s="15" t="n">
        <f aca="false">EXP(-Inputs!$B$11*Inputs!$B$14*Inputs!$B$17/(Inputs!$B$51*HE11*Inputs!$B$16))</f>
        <v>0.752538441796479</v>
      </c>
      <c r="HG11" s="15" t="n">
        <f aca="false">Inputs!$B$50*Inputs!$B$18*HF11*Inputs!$B$19</f>
        <v>0.735323545028993</v>
      </c>
      <c r="HH11" s="15" t="n">
        <f aca="false">1-HG11</f>
        <v>0.264676454971007</v>
      </c>
      <c r="HI11" s="15" t="n">
        <f aca="false">Inputs!$B$20*HH11</f>
        <v>0.00794029364913021</v>
      </c>
      <c r="HJ11" s="15" t="n">
        <f aca="false">0.8*(1-Inputs!$B$50)*(HG11-HI11)</f>
        <v>0.00175198111833955</v>
      </c>
      <c r="HK11" s="15" t="n">
        <f aca="false">HG11-HI11-HJ11</f>
        <v>0.725631270261523</v>
      </c>
      <c r="HL11" s="15" t="n">
        <f aca="false">HK11*(1-Inputs!$B$18*EXP(-Inputs!$B$21*Inputs!$B$14*Inputs!$B$17/(Inputs!$B$22*Inputs!$B$23*Inputs!$B$24*HE11*Inputs!$B$16))*Inputs!$B$19)</f>
        <v>0.0263034337337017</v>
      </c>
      <c r="HM11" s="15" t="n">
        <f aca="false">(HK11-HL11)*(1-EXP(-Inputs!$B$25*Inputs!$B$14*Inputs!$B$17*Inputs!$B$26/(HE11*Inputs!$B$16/0.866)))</f>
        <v>0.00755110587918815</v>
      </c>
      <c r="HN11" s="15" t="n">
        <f aca="false">(HK11-HL11-HM11)*(1-Inputs!$B$19)</f>
        <v>0.00345888365324317</v>
      </c>
      <c r="HO11" s="15" t="n">
        <f aca="false">(HH11+HI11+HJ11+HL11+HM11+HN11)*(1+Inputs!$B$27)</f>
        <v>0.312617199463624</v>
      </c>
      <c r="HP11" s="15" t="n">
        <f aca="false">Inputs!$B$52/(1-HO11-G11)</f>
        <v>193353.040406429</v>
      </c>
      <c r="HQ11" s="15" t="n">
        <f aca="false">HP11/Inputs!$B$34</f>
        <v>322.255067344049</v>
      </c>
      <c r="HR11" s="15" t="n">
        <f aca="false">B11^2/HQ11</f>
        <v>9.73142183875084</v>
      </c>
      <c r="HS11" s="15" t="n">
        <f aca="false">Inputs!$B$54*H11/(Inputs!$B$35*F11+E11*H11^2/(PI()*HR11*Inputs!$B$36))</f>
        <v>19.2343944495693</v>
      </c>
      <c r="HT11" s="15" t="n">
        <f aca="false">EXP(-Inputs!$B$11*Inputs!$B$14*Inputs!$B$17/(Inputs!$B$51*HS11*Inputs!$B$16))</f>
        <v>0.752538442522448</v>
      </c>
      <c r="HU11" s="15" t="n">
        <f aca="false">Inputs!$B$50*Inputs!$B$18*HT11*Inputs!$B$19</f>
        <v>0.735323545738355</v>
      </c>
      <c r="HV11" s="15" t="n">
        <f aca="false">1-HU11</f>
        <v>0.264676454261645</v>
      </c>
      <c r="HW11" s="15" t="n">
        <f aca="false">Inputs!$B$20*HV11</f>
        <v>0.00794029362784935</v>
      </c>
      <c r="HX11" s="15" t="n">
        <f aca="false">0.8*(1-Inputs!$B$50)*(HU11-HW11)</f>
        <v>0.00175198112009938</v>
      </c>
      <c r="HY11" s="15" t="n">
        <f aca="false">HU11-HW11-HX11</f>
        <v>0.725631270990406</v>
      </c>
      <c r="HZ11" s="15" t="n">
        <f aca="false">HY11*(1-Inputs!$B$18*EXP(-Inputs!$B$21*Inputs!$B$14*Inputs!$B$17/(Inputs!$B$22*Inputs!$B$23*Inputs!$B$24*HS11*Inputs!$B$16))*Inputs!$B$19)</f>
        <v>0.0263034337202665</v>
      </c>
      <c r="IA11" s="15" t="n">
        <f aca="false">(HY11-HZ11)*(1-EXP(-Inputs!$B$25*Inputs!$B$14*Inputs!$B$17*Inputs!$B$26/(HS11*Inputs!$B$16/0.866)))</f>
        <v>0.00755110586171997</v>
      </c>
      <c r="IB11" s="15" t="n">
        <f aca="false">(HY11-HZ11-IA11)*(1-Inputs!$B$19)</f>
        <v>0.0034588836570421</v>
      </c>
      <c r="IC11" s="15" t="n">
        <f aca="false">(HV11+HW11+HX11+HZ11+IA11+IB11)*(1+Inputs!$B$27)</f>
        <v>0.312617198705368</v>
      </c>
      <c r="ID11" s="15" t="n">
        <f aca="false">Inputs!$B$52/(1-IC11-G11)</f>
        <v>193353.039537535</v>
      </c>
      <c r="IE11" s="15" t="n">
        <f aca="false">ID11/Inputs!$B$34</f>
        <v>322.255065895892</v>
      </c>
      <c r="IF11" s="15" t="n">
        <f aca="false">B11^2/IE11</f>
        <v>9.73142188248212</v>
      </c>
      <c r="IG11" s="15" t="n">
        <f aca="false">Inputs!$B$54*H11/(Inputs!$B$35*F11+E11*H11^2/(PI()*IF11*Inputs!$B$36))</f>
        <v>19.234394472392</v>
      </c>
      <c r="IH11" s="15" t="n">
        <f aca="false">EXP(-Inputs!$B$11*Inputs!$B$14*Inputs!$B$17/(Inputs!$B$51*IG11*Inputs!$B$16))</f>
        <v>0.75253844277631</v>
      </c>
      <c r="II11" s="15" t="n">
        <f aca="false">Inputs!$B$50*Inputs!$B$18*IH11*Inputs!$B$19</f>
        <v>0.73532354598641</v>
      </c>
      <c r="IJ11" s="15" t="n">
        <f aca="false">1-II11</f>
        <v>0.26467645401359</v>
      </c>
      <c r="IK11" s="15" t="n">
        <f aca="false">Inputs!$B$20*IJ11</f>
        <v>0.0079402936204077</v>
      </c>
      <c r="IL11" s="15" t="n">
        <f aca="false">0.8*(1-Inputs!$B$50)*(II11-IK11)</f>
        <v>0.00175198112071477</v>
      </c>
      <c r="IM11" s="15" t="n">
        <f aca="false">II11-IK11-IL11</f>
        <v>0.725631271245288</v>
      </c>
      <c r="IN11" s="15" t="n">
        <f aca="false">IM11*(1-Inputs!$B$18*EXP(-Inputs!$B$21*Inputs!$B$14*Inputs!$B$17/(Inputs!$B$22*Inputs!$B$23*Inputs!$B$24*IG11*Inputs!$B$16))*Inputs!$B$19)</f>
        <v>0.0263034337155683</v>
      </c>
      <c r="IO11" s="15" t="n">
        <f aca="false">(IM11-IN11)*(1-EXP(-Inputs!$B$25*Inputs!$B$14*Inputs!$B$17*Inputs!$B$26/(IG11*Inputs!$B$16/0.866)))</f>
        <v>0.00755110585561157</v>
      </c>
      <c r="IP11" s="15" t="n">
        <f aca="false">(IM11-IN11-IO11)*(1-Inputs!$B$19)</f>
        <v>0.00345888365837054</v>
      </c>
      <c r="IQ11" s="15" t="n">
        <f aca="false">(IJ11+IK11+IL11+IN11+IO11+IP11)*(1+Inputs!$B$27)</f>
        <v>0.312617198440216</v>
      </c>
      <c r="IR11" s="15" t="n">
        <f aca="false">Inputs!$B$52/(1-IQ11-G11)</f>
        <v>193353.039233694</v>
      </c>
      <c r="IS11" s="15" t="n">
        <f aca="false">IR11/Inputs!$B$34</f>
        <v>322.255065389489</v>
      </c>
      <c r="IT11" s="15" t="n">
        <f aca="false">B11^2/IS11</f>
        <v>9.73142189777441</v>
      </c>
      <c r="IU11" s="15" t="n">
        <f aca="false">Inputs!$B$54*H11/(Inputs!$B$35*F11+E11*H11^2/(PI()*IT11*Inputs!$B$36))</f>
        <v>19.2343944803728</v>
      </c>
      <c r="IV11" s="15" t="n">
        <f aca="false">EXP(-Inputs!$B$11*Inputs!$B$14*Inputs!$B$17/(Inputs!$B$51*IU11*Inputs!$B$16))</f>
        <v>0.752538442865082</v>
      </c>
      <c r="IW11" s="15" t="n">
        <f aca="false">Inputs!$B$50*Inputs!$B$18*IV11*Inputs!$B$19</f>
        <v>0.735323546073152</v>
      </c>
      <c r="IX11" s="15" t="n">
        <f aca="false">1-IW11</f>
        <v>0.264676453926848</v>
      </c>
      <c r="IY11" s="15" t="n">
        <f aca="false">Inputs!$B$20*IX11</f>
        <v>0.00794029361780545</v>
      </c>
      <c r="IZ11" s="15" t="n">
        <f aca="false">0.8*(1-Inputs!$B$50)*(IW11-IY11)</f>
        <v>0.00175198112092997</v>
      </c>
      <c r="JA11" s="15" t="n">
        <f aca="false">IW11-IY11-IZ11</f>
        <v>0.725631271334416</v>
      </c>
      <c r="JB11" s="15" t="n">
        <f aca="false">JA11*(1-Inputs!$B$18*EXP(-Inputs!$B$21*Inputs!$B$14*Inputs!$B$17/(Inputs!$B$22*Inputs!$B$23*Inputs!$B$24*IU11*Inputs!$B$16))*Inputs!$B$19)</f>
        <v>0.0263034337139254</v>
      </c>
      <c r="JC11" s="15" t="n">
        <f aca="false">(JA11-JB11)*(1-EXP(-Inputs!$B$25*Inputs!$B$14*Inputs!$B$17*Inputs!$B$26/(IU11*Inputs!$B$16/0.866)))</f>
        <v>0.0075511058534755</v>
      </c>
      <c r="JD11" s="15" t="n">
        <f aca="false">(JA11-JB11-JC11)*(1-Inputs!$B$19)</f>
        <v>0.00345888365883508</v>
      </c>
      <c r="JE11" s="15" t="n">
        <f aca="false">(IX11+IY11+IZ11+JB11+JC11+JD11)*(1+Inputs!$B$27)</f>
        <v>0.312617198347495</v>
      </c>
      <c r="JF11" s="15" t="n">
        <f aca="false">Inputs!$B$52/(1-JE11-G11)</f>
        <v>193353.039127444</v>
      </c>
      <c r="JG11" s="15" t="n">
        <f aca="false">JF11/Inputs!$B$34</f>
        <v>322.255065212407</v>
      </c>
      <c r="JH11" s="15" t="n">
        <f aca="false">B11^2/JG11</f>
        <v>9.73142190312193</v>
      </c>
      <c r="JI11" s="15" t="n">
        <f aca="false">Inputs!$B$54*H11/(Inputs!$B$35*F11+E11*H11^2/(PI()*JH11*Inputs!$B$36))</f>
        <v>19.2343944831636</v>
      </c>
      <c r="JJ11" s="15" t="n">
        <f aca="false">EXP(-Inputs!$B$11*Inputs!$B$14*Inputs!$B$17/(Inputs!$B$51*JI11*Inputs!$B$16))</f>
        <v>0.752538442896125</v>
      </c>
      <c r="JK11" s="15" t="n">
        <f aca="false">Inputs!$B$50*Inputs!$B$18*JJ11*Inputs!$B$19</f>
        <v>0.735323546103484</v>
      </c>
      <c r="JL11" s="15" t="n">
        <f aca="false">1-JK11</f>
        <v>0.264676453896516</v>
      </c>
      <c r="JM11" s="15" t="n">
        <f aca="false">Inputs!$B$20*JL11</f>
        <v>0.00794029361689548</v>
      </c>
      <c r="JN11" s="15" t="n">
        <f aca="false">0.8*(1-Inputs!$B$50)*(JK11-JM11)</f>
        <v>0.00175198112100522</v>
      </c>
      <c r="JO11" s="15" t="n">
        <f aca="false">JK11-JM11-JN11</f>
        <v>0.725631271365584</v>
      </c>
      <c r="JP11" s="15" t="n">
        <f aca="false">JO11*(1-Inputs!$B$18*EXP(-Inputs!$B$21*Inputs!$B$14*Inputs!$B$17/(Inputs!$B$22*Inputs!$B$23*Inputs!$B$24*JI11*Inputs!$B$16))*Inputs!$B$19)</f>
        <v>0.026303433713351</v>
      </c>
      <c r="JQ11" s="15" t="n">
        <f aca="false">(JO11-JP11)*(1-EXP(-Inputs!$B$25*Inputs!$B$14*Inputs!$B$17*Inputs!$B$26/(JI11*Inputs!$B$16/0.866)))</f>
        <v>0.00755110585272854</v>
      </c>
      <c r="JR11" s="15" t="n">
        <f aca="false">(JO11-JP11-JQ11)*(1-Inputs!$B$19)</f>
        <v>0.00345888365899752</v>
      </c>
      <c r="JS11" s="15" t="n">
        <f aca="false">(JL11+JM11+JN11+JP11+JQ11+JR11)*(1+Inputs!$B$27)</f>
        <v>0.312617198315072</v>
      </c>
      <c r="JT11" s="15" t="n">
        <f aca="false">Inputs!$B$52/(1-JS11-G11)</f>
        <v>193353.03909029</v>
      </c>
      <c r="JU11" s="15" t="n">
        <f aca="false">JT11/Inputs!$B$34</f>
        <v>322.255065150483</v>
      </c>
      <c r="JV11" s="15" t="n">
        <f aca="false">B11^2/JU11</f>
        <v>9.73142190499189</v>
      </c>
      <c r="JW11" s="15" t="n">
        <f aca="false">Inputs!$B$54*H11/(Inputs!$B$35*F11+E11*H11^2/(PI()*JV11*Inputs!$B$36))</f>
        <v>19.2343944841395</v>
      </c>
      <c r="JX11" s="15" t="n">
        <f aca="false">EXP(-Inputs!$B$11*Inputs!$B$14*Inputs!$B$17/(Inputs!$B$51*JW11*Inputs!$B$16))</f>
        <v>0.75253844290698</v>
      </c>
      <c r="JY11" s="15" t="n">
        <f aca="false">Inputs!$B$50*Inputs!$B$18*JX11*Inputs!$B$19</f>
        <v>0.735323546114091</v>
      </c>
      <c r="JZ11" s="15" t="n">
        <f aca="false">1-JY11</f>
        <v>0.264676453885909</v>
      </c>
      <c r="KA11" s="15" t="n">
        <f aca="false">Inputs!$B$20*JZ11</f>
        <v>0.00794029361657727</v>
      </c>
      <c r="KB11" s="15" t="n">
        <f aca="false">0.8*(1-Inputs!$B$50)*(JY11-KA11)</f>
        <v>0.00175198112103153</v>
      </c>
      <c r="KC11" s="15" t="n">
        <f aca="false">JY11-KA11-KB11</f>
        <v>0.725631271376482</v>
      </c>
      <c r="KD11" s="15" t="n">
        <f aca="false">KC11*(1-Inputs!$B$18*EXP(-Inputs!$B$21*Inputs!$B$14*Inputs!$B$17/(Inputs!$B$22*Inputs!$B$23*Inputs!$B$24*JW11*Inputs!$B$16))*Inputs!$B$19)</f>
        <v>0.0263034337131501</v>
      </c>
      <c r="KE11" s="15" t="n">
        <f aca="false">(KC11-KD11)*(1-EXP(-Inputs!$B$25*Inputs!$B$14*Inputs!$B$17*Inputs!$B$26/(JW11*Inputs!$B$16/0.866)))</f>
        <v>0.00755110585246741</v>
      </c>
      <c r="KF11" s="15" t="n">
        <f aca="false">(KC11-KD11-KE11)*(1-Inputs!$B$19)</f>
        <v>0.00345888365905433</v>
      </c>
      <c r="KG11" s="15" t="n">
        <f aca="false">(JZ11+KA11+KB11+KD11+KE11+KF11)*(1+Inputs!$B$27)</f>
        <v>0.312617198303734</v>
      </c>
      <c r="KH11" s="15" t="n">
        <f aca="false">Inputs!$B$52/(1-KG11-G11)</f>
        <v>193353.039077298</v>
      </c>
      <c r="KI11" s="15" t="n">
        <f aca="false">KH11/Inputs!$B$34</f>
        <v>322.25506512883</v>
      </c>
      <c r="KJ11" s="15" t="n">
        <f aca="false">B11^2/KI11</f>
        <v>9.73142190564578</v>
      </c>
      <c r="KK11" s="15" t="n">
        <f aca="false">Inputs!$B$54*H11/(Inputs!$B$35*F11+E11*H11^2/(PI()*KJ11*Inputs!$B$36))</f>
        <v>19.2343944844807</v>
      </c>
      <c r="KL11" s="15" t="n">
        <f aca="false">EXP(-Inputs!$B$11*Inputs!$B$14*Inputs!$B$17/(Inputs!$B$51*KK11*Inputs!$B$16))</f>
        <v>0.752538442910776</v>
      </c>
      <c r="KM11" s="15" t="n">
        <f aca="false">Inputs!$B$50*Inputs!$B$18*KL11*Inputs!$B$19</f>
        <v>0.7353235461178</v>
      </c>
      <c r="KN11" s="15" t="n">
        <f aca="false">1-KM11</f>
        <v>0.2646764538822</v>
      </c>
      <c r="KO11" s="15" t="n">
        <f aca="false">Inputs!$B$20*KN11</f>
        <v>0.007940293616466</v>
      </c>
      <c r="KP11" s="15" t="n">
        <f aca="false">0.8*(1-Inputs!$B$50)*(KM11-KO11)</f>
        <v>0.00175198112104073</v>
      </c>
      <c r="KQ11" s="15" t="n">
        <f aca="false">KM11-KO11-KP11</f>
        <v>0.725631271380293</v>
      </c>
      <c r="KR11" s="15" t="n">
        <f aca="false">KQ11*(1-Inputs!$B$18*EXP(-Inputs!$B$21*Inputs!$B$14*Inputs!$B$17/(Inputs!$B$22*Inputs!$B$23*Inputs!$B$24*KK11*Inputs!$B$16))*Inputs!$B$19)</f>
        <v>0.0263034337130799</v>
      </c>
      <c r="KS11" s="15" t="n">
        <f aca="false">(KQ11-KR11)*(1-EXP(-Inputs!$B$25*Inputs!$B$14*Inputs!$B$17*Inputs!$B$26/(KK11*Inputs!$B$16/0.866)))</f>
        <v>0.00755110585237601</v>
      </c>
      <c r="KT11" s="15" t="n">
        <f aca="false">(KQ11-KR11-KS11)*(1-Inputs!$B$19)</f>
        <v>0.00345888365907419</v>
      </c>
      <c r="KU11" s="15" t="n">
        <f aca="false">(KN11+KO11+KP11+KR11+KS11+KT11)*(1+Inputs!$B$27)</f>
        <v>0.312617198299769</v>
      </c>
      <c r="KV11" s="15" t="n">
        <f aca="false">Inputs!$B$52/(1-KU11-G11)</f>
        <v>193353.039072754</v>
      </c>
      <c r="KW11" s="15" t="n">
        <f aca="false">KV11/Inputs!$B$34</f>
        <v>322.255065121257</v>
      </c>
      <c r="KX11" s="15" t="n">
        <f aca="false">B11^2/KW11</f>
        <v>9.73142190587445</v>
      </c>
      <c r="KY11" s="15" t="n">
        <f aca="false">Inputs!$B$54*H11/(Inputs!$B$35*F11+E11*H11^2/(PI()*KX11*Inputs!$B$36))</f>
        <v>19.2343944846001</v>
      </c>
      <c r="KZ11" s="15" t="n">
        <f aca="false">EXP(-Inputs!$B$11*Inputs!$B$14*Inputs!$B$17/(Inputs!$B$51*KY11*Inputs!$B$16))</f>
        <v>0.752538442912104</v>
      </c>
      <c r="LA11" s="15" t="n">
        <f aca="false">Inputs!$B$50*Inputs!$B$18*KZ11*Inputs!$B$19</f>
        <v>0.735323546119097</v>
      </c>
      <c r="LB11" s="15" t="n">
        <f aca="false">1-LA11</f>
        <v>0.264676453880903</v>
      </c>
      <c r="LC11" s="15" t="n">
        <f aca="false">Inputs!$B$20*LB11</f>
        <v>0.00794029361642708</v>
      </c>
      <c r="LD11" s="15" t="n">
        <f aca="false">0.8*(1-Inputs!$B$50)*(LA11-LC11)</f>
        <v>0.00175198112104395</v>
      </c>
      <c r="LE11" s="15" t="n">
        <f aca="false">LA11-LC11-LD11</f>
        <v>0.725631271381626</v>
      </c>
      <c r="LF11" s="15" t="n">
        <f aca="false">LE11*(1-Inputs!$B$18*EXP(-Inputs!$B$21*Inputs!$B$14*Inputs!$B$17/(Inputs!$B$22*Inputs!$B$23*Inputs!$B$24*KY11*Inputs!$B$16))*Inputs!$B$19)</f>
        <v>0.0263034337130553</v>
      </c>
      <c r="LG11" s="15" t="n">
        <f aca="false">(LE11-LF11)*(1-EXP(-Inputs!$B$25*Inputs!$B$14*Inputs!$B$17*Inputs!$B$26/(KY11*Inputs!$B$16/0.866)))</f>
        <v>0.00755110585234408</v>
      </c>
      <c r="LH11" s="15" t="n">
        <f aca="false">(LE11-LF11-LG11)*(1-Inputs!$B$19)</f>
        <v>0.00345888365908114</v>
      </c>
      <c r="LI11" s="15" t="n">
        <f aca="false">(LB11+LC11+LD11+LF11+LG11+LH11)*(1+Inputs!$B$27)</f>
        <v>0.312617198298383</v>
      </c>
      <c r="LJ11" s="15" t="n">
        <f aca="false">Inputs!$B$52/(1-LI11-G11)</f>
        <v>193353.039071165</v>
      </c>
      <c r="LK11" s="15" t="n">
        <f aca="false">LJ11/Inputs!$B$34</f>
        <v>322.255065118609</v>
      </c>
      <c r="LL11" s="15" t="n">
        <f aca="false">B11^2/LK11</f>
        <v>9.73142190595442</v>
      </c>
      <c r="LM11" s="15" t="n">
        <f aca="false">Inputs!$B$54*H11/(Inputs!$B$35*F11+E11*H11^2/(PI()*LL11*Inputs!$B$36))</f>
        <v>19.2343944846418</v>
      </c>
      <c r="LN11" s="15" t="n">
        <f aca="false">EXP(-Inputs!$B$11*Inputs!$B$14*Inputs!$B$17/(Inputs!$B$51*LM11*Inputs!$B$16))</f>
        <v>0.752538442912568</v>
      </c>
      <c r="LO11" s="15" t="n">
        <f aca="false">Inputs!$B$50*Inputs!$B$18*LN11*Inputs!$B$19</f>
        <v>0.735323546119551</v>
      </c>
      <c r="LP11" s="15" t="n">
        <f aca="false">1-LO11</f>
        <v>0.264676453880449</v>
      </c>
      <c r="LQ11" s="15" t="n">
        <f aca="false">Inputs!$B$20*LP11</f>
        <v>0.00794029361641347</v>
      </c>
      <c r="LR11" s="15" t="n">
        <f aca="false">0.8*(1-Inputs!$B$50)*(LO11-LQ11)</f>
        <v>0.00175198112104508</v>
      </c>
      <c r="LS11" s="15" t="n">
        <f aca="false">LO11-LQ11-LR11</f>
        <v>0.725631271382092</v>
      </c>
      <c r="LT11" s="15" t="n">
        <f aca="false">LS11*(1-Inputs!$B$18*EXP(-Inputs!$B$21*Inputs!$B$14*Inputs!$B$17/(Inputs!$B$22*Inputs!$B$23*Inputs!$B$24*LM11*Inputs!$B$16))*Inputs!$B$19)</f>
        <v>0.0263034337130467</v>
      </c>
      <c r="LU11" s="15" t="n">
        <f aca="false">(LS11-LT11)*(1-EXP(-Inputs!$B$25*Inputs!$B$14*Inputs!$B$17*Inputs!$B$26/(LM11*Inputs!$B$16/0.866)))</f>
        <v>0.0075511058523329</v>
      </c>
      <c r="LV11" s="15" t="n">
        <f aca="false">(LS11-LT11-LU11)*(1-Inputs!$B$19)</f>
        <v>0.00345888365908357</v>
      </c>
      <c r="LW11" s="15" t="n">
        <f aca="false">(LP11+LQ11+LR11+LT11+LU11+LV11)*(1+Inputs!$B$27)</f>
        <v>0.312617198297898</v>
      </c>
      <c r="LX11" s="15" t="n">
        <f aca="false">Inputs!$B$52/(1-LW11-G11)</f>
        <v>193353.03907061</v>
      </c>
      <c r="LY11" s="15" t="n">
        <f aca="false">LX11/Inputs!$B$34</f>
        <v>322.255065117683</v>
      </c>
      <c r="LZ11" s="15" t="n">
        <f aca="false">B11^2/LY11</f>
        <v>9.73142190598239</v>
      </c>
      <c r="MA11" s="15" t="n">
        <f aca="false">Inputs!$B$54*H11/(Inputs!$B$35*F11+E11*H11^2/(PI()*LZ11*Inputs!$B$36))</f>
        <v>19.2343944846564</v>
      </c>
      <c r="MB11" s="15" t="n">
        <f aca="false">EXP(-Inputs!$B$11*Inputs!$B$14*Inputs!$B$17/(Inputs!$B$51*MA11*Inputs!$B$16))</f>
        <v>0.75253844291273</v>
      </c>
      <c r="MC11" s="15" t="n">
        <f aca="false">Inputs!$B$50*Inputs!$B$18*MB11*Inputs!$B$19</f>
        <v>0.73532354611971</v>
      </c>
      <c r="MD11" s="15" t="n">
        <f aca="false">1-MC11</f>
        <v>0.264676453880291</v>
      </c>
      <c r="ME11" s="15" t="n">
        <f aca="false">Inputs!$B$20*MD11</f>
        <v>0.00794029361640872</v>
      </c>
      <c r="MF11" s="15" t="n">
        <f aca="false">0.8*(1-Inputs!$B$50)*(MC11-ME11)</f>
        <v>0.00175198112104547</v>
      </c>
      <c r="MG11" s="15" t="n">
        <f aca="false">MC11-ME11-MF11</f>
        <v>0.725631271382255</v>
      </c>
      <c r="MH11" s="15" t="n">
        <f aca="false">MG11*(1-Inputs!$B$18*EXP(-Inputs!$B$21*Inputs!$B$14*Inputs!$B$17/(Inputs!$B$22*Inputs!$B$23*Inputs!$B$24*MA11*Inputs!$B$16))*Inputs!$B$19)</f>
        <v>0.0263034337130437</v>
      </c>
      <c r="MI11" s="15" t="n">
        <f aca="false">(MG11-MH11)*(1-EXP(-Inputs!$B$25*Inputs!$B$14*Inputs!$B$17*Inputs!$B$26/(MA11*Inputs!$B$16/0.866)))</f>
        <v>0.00755110585232903</v>
      </c>
      <c r="MJ11" s="15" t="n">
        <f aca="false">(MG11-MH11-MI11)*(1-Inputs!$B$19)</f>
        <v>0.00345888365908442</v>
      </c>
      <c r="MK11" s="15" t="n">
        <f aca="false">(MD11+ME11+MF11+MH11+MI11+MJ11)*(1+Inputs!$B$27)</f>
        <v>0.312617198297728</v>
      </c>
      <c r="ML11" s="15" t="n">
        <f aca="false">Inputs!$B$52/(1-MK11-G11)</f>
        <v>193353.039070415</v>
      </c>
      <c r="MM11" s="15" t="n">
        <f aca="false">ML11/Inputs!$B$34</f>
        <v>322.255065117359</v>
      </c>
      <c r="MN11" s="15" t="n">
        <f aca="false">B11^2/MM11</f>
        <v>9.73142190599217</v>
      </c>
      <c r="MO11" s="15" t="n">
        <f aca="false">Inputs!$B$54*H11/(Inputs!$B$35*F11+E11*H11^2/(PI()*MN11*Inputs!$B$36))</f>
        <v>19.2343944846615</v>
      </c>
      <c r="MP11" s="15" t="n">
        <f aca="false">EXP(-Inputs!$B$11*Inputs!$B$14*Inputs!$B$17/(Inputs!$B$51*MO11*Inputs!$B$16))</f>
        <v>0.752538442912787</v>
      </c>
      <c r="MQ11" s="15" t="n">
        <f aca="false">Inputs!$B$50*Inputs!$B$18*MP11*Inputs!$B$19</f>
        <v>0.735323546119765</v>
      </c>
      <c r="MR11" s="15" t="n">
        <f aca="false">1-MQ11</f>
        <v>0.264676453880235</v>
      </c>
      <c r="MS11" s="15" t="n">
        <f aca="false">Inputs!$B$20*MR11</f>
        <v>0.00794029361640705</v>
      </c>
      <c r="MT11" s="15" t="n">
        <f aca="false">0.8*(1-Inputs!$B$50)*(MQ11-MS11)</f>
        <v>0.00175198112104561</v>
      </c>
      <c r="MU11" s="15" t="n">
        <f aca="false">MQ11-MS11-MT11</f>
        <v>0.725631271382312</v>
      </c>
      <c r="MV11" s="15" t="n">
        <f aca="false">MU11*(1-Inputs!$B$18*EXP(-Inputs!$B$21*Inputs!$B$14*Inputs!$B$17/(Inputs!$B$22*Inputs!$B$23*Inputs!$B$24*MO11*Inputs!$B$16))*Inputs!$B$19)</f>
        <v>0.0263034337130427</v>
      </c>
      <c r="MW11" s="15" t="n">
        <f aca="false">(MU11-MV11)*(1-EXP(-Inputs!$B$25*Inputs!$B$14*Inputs!$B$17*Inputs!$B$26/(MO11*Inputs!$B$16/0.866)))</f>
        <v>0.00755110585232763</v>
      </c>
      <c r="MX11" s="15" t="n">
        <f aca="false">(MU11-MV11-MW11)*(1-Inputs!$B$19)</f>
        <v>0.00345888365908471</v>
      </c>
      <c r="MY11" s="15" t="n">
        <f aca="false">(MR11+MS11+MT11+MV11+MW11+MX11)*(1+Inputs!$B$27)</f>
        <v>0.312617198297669</v>
      </c>
      <c r="MZ11" s="15" t="n">
        <f aca="false">Inputs!$B$52/(1-MY11-G11)</f>
        <v>193353.039070348</v>
      </c>
      <c r="NA11" s="15" t="n">
        <f aca="false">MZ11/Inputs!$B$34</f>
        <v>322.255065117246</v>
      </c>
      <c r="NB11" s="15" t="n">
        <f aca="false">B11^2/NA11</f>
        <v>9.73142190599558</v>
      </c>
      <c r="NC11" s="15" t="n">
        <f aca="false">Inputs!$B$54*H11/(Inputs!$B$35*F11+E11*H11^2/(PI()*NB11*Inputs!$B$36))</f>
        <v>19.2343944846633</v>
      </c>
      <c r="ND11" s="15" t="n">
        <f aca="false">EXP(-Inputs!$B$11*Inputs!$B$14*Inputs!$B$17/(Inputs!$B$51*NC11*Inputs!$B$16))</f>
        <v>0.752538442912807</v>
      </c>
      <c r="NE11" s="15" t="n">
        <f aca="false">Inputs!$B$50*Inputs!$B$18*ND11*Inputs!$B$19</f>
        <v>0.735323546119784</v>
      </c>
      <c r="NF11" s="15" t="n">
        <f aca="false">1-NE11</f>
        <v>0.264676453880216</v>
      </c>
      <c r="NG11" s="15" t="n">
        <f aca="false">Inputs!$B$20*NF11</f>
        <v>0.00794029361640647</v>
      </c>
      <c r="NH11" s="15" t="n">
        <f aca="false">0.8*(1-Inputs!$B$50)*(NE11-NG11)</f>
        <v>0.00175198112104566</v>
      </c>
      <c r="NI11" s="15" t="n">
        <f aca="false">NE11-NG11-NH11</f>
        <v>0.725631271382332</v>
      </c>
      <c r="NJ11" s="15" t="n">
        <f aca="false">NI11*(1-Inputs!$B$18*EXP(-Inputs!$B$21*Inputs!$B$14*Inputs!$B$17/(Inputs!$B$22*Inputs!$B$23*Inputs!$B$24*NC11*Inputs!$B$16))*Inputs!$B$19)</f>
        <v>0.0263034337130423</v>
      </c>
      <c r="NK11" s="15" t="n">
        <f aca="false">(NI11-NJ11)*(1-EXP(-Inputs!$B$25*Inputs!$B$14*Inputs!$B$17*Inputs!$B$26/(NC11*Inputs!$B$16/0.866)))</f>
        <v>0.00755110585232715</v>
      </c>
      <c r="NL11" s="15" t="n">
        <f aca="false">(NI11-NJ11-NK11)*(1-Inputs!$B$19)</f>
        <v>0.00345888365908482</v>
      </c>
      <c r="NM11" s="15" t="n">
        <f aca="false">(NF11+NG11+NH11+NJ11+NK11+NL11)*(1+Inputs!$B$27)</f>
        <v>0.312617198297648</v>
      </c>
      <c r="NN11" s="15" t="n">
        <f aca="false">Inputs!$B$52/(1-NM11-G11)</f>
        <v>193353.039070324</v>
      </c>
    </row>
    <row r="12" customFormat="false" ht="15" hidden="false" customHeight="false" outlineLevel="0" collapsed="false">
      <c r="A12" s="0" t="s">
        <v>500</v>
      </c>
      <c r="B12" s="0" t="n">
        <v>58</v>
      </c>
      <c r="C12" s="12" t="n">
        <v>0</v>
      </c>
      <c r="D12" s="13" t="n">
        <f aca="false">B12*C12</f>
        <v>0</v>
      </c>
      <c r="E12" s="14" t="n">
        <f aca="false">IF(C12=0,1,(1+0.45*C12)/(1.04+2.81*C12))</f>
        <v>1</v>
      </c>
      <c r="F12" s="14" t="n">
        <f aca="false">1+Inputs!$B$42*D12</f>
        <v>1</v>
      </c>
      <c r="G12" s="15" t="n">
        <f aca="false">Inputs!$B$31+Inputs!$B$43*(B12/Inputs!$B$32-1)</f>
        <v>0.5096875</v>
      </c>
      <c r="H12" s="12" t="n">
        <f aca="false">Inputs!$B$37</f>
        <v>0.5</v>
      </c>
      <c r="I12" s="13" t="n">
        <f aca="false">Inputs!$B$39</f>
        <v>2.6</v>
      </c>
      <c r="J12" s="16" t="n">
        <f aca="false">NN12/Inputs!$B$34</f>
        <v>356.050683839975</v>
      </c>
      <c r="K12" s="13" t="n">
        <f aca="false">B12^2/J12</f>
        <v>9.44809307405216</v>
      </c>
      <c r="L12" s="13" t="n">
        <f aca="false">K12</f>
        <v>9.44809307405216</v>
      </c>
      <c r="M12" s="12" t="n">
        <f aca="false">NC12</f>
        <v>17.2694805420803</v>
      </c>
      <c r="N12" s="13" t="n">
        <f aca="false">B12/SQRT(E12)</f>
        <v>58</v>
      </c>
      <c r="O12" s="14" t="n">
        <f aca="false">NM12</f>
        <v>0.337595478328898</v>
      </c>
      <c r="P12" s="13" t="n">
        <f aca="false">NN12/1000</f>
        <v>213.630410303985</v>
      </c>
      <c r="Q12" s="13" t="n">
        <f aca="false">G12*NN12/1000</f>
        <v>108.884749751812</v>
      </c>
      <c r="R12" s="13" t="n">
        <f aca="false">NM12*NN12/1000</f>
        <v>72.1206605521725</v>
      </c>
      <c r="S12" s="13" t="n">
        <f aca="false">NM12*NN12/Inputs!$B$28/1000</f>
        <v>96.16088073623</v>
      </c>
      <c r="T12" s="17" t="n">
        <f aca="false">R12/Sweep!$R$5-1</f>
        <v>0.153992948543654</v>
      </c>
      <c r="U12" s="17" t="n">
        <f aca="false">R12/SUMIFS(Sweep!$R:$R,Sweep!$A:$A,"Conventional",Sweep!$B:$B,B12)-1</f>
        <v>0</v>
      </c>
      <c r="V12" s="16" t="n">
        <f aca="false">1*0.54*(J12/1)^1.5/SQRT(L12)*Inputs!$B$46*Inputs!$B$47</f>
        <v>110.357289603147</v>
      </c>
      <c r="W12" s="18" t="n">
        <f aca="false">MIN(1,V12/S12)</f>
        <v>1</v>
      </c>
      <c r="X12" s="16" t="n">
        <f aca="false">1.23*SQRT(2*Inputs!$B$41*NN12*Inputs!$B$49/(1.225*J12*I12))/0.5144</f>
        <v>128.387239561919</v>
      </c>
      <c r="Y12" s="19" t="n">
        <f aca="false">(11000+6341.6*LN(0.36392/(2*Inputs!$B$50*Inputs!$B$18*(1+ND12)/2*Inputs!$B$34*Inputs!$B$49/((Inputs!$B$12*295.07)^2*H12))))/0.3048</f>
        <v>38917.0115196672</v>
      </c>
      <c r="Z12" s="16" t="n">
        <f aca="false">NN12-MZ12</f>
        <v>0.046430125948973</v>
      </c>
      <c r="AA12" s="20" t="str">
        <f aca="false">IF(ABS(NN12-MZ12)&lt;10,"Yes","No")</f>
        <v>Yes</v>
      </c>
      <c r="AC12" s="15" t="n">
        <f aca="false">Inputs!$B$52/(1-0.3154-G12)/Inputs!$B$34</f>
        <v>310.869720574573</v>
      </c>
      <c r="AD12" s="15" t="n">
        <f aca="false">B12^2/AC12</f>
        <v>10.8212533333333</v>
      </c>
      <c r="AE12" s="15" t="n">
        <f aca="false">Inputs!$B$54*H12/(Inputs!$B$35*F12+E12*H12^2/(PI()*AD12*Inputs!$B$36))</f>
        <v>18.1503369239095</v>
      </c>
      <c r="AF12" s="15" t="n">
        <f aca="false">EXP(-Inputs!$B$11*Inputs!$B$14*Inputs!$B$17/(Inputs!$B$51*AE12*Inputs!$B$16))</f>
        <v>0.739867876108551</v>
      </c>
      <c r="AG12" s="15" t="n">
        <f aca="false">Inputs!$B$50*Inputs!$B$18*AF12*Inputs!$B$19</f>
        <v>0.722942828295203</v>
      </c>
      <c r="AH12" s="15" t="n">
        <f aca="false">1-AG12</f>
        <v>0.277057171704797</v>
      </c>
      <c r="AI12" s="15" t="n">
        <f aca="false">Inputs!$B$20*AH12</f>
        <v>0.0083117151511439</v>
      </c>
      <c r="AJ12" s="15" t="n">
        <f aca="false">0.8*(1-Inputs!$B$50)*(AG12-AI12)</f>
        <v>0.00172126621616769</v>
      </c>
      <c r="AK12" s="15" t="n">
        <f aca="false">AG12-AI12-AJ12</f>
        <v>0.712909846927892</v>
      </c>
      <c r="AL12" s="15" t="n">
        <f aca="false">AK12*(1-Inputs!$B$18*EXP(-Inputs!$B$21*Inputs!$B$14*Inputs!$B$17/(Inputs!$B$22*Inputs!$B$23*Inputs!$B$24*AE12*Inputs!$B$16))*Inputs!$B$19)</f>
        <v>0.0265311998090673</v>
      </c>
      <c r="AM12" s="15" t="n">
        <f aca="false">(AK12-AL12)*(1-EXP(-Inputs!$B$25*Inputs!$B$14*Inputs!$B$17*Inputs!$B$26/(AE12*Inputs!$B$16/0.866)))</f>
        <v>0.00785139442125188</v>
      </c>
      <c r="AN12" s="15" t="n">
        <f aca="false">(AK12-AL12-AM12)*(1-Inputs!$B$19)</f>
        <v>0.00339263626348787</v>
      </c>
      <c r="AO12" s="15" t="n">
        <f aca="false">(AH12+AI12+AJ12+AL12+AM12+AN12)*(1+Inputs!$B$27)</f>
        <v>0.325839979716613</v>
      </c>
      <c r="AP12" s="15" t="n">
        <f aca="false">Inputs!$B$52/(1-AO12-G12)</f>
        <v>198361.403739585</v>
      </c>
      <c r="AQ12" s="15" t="n">
        <f aca="false">AP12/Inputs!$B$34</f>
        <v>330.602339565975</v>
      </c>
      <c r="AR12" s="15" t="n">
        <f aca="false">B12^2/AQ12</f>
        <v>10.1753665881989</v>
      </c>
      <c r="AS12" s="15" t="n">
        <f aca="false">Inputs!$B$54*H12/(Inputs!$B$35*F12+E12*H12^2/(PI()*AR12*Inputs!$B$36))</f>
        <v>17.7548137448282</v>
      </c>
      <c r="AT12" s="15" t="n">
        <f aca="false">EXP(-Inputs!$B$11*Inputs!$B$14*Inputs!$B$17/(Inputs!$B$51*AS12*Inputs!$B$16))</f>
        <v>0.734918745069015</v>
      </c>
      <c r="AU12" s="15" t="n">
        <f aca="false">Inputs!$B$50*Inputs!$B$18*AT12*Inputs!$B$19</f>
        <v>0.718106912442032</v>
      </c>
      <c r="AV12" s="15" t="n">
        <f aca="false">1-AU12</f>
        <v>0.281893087557968</v>
      </c>
      <c r="AW12" s="15" t="n">
        <f aca="false">Inputs!$B$20*AV12</f>
        <v>0.00845679262673904</v>
      </c>
      <c r="AX12" s="15" t="n">
        <f aca="false">0.8*(1-Inputs!$B$50)*(AU12-AW12)</f>
        <v>0.00170926895578807</v>
      </c>
      <c r="AY12" s="15" t="n">
        <f aca="false">AU12-AW12-AX12</f>
        <v>0.707940850859505</v>
      </c>
      <c r="AZ12" s="15" t="n">
        <f aca="false">AY12*(1-Inputs!$B$18*EXP(-Inputs!$B$21*Inputs!$B$14*Inputs!$B$17/(Inputs!$B$22*Inputs!$B$23*Inputs!$B$24*AS12*Inputs!$B$16))*Inputs!$B$19)</f>
        <v>0.026616485945222</v>
      </c>
      <c r="BA12" s="15" t="n">
        <f aca="false">(AY12-AZ12)*(1-EXP(-Inputs!$B$25*Inputs!$B$14*Inputs!$B$17*Inputs!$B$26/(AS12*Inputs!$B$16/0.866)))</f>
        <v>0.00796617744653277</v>
      </c>
      <c r="BB12" s="15" t="n">
        <f aca="false">(AY12-AZ12-BA12)*(1-Inputs!$B$19)</f>
        <v>0.00336679093733875</v>
      </c>
      <c r="BC12" s="15" t="n">
        <f aca="false">(AV12+AW12+AX12+AZ12+BA12+BB12)*(1+Inputs!$B$27)</f>
        <v>0.330998629279997</v>
      </c>
      <c r="BD12" s="15" t="n">
        <f aca="false">Inputs!$B$52/(1-BC12-G12)</f>
        <v>204784.428703883</v>
      </c>
      <c r="BE12" s="15" t="n">
        <f aca="false">BD12/Inputs!$B$34</f>
        <v>341.307381173138</v>
      </c>
      <c r="BF12" s="15" t="n">
        <f aca="false">B12^2/BE12</f>
        <v>9.85621813521083</v>
      </c>
      <c r="BG12" s="15" t="n">
        <f aca="false">Inputs!$B$54*H12/(Inputs!$B$35*F12+E12*H12^2/(PI()*BF12*Inputs!$B$36))</f>
        <v>17.5473687878988</v>
      </c>
      <c r="BH12" s="15" t="n">
        <f aca="false">EXP(-Inputs!$B$11*Inputs!$B$14*Inputs!$B$17/(Inputs!$B$51*BG12*Inputs!$B$16))</f>
        <v>0.732247683342524</v>
      </c>
      <c r="BI12" s="15" t="n">
        <f aca="false">Inputs!$B$50*Inputs!$B$18*BH12*Inputs!$B$19</f>
        <v>0.715496953310873</v>
      </c>
      <c r="BJ12" s="15" t="n">
        <f aca="false">1-BI12</f>
        <v>0.284503046689127</v>
      </c>
      <c r="BK12" s="15" t="n">
        <f aca="false">Inputs!$B$20*BJ12</f>
        <v>0.00853509140067382</v>
      </c>
      <c r="BL12" s="15" t="n">
        <f aca="false">0.8*(1-Inputs!$B$50)*(BI12-BK12)</f>
        <v>0.0017027939962918</v>
      </c>
      <c r="BM12" s="15" t="n">
        <f aca="false">BI12-BK12-BL12</f>
        <v>0.705259067913907</v>
      </c>
      <c r="BN12" s="15" t="n">
        <f aca="false">BM12*(1-Inputs!$B$18*EXP(-Inputs!$B$21*Inputs!$B$14*Inputs!$B$17/(Inputs!$B$22*Inputs!$B$23*Inputs!$B$24*BG12*Inputs!$B$16))*Inputs!$B$19)</f>
        <v>0.0266616486355532</v>
      </c>
      <c r="BO12" s="15" t="n">
        <f aca="false">(BM12-BN12)*(1-EXP(-Inputs!$B$25*Inputs!$B$14*Inputs!$B$17*Inputs!$B$26/(BG12*Inputs!$B$16/0.866)))</f>
        <v>0.0080275356752615</v>
      </c>
      <c r="BP12" s="15" t="n">
        <f aca="false">(BM12-BN12-BO12)*(1-Inputs!$B$19)</f>
        <v>0.00335284941801547</v>
      </c>
      <c r="BQ12" s="15" t="n">
        <f aca="false">(BJ12+BK12+BL12+BN12+BO12+BP12)*(1+Inputs!$B$27)</f>
        <v>0.333781314712368</v>
      </c>
      <c r="BR12" s="15" t="n">
        <f aca="false">Inputs!$B$52/(1-BQ12-G12)</f>
        <v>208424.921462457</v>
      </c>
      <c r="BS12" s="15" t="n">
        <f aca="false">BR12/Inputs!$B$34</f>
        <v>347.374869104094</v>
      </c>
      <c r="BT12" s="15" t="n">
        <f aca="false">B12^2/BS12</f>
        <v>9.68406266312819</v>
      </c>
      <c r="BU12" s="15" t="n">
        <f aca="false">Inputs!$B$54*H12/(Inputs!$B$35*F12+E12*H12^2/(PI()*BT12*Inputs!$B$36))</f>
        <v>17.43192972605</v>
      </c>
      <c r="BV12" s="15" t="n">
        <f aca="false">EXP(-Inputs!$B$11*Inputs!$B$14*Inputs!$B$17/(Inputs!$B$51*BU12*Inputs!$B$16))</f>
        <v>0.730738070687588</v>
      </c>
      <c r="BW12" s="15" t="n">
        <f aca="false">Inputs!$B$50*Inputs!$B$18*BV12*Inputs!$B$19</f>
        <v>0.714021874208737</v>
      </c>
      <c r="BX12" s="15" t="n">
        <f aca="false">1-BW12</f>
        <v>0.285978125791263</v>
      </c>
      <c r="BY12" s="15" t="n">
        <f aca="false">Inputs!$B$20*BX12</f>
        <v>0.00857934377373789</v>
      </c>
      <c r="BZ12" s="15" t="n">
        <f aca="false">0.8*(1-Inputs!$B$50)*(BW12-BY12)</f>
        <v>0.00169913452234598</v>
      </c>
      <c r="CA12" s="15" t="n">
        <f aca="false">BW12-BY12-BZ12</f>
        <v>0.703743395912653</v>
      </c>
      <c r="CB12" s="15" t="n">
        <f aca="false">CA12*(1-Inputs!$B$18*EXP(-Inputs!$B$21*Inputs!$B$14*Inputs!$B$17/(Inputs!$B$22*Inputs!$B$23*Inputs!$B$24*BU12*Inputs!$B$16))*Inputs!$B$19)</f>
        <v>0.0266869036127388</v>
      </c>
      <c r="CC12" s="15" t="n">
        <f aca="false">(CA12-CB12)*(1-EXP(-Inputs!$B$25*Inputs!$B$14*Inputs!$B$17*Inputs!$B$26/(BU12*Inputs!$B$16/0.866)))</f>
        <v>0.00806202993218285</v>
      </c>
      <c r="CD12" s="15" t="n">
        <f aca="false">(CA12-CB12-CC12)*(1-Inputs!$B$19)</f>
        <v>0.00334497231183866</v>
      </c>
      <c r="CE12" s="15" t="n">
        <f aca="false">(BX12+BY12+BZ12+CB12+CC12+CD12)*(1+Inputs!$B$27)</f>
        <v>0.335353561473939</v>
      </c>
      <c r="CF12" s="15" t="n">
        <f aca="false">Inputs!$B$52/(1-CE12-G12)</f>
        <v>210539.645601104</v>
      </c>
      <c r="CG12" s="15" t="n">
        <f aca="false">CF12/Inputs!$B$34</f>
        <v>350.899409335173</v>
      </c>
      <c r="CH12" s="15" t="n">
        <f aca="false">B12^2/CG12</f>
        <v>9.58679299681227</v>
      </c>
      <c r="CI12" s="15" t="n">
        <f aca="false">Inputs!$B$54*H12/(Inputs!$B$35*F12+E12*H12^2/(PI()*CH12*Inputs!$B$36))</f>
        <v>17.3655671390719</v>
      </c>
      <c r="CJ12" s="15" t="n">
        <f aca="false">EXP(-Inputs!$B$11*Inputs!$B$14*Inputs!$B$17/(Inputs!$B$51*CI12*Inputs!$B$16))</f>
        <v>0.72986258192865</v>
      </c>
      <c r="CK12" s="15" t="n">
        <f aca="false">Inputs!$B$50*Inputs!$B$18*CJ12*Inputs!$B$19</f>
        <v>0.713166412929817</v>
      </c>
      <c r="CL12" s="15" t="n">
        <f aca="false">1-CK12</f>
        <v>0.286833587070183</v>
      </c>
      <c r="CM12" s="15" t="n">
        <f aca="false">Inputs!$B$20*CL12</f>
        <v>0.00860500761210549</v>
      </c>
      <c r="CN12" s="15" t="n">
        <f aca="false">0.8*(1-Inputs!$B$50)*(CK12-CM12)</f>
        <v>0.00169701223733948</v>
      </c>
      <c r="CO12" s="15" t="n">
        <f aca="false">CK12-CM12-CN12</f>
        <v>0.702864393080372</v>
      </c>
      <c r="CP12" s="15" t="n">
        <f aca="false">CO12*(1-Inputs!$B$18*EXP(-Inputs!$B$21*Inputs!$B$14*Inputs!$B$17/(Inputs!$B$22*Inputs!$B$23*Inputs!$B$24*CI12*Inputs!$B$16))*Inputs!$B$19)</f>
        <v>0.0267014605947432</v>
      </c>
      <c r="CQ12" s="15" t="n">
        <f aca="false">(CO12-CP12)*(1-EXP(-Inputs!$B$25*Inputs!$B$14*Inputs!$B$17*Inputs!$B$26/(CI12*Inputs!$B$16/0.866)))</f>
        <v>0.00808197369685029</v>
      </c>
      <c r="CR12" s="15" t="n">
        <f aca="false">(CO12-CP12-CQ12)*(1-Inputs!$B$19)</f>
        <v>0.0033404047939439</v>
      </c>
      <c r="CS12" s="15" t="n">
        <f aca="false">(CL12+CM12+CN12+CP12+CQ12+CR12)*(1+Inputs!$B$27)</f>
        <v>0.336265224343181</v>
      </c>
      <c r="CT12" s="15" t="n">
        <f aca="false">Inputs!$B$52/(1-CS12-G12)</f>
        <v>211785.63438331</v>
      </c>
      <c r="CU12" s="15" t="n">
        <f aca="false">CT12/Inputs!$B$34</f>
        <v>352.976057305516</v>
      </c>
      <c r="CV12" s="15" t="n">
        <f aca="false">B12^2/CU12</f>
        <v>9.53039145396855</v>
      </c>
      <c r="CW12" s="15" t="n">
        <f aca="false">Inputs!$B$54*H12/(Inputs!$B$35*F12+E12*H12^2/(PI()*CV12*Inputs!$B$36))</f>
        <v>17.3267025419126</v>
      </c>
      <c r="CX12" s="15" t="n">
        <f aca="false">EXP(-Inputs!$B$11*Inputs!$B$14*Inputs!$B$17/(Inputs!$B$51*CW12*Inputs!$B$16))</f>
        <v>0.729347237872755</v>
      </c>
      <c r="CY12" s="15" t="n">
        <f aca="false">Inputs!$B$50*Inputs!$B$18*CX12*Inputs!$B$19</f>
        <v>0.712662857766329</v>
      </c>
      <c r="CZ12" s="15" t="n">
        <f aca="false">1-CY12</f>
        <v>0.287337142233671</v>
      </c>
      <c r="DA12" s="15" t="n">
        <f aca="false">Inputs!$B$20*CZ12</f>
        <v>0.00862011426701013</v>
      </c>
      <c r="DB12" s="15" t="n">
        <f aca="false">0.8*(1-Inputs!$B$50)*(CY12-DA12)</f>
        <v>0.00169576298433441</v>
      </c>
      <c r="DC12" s="15" t="n">
        <f aca="false">CY12-DA12-DB12</f>
        <v>0.702346980514984</v>
      </c>
      <c r="DD12" s="15" t="n">
        <f aca="false">DC12*(1-Inputs!$B$18*EXP(-Inputs!$B$21*Inputs!$B$14*Inputs!$B$17/(Inputs!$B$22*Inputs!$B$23*Inputs!$B$24*CW12*Inputs!$B$16))*Inputs!$B$19)</f>
        <v>0.0267099986101306</v>
      </c>
      <c r="DE12" s="15" t="n">
        <f aca="false">(DC12-DD12)*(1-EXP(-Inputs!$B$25*Inputs!$B$14*Inputs!$B$17*Inputs!$B$26/(CW12*Inputs!$B$16/0.866)))</f>
        <v>0.00809369237410798</v>
      </c>
      <c r="DF12" s="15" t="n">
        <f aca="false">(DC12-DD12-DE12)*(1-Inputs!$B$19)</f>
        <v>0.00333771644765373</v>
      </c>
      <c r="DG12" s="15" t="n">
        <f aca="false">(CZ12+DA12+DB12+DD12+DE12+DF12)*(1+Inputs!$B$27)</f>
        <v>0.336801810197659</v>
      </c>
      <c r="DH12" s="15" t="n">
        <f aca="false">Inputs!$B$52/(1-DG12-G12)</f>
        <v>212525.916221259</v>
      </c>
      <c r="DI12" s="15" t="n">
        <f aca="false">DH12/Inputs!$B$34</f>
        <v>354.209860368764</v>
      </c>
      <c r="DJ12" s="15" t="n">
        <f aca="false">B12^2/DI12</f>
        <v>9.49719467577151</v>
      </c>
      <c r="DK12" s="15" t="n">
        <f aca="false">Inputs!$B$54*H12/(Inputs!$B$35*F12+E12*H12^2/(PI()*DJ12*Inputs!$B$36))</f>
        <v>17.3036941116338</v>
      </c>
      <c r="DL12" s="15" t="n">
        <f aca="false">EXP(-Inputs!$B$11*Inputs!$B$14*Inputs!$B$17/(Inputs!$B$51*DK12*Inputs!$B$16))</f>
        <v>0.729041227799885</v>
      </c>
      <c r="DM12" s="15" t="n">
        <f aca="false">Inputs!$B$50*Inputs!$B$18*DL12*Inputs!$B$19</f>
        <v>0.712363847909689</v>
      </c>
      <c r="DN12" s="15" t="n">
        <f aca="false">1-DM12</f>
        <v>0.287636152090311</v>
      </c>
      <c r="DO12" s="15" t="n">
        <f aca="false">Inputs!$B$20*DN12</f>
        <v>0.00862908456270934</v>
      </c>
      <c r="DP12" s="15" t="n">
        <f aca="false">0.8*(1-Inputs!$B$50)*(DM12-DO12)</f>
        <v>0.00169502118087564</v>
      </c>
      <c r="DQ12" s="15" t="n">
        <f aca="false">DM12-DO12-DP12</f>
        <v>0.702039742166104</v>
      </c>
      <c r="DR12" s="15" t="n">
        <f aca="false">DQ12*(1-Inputs!$B$18*EXP(-Inputs!$B$21*Inputs!$B$14*Inputs!$B$17/(Inputs!$B$22*Inputs!$B$23*Inputs!$B$24*DK12*Inputs!$B$16))*Inputs!$B$19)</f>
        <v>0.026715057673638</v>
      </c>
      <c r="DS12" s="15" t="n">
        <f aca="false">(DQ12-DR12)*(1-EXP(-Inputs!$B$25*Inputs!$B$14*Inputs!$B$17*Inputs!$B$26/(DK12*Inputs!$B$16/0.866)))</f>
        <v>0.00810064354976482</v>
      </c>
      <c r="DT12" s="15" t="n">
        <f aca="false">(DQ12-DR12-DS12)*(1-Inputs!$B$19)</f>
        <v>0.00333612020471351</v>
      </c>
      <c r="DU12" s="15" t="n">
        <f aca="false">(DN12+DO12+DP12+DR12+DS12+DT12)*(1+Inputs!$B$27)</f>
        <v>0.337120415499799</v>
      </c>
      <c r="DV12" s="15" t="n">
        <f aca="false">Inputs!$B$52/(1-DU12-G12)</f>
        <v>212967.92263413</v>
      </c>
      <c r="DW12" s="15" t="n">
        <f aca="false">DV12/Inputs!$B$34</f>
        <v>354.94653772355</v>
      </c>
      <c r="DX12" s="15" t="n">
        <f aca="false">B12^2/DW12</f>
        <v>9.47748362774579</v>
      </c>
      <c r="DY12" s="15" t="n">
        <f aca="false">Inputs!$B$54*H12/(Inputs!$B$35*F12+E12*H12^2/(PI()*DX12*Inputs!$B$36))</f>
        <v>17.289985383215</v>
      </c>
      <c r="DZ12" s="15" t="n">
        <f aca="false">EXP(-Inputs!$B$11*Inputs!$B$14*Inputs!$B$17/(Inputs!$B$51*DY12*Inputs!$B$16))</f>
        <v>0.72885857696605</v>
      </c>
      <c r="EA12" s="15" t="n">
        <f aca="false">Inputs!$B$50*Inputs!$B$18*DZ12*Inputs!$B$19</f>
        <v>0.71218537535443</v>
      </c>
      <c r="EB12" s="15" t="n">
        <f aca="false">1-EA12</f>
        <v>0.28781462464557</v>
      </c>
      <c r="EC12" s="15" t="n">
        <f aca="false">Inputs!$B$20*EB12</f>
        <v>0.00863443873936711</v>
      </c>
      <c r="ED12" s="15" t="n">
        <f aca="false">0.8*(1-Inputs!$B$50)*(EA12-EC12)</f>
        <v>0.00169457841433853</v>
      </c>
      <c r="EE12" s="15" t="n">
        <f aca="false">EA12-EC12-ED12</f>
        <v>0.701856358200724</v>
      </c>
      <c r="EF12" s="15" t="n">
        <f aca="false">EE12*(1-Inputs!$B$18*EXP(-Inputs!$B$21*Inputs!$B$14*Inputs!$B$17/(Inputs!$B$22*Inputs!$B$23*Inputs!$B$24*DY12*Inputs!$B$16))*Inputs!$B$19)</f>
        <v>0.0267180734866392</v>
      </c>
      <c r="EG12" s="15" t="n">
        <f aca="false">(EE12-EF12)*(1-EXP(-Inputs!$B$25*Inputs!$B$14*Inputs!$B$17*Inputs!$B$26/(DY12*Inputs!$B$16/0.866)))</f>
        <v>0.0081047899470392</v>
      </c>
      <c r="EH12" s="15" t="n">
        <f aca="false">(EE12-EF12-EG12)*(1-Inputs!$B$19)</f>
        <v>0.00333516747383523</v>
      </c>
      <c r="EI12" s="15" t="n">
        <f aca="false">(EB12+EC12+ED12+EF12+EG12+EH12)*(1+Inputs!$B$27)</f>
        <v>0.33731057772491</v>
      </c>
      <c r="EJ12" s="15" t="n">
        <f aca="false">Inputs!$B$52/(1-EI12-G12)</f>
        <v>213232.615086638</v>
      </c>
      <c r="EK12" s="15" t="n">
        <f aca="false">EJ12/Inputs!$B$34</f>
        <v>355.387691811063</v>
      </c>
      <c r="EL12" s="15" t="n">
        <f aca="false">B12^2/EK12</f>
        <v>9.46571892475224</v>
      </c>
      <c r="EM12" s="15" t="n">
        <f aca="false">Inputs!$B$54*H12/(Inputs!$B$35*F12+E12*H12^2/(PI()*EL12*Inputs!$B$36))</f>
        <v>17.281786400626</v>
      </c>
      <c r="EN12" s="15" t="n">
        <f aca="false">EXP(-Inputs!$B$11*Inputs!$B$14*Inputs!$B$17/(Inputs!$B$51*EM12*Inputs!$B$16))</f>
        <v>0.728749219697789</v>
      </c>
      <c r="EO12" s="15" t="n">
        <f aca="false">Inputs!$B$50*Inputs!$B$18*EN12*Inputs!$B$19</f>
        <v>0.712078519717952</v>
      </c>
      <c r="EP12" s="15" t="n">
        <f aca="false">1-EO12</f>
        <v>0.287921480282048</v>
      </c>
      <c r="EQ12" s="15" t="n">
        <f aca="false">Inputs!$B$20*EP12</f>
        <v>0.00863764440846143</v>
      </c>
      <c r="ER12" s="15" t="n">
        <f aca="false">0.8*(1-Inputs!$B$50)*(EO12-EQ12)</f>
        <v>0.00169431331979744</v>
      </c>
      <c r="ES12" s="15" t="n">
        <f aca="false">EO12-EQ12-ER12</f>
        <v>0.701746561989694</v>
      </c>
      <c r="ET12" s="15" t="n">
        <f aca="false">ES12*(1-Inputs!$B$18*EXP(-Inputs!$B$21*Inputs!$B$14*Inputs!$B$17/(Inputs!$B$22*Inputs!$B$23*Inputs!$B$24*EM12*Inputs!$B$16))*Inputs!$B$19)</f>
        <v>0.0267198777516467</v>
      </c>
      <c r="EU12" s="15" t="n">
        <f aca="false">(ES12-ET12)*(1-EXP(-Inputs!$B$25*Inputs!$B$14*Inputs!$B$17*Inputs!$B$26/(EM12*Inputs!$B$16/0.866)))</f>
        <v>0.0081072715567144</v>
      </c>
      <c r="EV12" s="15" t="n">
        <f aca="false">(ES12-ET12-EU12)*(1-Inputs!$B$19)</f>
        <v>0.00333459706340667</v>
      </c>
      <c r="EW12" s="15" t="n">
        <f aca="false">(EP12+EQ12+ER12+ET12+EU12+EV12)*(1+Inputs!$B$27)</f>
        <v>0.337424429935221</v>
      </c>
      <c r="EX12" s="15" t="n">
        <f aca="false">Inputs!$B$52/(1-EW12-G12)</f>
        <v>213391.404484187</v>
      </c>
      <c r="EY12" s="15" t="n">
        <f aca="false">EX12/Inputs!$B$34</f>
        <v>355.652340806978</v>
      </c>
      <c r="EZ12" s="15" t="n">
        <f aca="false">B12^2/EY12</f>
        <v>9.45867526800769</v>
      </c>
      <c r="FA12" s="15" t="n">
        <f aca="false">Inputs!$B$54*H12/(Inputs!$B$35*F12+E12*H12^2/(PI()*EZ12*Inputs!$B$36))</f>
        <v>17.2768715492945</v>
      </c>
      <c r="FB12" s="15" t="n">
        <f aca="false">EXP(-Inputs!$B$11*Inputs!$B$14*Inputs!$B$17/(Inputs!$B$51*FA12*Inputs!$B$16))</f>
        <v>0.728683623983401</v>
      </c>
      <c r="FC12" s="15" t="n">
        <f aca="false">Inputs!$B$50*Inputs!$B$18*FB12*Inputs!$B$19</f>
        <v>0.712014424556079</v>
      </c>
      <c r="FD12" s="15" t="n">
        <f aca="false">1-FC12</f>
        <v>0.287985575443921</v>
      </c>
      <c r="FE12" s="15" t="n">
        <f aca="false">Inputs!$B$20*FD12</f>
        <v>0.00863956726331762</v>
      </c>
      <c r="FF12" s="15" t="n">
        <f aca="false">0.8*(1-Inputs!$B$50)*(FC12-FE12)</f>
        <v>0.0016941543082742</v>
      </c>
      <c r="FG12" s="15" t="n">
        <f aca="false">FC12-FE12-FF12</f>
        <v>0.701680702984487</v>
      </c>
      <c r="FH12" s="15" t="n">
        <f aca="false">FG12*(1-Inputs!$B$18*EXP(-Inputs!$B$21*Inputs!$B$14*Inputs!$B$17/(Inputs!$B$22*Inputs!$B$23*Inputs!$B$24*FA12*Inputs!$B$16))*Inputs!$B$19)</f>
        <v>0.0267209595099224</v>
      </c>
      <c r="FI12" s="15" t="n">
        <f aca="false">(FG12-FH12)*(1-EXP(-Inputs!$B$25*Inputs!$B$14*Inputs!$B$17*Inputs!$B$26/(FA12*Inputs!$B$16/0.866)))</f>
        <v>0.00810875976365639</v>
      </c>
      <c r="FJ12" s="15" t="n">
        <f aca="false">(FG12-FH12-FI12)*(1-Inputs!$B$19)</f>
        <v>0.00333425491855455</v>
      </c>
      <c r="FK12" s="15" t="n">
        <f aca="false">(FD12+FE12+FF12+FH12+FI12+FJ12)*(1+Inputs!$B$27)</f>
        <v>0.337492721021269</v>
      </c>
      <c r="FL12" s="15" t="n">
        <f aca="false">Inputs!$B$52/(1-FK12-G12)</f>
        <v>213486.763415229</v>
      </c>
      <c r="FM12" s="15" t="n">
        <f aca="false">FL12/Inputs!$B$34</f>
        <v>355.811272358716</v>
      </c>
      <c r="FN12" s="15" t="n">
        <f aca="false">B12^2/FM12</f>
        <v>9.45445032615083</v>
      </c>
      <c r="FO12" s="15" t="n">
        <f aca="false">Inputs!$B$54*H12/(Inputs!$B$35*F12+E12*H12^2/(PI()*FN12*Inputs!$B$36))</f>
        <v>17.2739213417916</v>
      </c>
      <c r="FP12" s="15" t="n">
        <f aca="false">EXP(-Inputs!$B$11*Inputs!$B$14*Inputs!$B$17/(Inputs!$B$51*FO12*Inputs!$B$16))</f>
        <v>0.728644234158147</v>
      </c>
      <c r="FQ12" s="15" t="n">
        <f aca="false">Inputs!$B$50*Inputs!$B$18*FP12*Inputs!$B$19</f>
        <v>0.711975935803432</v>
      </c>
      <c r="FR12" s="15" t="n">
        <f aca="false">1-FQ12</f>
        <v>0.288024064196568</v>
      </c>
      <c r="FS12" s="15" t="n">
        <f aca="false">Inputs!$B$20*FR12</f>
        <v>0.00864072192589705</v>
      </c>
      <c r="FT12" s="15" t="n">
        <f aca="false">0.8*(1-Inputs!$B$50)*(FQ12-FS12)</f>
        <v>0.00169405882282714</v>
      </c>
      <c r="FU12" s="15" t="n">
        <f aca="false">FQ12-FS12-FT12</f>
        <v>0.701641155054708</v>
      </c>
      <c r="FV12" s="15" t="n">
        <f aca="false">FU12*(1-Inputs!$B$18*EXP(-Inputs!$B$21*Inputs!$B$14*Inputs!$B$17/(Inputs!$B$22*Inputs!$B$23*Inputs!$B$24*FO12*Inputs!$B$16))*Inputs!$B$19)</f>
        <v>0.0267216089214543</v>
      </c>
      <c r="FW12" s="15" t="n">
        <f aca="false">(FU12-FV12)*(1-EXP(-Inputs!$B$25*Inputs!$B$14*Inputs!$B$17*Inputs!$B$26/(FO12*Inputs!$B$16/0.866)))</f>
        <v>0.00810965330183614</v>
      </c>
      <c r="FX12" s="15" t="n">
        <f aca="false">(FU12-FV12-FW12)*(1-Inputs!$B$19)</f>
        <v>0.00333404946415709</v>
      </c>
      <c r="FY12" s="15" t="n">
        <f aca="false">(FR12+FS12+FT12+FV12+FW12+FX12)*(1+Inputs!$B$27)</f>
        <v>0.337533729102638</v>
      </c>
      <c r="FZ12" s="15" t="n">
        <f aca="false">Inputs!$B$52/(1-FY12-G12)</f>
        <v>213544.066419527</v>
      </c>
      <c r="GA12" s="15" t="n">
        <f aca="false">FZ12/Inputs!$B$34</f>
        <v>355.906777365879</v>
      </c>
      <c r="GB12" s="15" t="n">
        <f aca="false">B12^2/GA12</f>
        <v>9.45191329285012</v>
      </c>
      <c r="GC12" s="15" t="n">
        <f aca="false">Inputs!$B$54*H12/(Inputs!$B$35*F12+E12*H12^2/(PI()*GB12*Inputs!$B$36))</f>
        <v>17.2721489903118</v>
      </c>
      <c r="GD12" s="15" t="n">
        <f aca="false">EXP(-Inputs!$B$11*Inputs!$B$14*Inputs!$B$17/(Inputs!$B$51*GC12*Inputs!$B$16))</f>
        <v>0.728620565083484</v>
      </c>
      <c r="GE12" s="15" t="n">
        <f aca="false">Inputs!$B$50*Inputs!$B$18*GD12*Inputs!$B$19</f>
        <v>0.711952808177092</v>
      </c>
      <c r="GF12" s="15" t="n">
        <f aca="false">1-GE12</f>
        <v>0.288047191822908</v>
      </c>
      <c r="GG12" s="15" t="n">
        <f aca="false">Inputs!$B$20*GF12</f>
        <v>0.00864141575468725</v>
      </c>
      <c r="GH12" s="15" t="n">
        <f aca="false">0.8*(1-Inputs!$B$50)*(GE12-GG12)</f>
        <v>0.00169400144627974</v>
      </c>
      <c r="GI12" s="15" t="n">
        <f aca="false">GE12-GG12-GH12</f>
        <v>0.701617390976125</v>
      </c>
      <c r="GJ12" s="15" t="n">
        <f aca="false">GI12*(1-Inputs!$B$18*EXP(-Inputs!$B$21*Inputs!$B$14*Inputs!$B$17/(Inputs!$B$22*Inputs!$B$23*Inputs!$B$24*GC12*Inputs!$B$16))*Inputs!$B$19)</f>
        <v>0.026721999084232</v>
      </c>
      <c r="GK12" s="15" t="n">
        <f aca="false">(GI12-GJ12)*(1-EXP(-Inputs!$B$25*Inputs!$B$14*Inputs!$B$17*Inputs!$B$26/(GC12*Inputs!$B$16/0.866)))</f>
        <v>0.00811019017910458</v>
      </c>
      <c r="GL12" s="15" t="n">
        <f aca="false">(GI12-GJ12-GK12)*(1-Inputs!$B$19)</f>
        <v>0.00333392600856394</v>
      </c>
      <c r="GM12" s="15" t="n">
        <f aca="false">(GF12+GG12+GH12+GJ12+GK12+GL12)*(1+Inputs!$B$27)</f>
        <v>0.337558370468663</v>
      </c>
      <c r="GN12" s="15" t="n">
        <f aca="false">Inputs!$B$52/(1-GM12-G12)</f>
        <v>213578.514048009</v>
      </c>
      <c r="GO12" s="15" t="n">
        <f aca="false">GN12/Inputs!$B$34</f>
        <v>355.964190080015</v>
      </c>
      <c r="GP12" s="15" t="n">
        <f aca="false">B12^2/GO12</f>
        <v>9.45038881367203</v>
      </c>
      <c r="GQ12" s="15" t="n">
        <f aca="false">Inputs!$B$54*H12/(Inputs!$B$35*F12+E12*H12^2/(PI()*GP12*Inputs!$B$36))</f>
        <v>17.2710837184869</v>
      </c>
      <c r="GR12" s="15" t="n">
        <f aca="false">EXP(-Inputs!$B$11*Inputs!$B$14*Inputs!$B$17/(Inputs!$B$51*GQ12*Inputs!$B$16))</f>
        <v>0.728606336819245</v>
      </c>
      <c r="GS12" s="15" t="n">
        <f aca="false">Inputs!$B$50*Inputs!$B$18*GR12*Inputs!$B$19</f>
        <v>0.711938905395361</v>
      </c>
      <c r="GT12" s="15" t="n">
        <f aca="false">1-GS12</f>
        <v>0.288061094604639</v>
      </c>
      <c r="GU12" s="15" t="n">
        <f aca="false">Inputs!$B$20*GT12</f>
        <v>0.00864183283813917</v>
      </c>
      <c r="GV12" s="15" t="n">
        <f aca="false">0.8*(1-Inputs!$B$50)*(GS12-GU12)</f>
        <v>0.00169396695533791</v>
      </c>
      <c r="GW12" s="15" t="n">
        <f aca="false">GS12-GU12-GV12</f>
        <v>0.701603105601884</v>
      </c>
      <c r="GX12" s="15" t="n">
        <f aca="false">GW12*(1-Inputs!$B$18*EXP(-Inputs!$B$21*Inputs!$B$14*Inputs!$B$17/(Inputs!$B$22*Inputs!$B$23*Inputs!$B$24*GQ12*Inputs!$B$16))*Inputs!$B$19)</f>
        <v>0.0267222336008203</v>
      </c>
      <c r="GY12" s="15" t="n">
        <f aca="false">(GW12-GX12)*(1-EXP(-Inputs!$B$25*Inputs!$B$14*Inputs!$B$17*Inputs!$B$26/(GQ12*Inputs!$B$16/0.866)))</f>
        <v>0.00811051289802482</v>
      </c>
      <c r="GZ12" s="15" t="n">
        <f aca="false">(GW12-GX12-GY12)*(1-Inputs!$B$19)</f>
        <v>0.0033338517955152</v>
      </c>
      <c r="HA12" s="15" t="n">
        <f aca="false">(GT12+GU12+GV12+GX12+GY12+GZ12)*(1+Inputs!$B$27)</f>
        <v>0.337573183170554</v>
      </c>
      <c r="HB12" s="15" t="n">
        <f aca="false">Inputs!$B$52/(1-HA12-G12)</f>
        <v>213599.226952352</v>
      </c>
      <c r="HC12" s="15" t="n">
        <f aca="false">HB12/Inputs!$B$34</f>
        <v>355.998711587253</v>
      </c>
      <c r="HD12" s="15" t="n">
        <f aca="false">B12^2/HC12</f>
        <v>9.44947240118174</v>
      </c>
      <c r="HE12" s="15" t="n">
        <f aca="false">Inputs!$B$54*H12/(Inputs!$B$35*F12+E12*H12^2/(PI()*HD12*Inputs!$B$36))</f>
        <v>17.2704432478558</v>
      </c>
      <c r="HF12" s="15" t="n">
        <f aca="false">EXP(-Inputs!$B$11*Inputs!$B$14*Inputs!$B$17/(Inputs!$B$51*HE12*Inputs!$B$16))</f>
        <v>0.728597781685512</v>
      </c>
      <c r="HG12" s="15" t="n">
        <f aca="false">Inputs!$B$50*Inputs!$B$18*HF12*Inputs!$B$19</f>
        <v>0.711930545966905</v>
      </c>
      <c r="HH12" s="15" t="n">
        <f aca="false">1-HG12</f>
        <v>0.288069454033095</v>
      </c>
      <c r="HI12" s="15" t="n">
        <f aca="false">Inputs!$B$20*HH12</f>
        <v>0.00864208362099286</v>
      </c>
      <c r="HJ12" s="15" t="n">
        <f aca="false">0.8*(1-Inputs!$B$50)*(HG12-HI12)</f>
        <v>0.00169394621671406</v>
      </c>
      <c r="HK12" s="15" t="n">
        <f aca="false">HG12-HI12-HJ12</f>
        <v>0.701594516129198</v>
      </c>
      <c r="HL12" s="15" t="n">
        <f aca="false">HK12*(1-Inputs!$B$18*EXP(-Inputs!$B$21*Inputs!$B$14*Inputs!$B$17/(Inputs!$B$22*Inputs!$B$23*Inputs!$B$24*HE12*Inputs!$B$16))*Inputs!$B$19)</f>
        <v>0.0267223746019685</v>
      </c>
      <c r="HM12" s="15" t="n">
        <f aca="false">(HK12-HL12)*(1-EXP(-Inputs!$B$25*Inputs!$B$14*Inputs!$B$17*Inputs!$B$26/(HE12*Inputs!$B$16/0.866)))</f>
        <v>0.00811070693591509</v>
      </c>
      <c r="HN12" s="15" t="n">
        <f aca="false">(HK12-HL12-HM12)*(1-Inputs!$B$19)</f>
        <v>0.00333380717295657</v>
      </c>
      <c r="HO12" s="15" t="n">
        <f aca="false">(HH12+HI12+HJ12+HL12+HM12+HN12)*(1+Inputs!$B$27)</f>
        <v>0.337582089699387</v>
      </c>
      <c r="HP12" s="15" t="n">
        <f aca="false">Inputs!$B$52/(1-HO12-G12)</f>
        <v>213611.68306813</v>
      </c>
      <c r="HQ12" s="15" t="n">
        <f aca="false">HP12/Inputs!$B$34</f>
        <v>356.019471780217</v>
      </c>
      <c r="HR12" s="15" t="n">
        <f aca="false">B12^2/HQ12</f>
        <v>9.44892138393125</v>
      </c>
      <c r="HS12" s="15" t="n">
        <f aca="false">Inputs!$B$54*H12/(Inputs!$B$35*F12+E12*H12^2/(PI()*HR12*Inputs!$B$36))</f>
        <v>17.2700581110127</v>
      </c>
      <c r="HT12" s="15" t="n">
        <f aca="false">EXP(-Inputs!$B$11*Inputs!$B$14*Inputs!$B$17/(Inputs!$B$51*HS12*Inputs!$B$16))</f>
        <v>0.728592636934555</v>
      </c>
      <c r="HU12" s="15" t="n">
        <f aca="false">Inputs!$B$50*Inputs!$B$18*HT12*Inputs!$B$19</f>
        <v>0.711925518906091</v>
      </c>
      <c r="HV12" s="15" t="n">
        <f aca="false">1-HU12</f>
        <v>0.288074481093909</v>
      </c>
      <c r="HW12" s="15" t="n">
        <f aca="false">Inputs!$B$20*HV12</f>
        <v>0.00864223443281727</v>
      </c>
      <c r="HX12" s="15" t="n">
        <f aca="false">0.8*(1-Inputs!$B$50)*(HU12-HW12)</f>
        <v>0.0016939337452486</v>
      </c>
      <c r="HY12" s="15" t="n">
        <f aca="false">HU12-HW12-HX12</f>
        <v>0.701589350728025</v>
      </c>
      <c r="HZ12" s="15" t="n">
        <f aca="false">HY12*(1-Inputs!$B$18*EXP(-Inputs!$B$21*Inputs!$B$14*Inputs!$B$17/(Inputs!$B$22*Inputs!$B$23*Inputs!$B$24*HS12*Inputs!$B$16))*Inputs!$B$19)</f>
        <v>0.0267224593919788</v>
      </c>
      <c r="IA12" s="15" t="n">
        <f aca="false">(HY12-HZ12)*(1-EXP(-Inputs!$B$25*Inputs!$B$14*Inputs!$B$17*Inputs!$B$26/(HS12*Inputs!$B$16/0.866)))</f>
        <v>0.00811082362128902</v>
      </c>
      <c r="IB12" s="15" t="n">
        <f aca="false">(HY12-HZ12-IA12)*(1-Inputs!$B$19)</f>
        <v>0.00333378033857379</v>
      </c>
      <c r="IC12" s="15" t="n">
        <f aca="false">(HV12+HW12+HX12+HZ12+IA12+IB12)*(1+Inputs!$B$27)</f>
        <v>0.337587445761688</v>
      </c>
      <c r="ID12" s="15" t="n">
        <f aca="false">Inputs!$B$52/(1-IC12-G12)</f>
        <v>213619.174422371</v>
      </c>
      <c r="IE12" s="15" t="n">
        <f aca="false">ID12/Inputs!$B$34</f>
        <v>356.031957370618</v>
      </c>
      <c r="IF12" s="15" t="n">
        <f aca="false">B12^2/IE12</f>
        <v>9.44859002221023</v>
      </c>
      <c r="IG12" s="15" t="n">
        <f aca="false">Inputs!$B$54*H12/(Inputs!$B$35*F12+E12*H12^2/(PI()*IF12*Inputs!$B$36))</f>
        <v>17.2698264903745</v>
      </c>
      <c r="IH12" s="15" t="n">
        <f aca="false">EXP(-Inputs!$B$11*Inputs!$B$14*Inputs!$B$17/(Inputs!$B$51*IG12*Inputs!$B$16))</f>
        <v>0.728589542797131</v>
      </c>
      <c r="II12" s="15" t="n">
        <f aca="false">Inputs!$B$50*Inputs!$B$18*IH12*Inputs!$B$19</f>
        <v>0.711922495549445</v>
      </c>
      <c r="IJ12" s="15" t="n">
        <f aca="false">1-II12</f>
        <v>0.288077504450555</v>
      </c>
      <c r="IK12" s="15" t="n">
        <f aca="false">Inputs!$B$20*IJ12</f>
        <v>0.00864232513351665</v>
      </c>
      <c r="IL12" s="15" t="n">
        <f aca="false">0.8*(1-Inputs!$B$50)*(II12-IK12)</f>
        <v>0.00169392624470517</v>
      </c>
      <c r="IM12" s="15" t="n">
        <f aca="false">II12-IK12-IL12</f>
        <v>0.701586244171223</v>
      </c>
      <c r="IN12" s="15" t="n">
        <f aca="false">IM12*(1-Inputs!$B$18*EXP(-Inputs!$B$21*Inputs!$B$14*Inputs!$B$17/(Inputs!$B$22*Inputs!$B$23*Inputs!$B$24*IG12*Inputs!$B$16))*Inputs!$B$19)</f>
        <v>0.0267225103849832</v>
      </c>
      <c r="IO12" s="15" t="n">
        <f aca="false">(IM12-IN12)*(1-EXP(-Inputs!$B$25*Inputs!$B$14*Inputs!$B$17*Inputs!$B$26/(IG12*Inputs!$B$16/0.866)))</f>
        <v>0.00811089379703666</v>
      </c>
      <c r="IP12" s="15" t="n">
        <f aca="false">(IM12-IN12-IO12)*(1-Inputs!$B$19)</f>
        <v>0.00333376419994602</v>
      </c>
      <c r="IQ12" s="15" t="n">
        <f aca="false">(IJ12+IK12+IL12+IN12+IO12+IP12)*(1+Inputs!$B$27)</f>
        <v>0.337590666983375</v>
      </c>
      <c r="IR12" s="15" t="n">
        <f aca="false">Inputs!$B$52/(1-IQ12-G12)</f>
        <v>213623.68009588</v>
      </c>
      <c r="IS12" s="15" t="n">
        <f aca="false">IR12/Inputs!$B$34</f>
        <v>356.039466826467</v>
      </c>
      <c r="IT12" s="15" t="n">
        <f aca="false">B12^2/IS12</f>
        <v>9.44839073596187</v>
      </c>
      <c r="IU12" s="15" t="n">
        <f aca="false">Inputs!$B$54*H12/(Inputs!$B$35*F12+E12*H12^2/(PI()*IT12*Inputs!$B$36))</f>
        <v>17.2696871851799</v>
      </c>
      <c r="IV12" s="15" t="n">
        <f aca="false">EXP(-Inputs!$B$11*Inputs!$B$14*Inputs!$B$17/(Inputs!$B$51*IU12*Inputs!$B$16))</f>
        <v>0.728587681835125</v>
      </c>
      <c r="IW12" s="15" t="n">
        <f aca="false">Inputs!$B$50*Inputs!$B$18*IV12*Inputs!$B$19</f>
        <v>0.711920677158379</v>
      </c>
      <c r="IX12" s="15" t="n">
        <f aca="false">1-IW12</f>
        <v>0.288079322841621</v>
      </c>
      <c r="IY12" s="15" t="n">
        <f aca="false">Inputs!$B$20*IX12</f>
        <v>0.00864237968524864</v>
      </c>
      <c r="IZ12" s="15" t="n">
        <f aca="false">0.8*(1-Inputs!$B$50)*(IW12-IY12)</f>
        <v>0.00169392173352016</v>
      </c>
      <c r="JA12" s="15" t="n">
        <f aca="false">IW12-IY12-IZ12</f>
        <v>0.70158437573961</v>
      </c>
      <c r="JB12" s="15" t="n">
        <f aca="false">JA12*(1-Inputs!$B$18*EXP(-Inputs!$B$21*Inputs!$B$14*Inputs!$B$17/(Inputs!$B$22*Inputs!$B$23*Inputs!$B$24*IU12*Inputs!$B$16))*Inputs!$B$19)</f>
        <v>0.0267225410542149</v>
      </c>
      <c r="JC12" s="15" t="n">
        <f aca="false">(JA12-JB12)*(1-EXP(-Inputs!$B$25*Inputs!$B$14*Inputs!$B$17*Inputs!$B$26/(IU12*Inputs!$B$16/0.866)))</f>
        <v>0.00811093600381269</v>
      </c>
      <c r="JD12" s="15" t="n">
        <f aca="false">(JA12-JB12-JC12)*(1-Inputs!$B$19)</f>
        <v>0.00333375449340792</v>
      </c>
      <c r="JE12" s="15" t="n">
        <f aca="false">(IX12+IY12+IZ12+JB12+JC12+JD12)*(1+Inputs!$B$27)</f>
        <v>0.337592604379261</v>
      </c>
      <c r="JF12" s="15" t="n">
        <f aca="false">Inputs!$B$52/(1-JE12-G12)</f>
        <v>213626.390113703</v>
      </c>
      <c r="JG12" s="15" t="n">
        <f aca="false">JF12/Inputs!$B$34</f>
        <v>356.043983522839</v>
      </c>
      <c r="JH12" s="15" t="n">
        <f aca="false">B12^2/JG12</f>
        <v>9.44827087573638</v>
      </c>
      <c r="JI12" s="15" t="n">
        <f aca="false">Inputs!$B$54*H12/(Inputs!$B$35*F12+E12*H12^2/(PI()*JH12*Inputs!$B$36))</f>
        <v>17.2696033986645</v>
      </c>
      <c r="JJ12" s="15" t="n">
        <f aca="false">EXP(-Inputs!$B$11*Inputs!$B$14*Inputs!$B$17/(Inputs!$B$51*JI12*Inputs!$B$16))</f>
        <v>0.728586562528571</v>
      </c>
      <c r="JK12" s="15" t="n">
        <f aca="false">Inputs!$B$50*Inputs!$B$18*JJ12*Inputs!$B$19</f>
        <v>0.711919583456825</v>
      </c>
      <c r="JL12" s="15" t="n">
        <f aca="false">1-JK12</f>
        <v>0.288080416543176</v>
      </c>
      <c r="JM12" s="15" t="n">
        <f aca="false">Inputs!$B$20*JL12</f>
        <v>0.00864241249629527</v>
      </c>
      <c r="JN12" s="15" t="n">
        <f aca="false">0.8*(1-Inputs!$B$50)*(JK12-JM12)</f>
        <v>0.0016939190201929</v>
      </c>
      <c r="JO12" s="15" t="n">
        <f aca="false">JK12-JM12-JN12</f>
        <v>0.701583251940336</v>
      </c>
      <c r="JP12" s="15" t="n">
        <f aca="false">JO12*(1-Inputs!$B$18*EXP(-Inputs!$B$21*Inputs!$B$14*Inputs!$B$17/(Inputs!$B$22*Inputs!$B$23*Inputs!$B$24*JI12*Inputs!$B$16))*Inputs!$B$19)</f>
        <v>0.0267225595005911</v>
      </c>
      <c r="JQ12" s="15" t="n">
        <f aca="false">(JO12-JP12)*(1-EXP(-Inputs!$B$25*Inputs!$B$14*Inputs!$B$17*Inputs!$B$26/(JI12*Inputs!$B$16/0.866)))</f>
        <v>0.00811096138968258</v>
      </c>
      <c r="JR12" s="15" t="n">
        <f aca="false">(JO12-JP12-JQ12)*(1-Inputs!$B$19)</f>
        <v>0.00333374865525032</v>
      </c>
      <c r="JS12" s="15" t="n">
        <f aca="false">(JL12+JM12+JN12+JP12+JQ12+JR12)*(1+Inputs!$B$27)</f>
        <v>0.337593769658003</v>
      </c>
      <c r="JT12" s="15" t="n">
        <f aca="false">Inputs!$B$52/(1-JS12-G12)</f>
        <v>213628.02013178</v>
      </c>
      <c r="JU12" s="15" t="n">
        <f aca="false">JT12/Inputs!$B$34</f>
        <v>356.046700219634</v>
      </c>
      <c r="JV12" s="15" t="n">
        <f aca="false">B12^2/JU12</f>
        <v>9.44819878382487</v>
      </c>
      <c r="JW12" s="15" t="n">
        <f aca="false">Inputs!$B$54*H12/(Inputs!$B$35*F12+E12*H12^2/(PI()*JV12*Inputs!$B$36))</f>
        <v>17.2695530032492</v>
      </c>
      <c r="JX12" s="15" t="n">
        <f aca="false">EXP(-Inputs!$B$11*Inputs!$B$14*Inputs!$B$17/(Inputs!$B$51*JW12*Inputs!$B$16))</f>
        <v>0.728585889290315</v>
      </c>
      <c r="JY12" s="15" t="n">
        <f aca="false">Inputs!$B$50*Inputs!$B$18*JX12*Inputs!$B$19</f>
        <v>0.711918925619412</v>
      </c>
      <c r="JZ12" s="15" t="n">
        <f aca="false">1-JY12</f>
        <v>0.288081074380588</v>
      </c>
      <c r="KA12" s="15" t="n">
        <f aca="false">Inputs!$B$20*JZ12</f>
        <v>0.00864243223141763</v>
      </c>
      <c r="KB12" s="15" t="n">
        <f aca="false">0.8*(1-Inputs!$B$50)*(JY12-KA12)</f>
        <v>0.00169391738818627</v>
      </c>
      <c r="KC12" s="15" t="n">
        <f aca="false">JY12-KA12-KB12</f>
        <v>0.701582575999809</v>
      </c>
      <c r="KD12" s="15" t="n">
        <f aca="false">KC12*(1-Inputs!$B$18*EXP(-Inputs!$B$21*Inputs!$B$14*Inputs!$B$17/(Inputs!$B$22*Inputs!$B$23*Inputs!$B$24*JW12*Inputs!$B$16))*Inputs!$B$19)</f>
        <v>0.0267225705956285</v>
      </c>
      <c r="KE12" s="15" t="n">
        <f aca="false">(KC12-KD12)*(1-EXP(-Inputs!$B$25*Inputs!$B$14*Inputs!$B$17*Inputs!$B$26/(JW12*Inputs!$B$16/0.866)))</f>
        <v>0.00811097665868929</v>
      </c>
      <c r="KF12" s="15" t="n">
        <f aca="false">(KC12-KD12-KE12)*(1-Inputs!$B$19)</f>
        <v>0.00333374514372746</v>
      </c>
      <c r="KG12" s="15" t="n">
        <f aca="false">(JZ12+KA12+KB12+KD12+KE12+KF12)*(1+Inputs!$B$27)</f>
        <v>0.337594470547431</v>
      </c>
      <c r="KH12" s="15" t="n">
        <f aca="false">Inputs!$B$52/(1-KG12-G12)</f>
        <v>213629.000563635</v>
      </c>
      <c r="KI12" s="15" t="n">
        <f aca="false">KH12/Inputs!$B$34</f>
        <v>356.048334272725</v>
      </c>
      <c r="KJ12" s="15" t="n">
        <f aca="false">B12^2/KI12</f>
        <v>9.44815542213224</v>
      </c>
      <c r="KK12" s="15" t="n">
        <f aca="false">Inputs!$B$54*H12/(Inputs!$B$35*F12+E12*H12^2/(PI()*KJ12*Inputs!$B$36))</f>
        <v>17.2695226912911</v>
      </c>
      <c r="KL12" s="15" t="n">
        <f aca="false">EXP(-Inputs!$B$11*Inputs!$B$14*Inputs!$B$17/(Inputs!$B$51*KK12*Inputs!$B$16))</f>
        <v>0.728585484347724</v>
      </c>
      <c r="KM12" s="15" t="n">
        <f aca="false">Inputs!$B$50*Inputs!$B$18*KL12*Inputs!$B$19</f>
        <v>0.711918529940195</v>
      </c>
      <c r="KN12" s="15" t="n">
        <f aca="false">1-KM12</f>
        <v>0.288081470059805</v>
      </c>
      <c r="KO12" s="15" t="n">
        <f aca="false">Inputs!$B$20*KN12</f>
        <v>0.00864244410179415</v>
      </c>
      <c r="KP12" s="15" t="n">
        <f aca="false">0.8*(1-Inputs!$B$50)*(KM12-KO12)</f>
        <v>0.00169391640655906</v>
      </c>
      <c r="KQ12" s="15" t="n">
        <f aca="false">KM12-KO12-KP12</f>
        <v>0.701582169431842</v>
      </c>
      <c r="KR12" s="15" t="n">
        <f aca="false">KQ12*(1-Inputs!$B$18*EXP(-Inputs!$B$21*Inputs!$B$14*Inputs!$B$17/(Inputs!$B$22*Inputs!$B$23*Inputs!$B$24*KK12*Inputs!$B$16))*Inputs!$B$19)</f>
        <v>0.0267225772691063</v>
      </c>
      <c r="KS12" s="15" t="n">
        <f aca="false">(KQ12-KR12)*(1-EXP(-Inputs!$B$25*Inputs!$B$14*Inputs!$B$17*Inputs!$B$26/(KK12*Inputs!$B$16/0.866)))</f>
        <v>0.00811098584275223</v>
      </c>
      <c r="KT12" s="15" t="n">
        <f aca="false">(KQ12-KR12-KS12)*(1-Inputs!$B$19)</f>
        <v>0.00333374303159992</v>
      </c>
      <c r="KU12" s="15" t="n">
        <f aca="false">(KN12+KO12+KP12+KR12+KS12+KT12)*(1+Inputs!$B$27)</f>
        <v>0.337594892121751</v>
      </c>
      <c r="KV12" s="15" t="n">
        <f aca="false">Inputs!$B$52/(1-KU12-G12)</f>
        <v>213629.590282803</v>
      </c>
      <c r="KW12" s="15" t="n">
        <f aca="false">KV12/Inputs!$B$34</f>
        <v>356.049317138005</v>
      </c>
      <c r="KX12" s="15" t="n">
        <f aca="false">B12^2/KW12</f>
        <v>9.44812934073431</v>
      </c>
      <c r="KY12" s="15" t="n">
        <f aca="false">Inputs!$B$54*H12/(Inputs!$B$35*F12+E12*H12^2/(PI()*KX12*Inputs!$B$36))</f>
        <v>17.2695044590271</v>
      </c>
      <c r="KZ12" s="15" t="n">
        <f aca="false">EXP(-Inputs!$B$11*Inputs!$B$14*Inputs!$B$17/(Inputs!$B$51*KY12*Inputs!$B$16))</f>
        <v>0.728585240779239</v>
      </c>
      <c r="LA12" s="15" t="n">
        <f aca="false">Inputs!$B$50*Inputs!$B$18*KZ12*Inputs!$B$19</f>
        <v>0.711918291943527</v>
      </c>
      <c r="LB12" s="15" t="n">
        <f aca="false">1-LA12</f>
        <v>0.288081708056473</v>
      </c>
      <c r="LC12" s="15" t="n">
        <f aca="false">Inputs!$B$20*LB12</f>
        <v>0.0086424512416942</v>
      </c>
      <c r="LD12" s="15" t="n">
        <f aca="false">0.8*(1-Inputs!$B$50)*(LA12-LC12)</f>
        <v>0.00169391581612116</v>
      </c>
      <c r="LE12" s="15" t="n">
        <f aca="false">LA12-LC12-LD12</f>
        <v>0.701581924885712</v>
      </c>
      <c r="LF12" s="15" t="n">
        <f aca="false">LE12*(1-Inputs!$B$18*EXP(-Inputs!$B$21*Inputs!$B$14*Inputs!$B$17/(Inputs!$B$22*Inputs!$B$23*Inputs!$B$24*KY12*Inputs!$B$16))*Inputs!$B$19)</f>
        <v>0.0267225812831225</v>
      </c>
      <c r="LG12" s="15" t="n">
        <f aca="false">(LE12-LF12)*(1-EXP(-Inputs!$B$25*Inputs!$B$14*Inputs!$B$17*Inputs!$B$26/(KY12*Inputs!$B$16/0.866)))</f>
        <v>0.00811099136685979</v>
      </c>
      <c r="LH12" s="15" t="n">
        <f aca="false">(LE12-LF12-LG12)*(1-Inputs!$B$19)</f>
        <v>0.00333374176117865</v>
      </c>
      <c r="LI12" s="15" t="n">
        <f aca="false">(LB12+LC12+LD12+LF12+LG12+LH12)*(1+Inputs!$B$27)</f>
        <v>0.337595145694026</v>
      </c>
      <c r="LJ12" s="15" t="n">
        <f aca="false">Inputs!$B$52/(1-LI12-G12)</f>
        <v>213629.944993905</v>
      </c>
      <c r="LK12" s="15" t="n">
        <f aca="false">LJ12/Inputs!$B$34</f>
        <v>356.049908323176</v>
      </c>
      <c r="LL12" s="15" t="n">
        <f aca="false">B12^2/LK12</f>
        <v>9.44811365306293</v>
      </c>
      <c r="LM12" s="15" t="n">
        <f aca="false">Inputs!$B$54*H12/(Inputs!$B$35*F12+E12*H12^2/(PI()*LL12*Inputs!$B$36))</f>
        <v>17.2694934924927</v>
      </c>
      <c r="LN12" s="15" t="n">
        <f aca="false">EXP(-Inputs!$B$11*Inputs!$B$14*Inputs!$B$17/(Inputs!$B$51*LM12*Inputs!$B$16))</f>
        <v>0.72858509427489</v>
      </c>
      <c r="LO12" s="15" t="n">
        <f aca="false">Inputs!$B$50*Inputs!$B$18*LN12*Inputs!$B$19</f>
        <v>0.711918148790578</v>
      </c>
      <c r="LP12" s="15" t="n">
        <f aca="false">1-LO12</f>
        <v>0.288081851209422</v>
      </c>
      <c r="LQ12" s="15" t="n">
        <f aca="false">Inputs!$B$20*LP12</f>
        <v>0.00864245553628267</v>
      </c>
      <c r="LR12" s="15" t="n">
        <f aca="false">0.8*(1-Inputs!$B$50)*(LO12-LQ12)</f>
        <v>0.00169391546097784</v>
      </c>
      <c r="LS12" s="15" t="n">
        <f aca="false">LO12-LQ12-LR12</f>
        <v>0.701581777793317</v>
      </c>
      <c r="LT12" s="15" t="n">
        <f aca="false">LS12*(1-Inputs!$B$18*EXP(-Inputs!$B$21*Inputs!$B$14*Inputs!$B$17/(Inputs!$B$22*Inputs!$B$23*Inputs!$B$24*LM12*Inputs!$B$16))*Inputs!$B$19)</f>
        <v>0.0267225836975164</v>
      </c>
      <c r="LU12" s="15" t="n">
        <f aca="false">(LS12-LT12)*(1-EXP(-Inputs!$B$25*Inputs!$B$14*Inputs!$B$17*Inputs!$B$26/(LM12*Inputs!$B$16/0.866)))</f>
        <v>0.00811099468956134</v>
      </c>
      <c r="LV12" s="15" t="n">
        <f aca="false">(LS12-LT12-LU12)*(1-Inputs!$B$19)</f>
        <v>0.0033337409970312</v>
      </c>
      <c r="LW12" s="15" t="n">
        <f aca="false">(LP12+LQ12+LR12+LT12+LU12+LV12)*(1+Inputs!$B$27)</f>
        <v>0.337595298215564</v>
      </c>
      <c r="LX12" s="15" t="n">
        <f aca="false">Inputs!$B$52/(1-LW12-G12)</f>
        <v>213630.158350144</v>
      </c>
      <c r="LY12" s="15" t="n">
        <f aca="false">LX12/Inputs!$B$34</f>
        <v>356.050263916907</v>
      </c>
      <c r="LZ12" s="15" t="n">
        <f aca="false">B12^2/LY12</f>
        <v>9.44810421706378</v>
      </c>
      <c r="MA12" s="15" t="n">
        <f aca="false">Inputs!$B$54*H12/(Inputs!$B$35*F12+E12*H12^2/(PI()*LZ12*Inputs!$B$36))</f>
        <v>17.2694868962059</v>
      </c>
      <c r="MB12" s="15" t="n">
        <f aca="false">EXP(-Inputs!$B$11*Inputs!$B$14*Inputs!$B$17/(Inputs!$B$51*MA12*Inputs!$B$16))</f>
        <v>0.728585006153566</v>
      </c>
      <c r="MC12" s="15" t="n">
        <f aca="false">Inputs!$B$50*Inputs!$B$18*MB12*Inputs!$B$19</f>
        <v>0.711918062685098</v>
      </c>
      <c r="MD12" s="15" t="n">
        <f aca="false">1-MC12</f>
        <v>0.288081937314903</v>
      </c>
      <c r="ME12" s="15" t="n">
        <f aca="false">Inputs!$B$20*MD12</f>
        <v>0.00864245811944707</v>
      </c>
      <c r="MF12" s="15" t="n">
        <f aca="false">0.8*(1-Inputs!$B$50)*(MC12-ME12)</f>
        <v>0.00169391524736166</v>
      </c>
      <c r="MG12" s="15" t="n">
        <f aca="false">MC12-ME12-MF12</f>
        <v>0.701581689318289</v>
      </c>
      <c r="MH12" s="15" t="n">
        <f aca="false">MG12*(1-Inputs!$B$18*EXP(-Inputs!$B$21*Inputs!$B$14*Inputs!$B$17/(Inputs!$B$22*Inputs!$B$23*Inputs!$B$24*MA12*Inputs!$B$16))*Inputs!$B$19)</f>
        <v>0.0267225851497561</v>
      </c>
      <c r="MI12" s="15" t="n">
        <f aca="false">(MG12-MH12)*(1-EXP(-Inputs!$B$25*Inputs!$B$14*Inputs!$B$17*Inputs!$B$26/(MA12*Inputs!$B$16/0.866)))</f>
        <v>0.00811099668814208</v>
      </c>
      <c r="MJ12" s="15" t="n">
        <f aca="false">(MG12-MH12-MI12)*(1-Inputs!$B$19)</f>
        <v>0.00333374053740196</v>
      </c>
      <c r="MK12" s="15" t="n">
        <f aca="false">(MD12+ME12+MF12+MH12+MI12+MJ12)*(1+Inputs!$B$27)</f>
        <v>0.337595389956182</v>
      </c>
      <c r="ML12" s="15" t="n">
        <f aca="false">Inputs!$B$52/(1-MK12-G12)</f>
        <v>213630.286682607</v>
      </c>
      <c r="MM12" s="15" t="n">
        <f aca="false">ML12/Inputs!$B$34</f>
        <v>356.050477804345</v>
      </c>
      <c r="MN12" s="15" t="n">
        <f aca="false">B12^2/MM12</f>
        <v>9.44809854137752</v>
      </c>
      <c r="MO12" s="15" t="n">
        <f aca="false">Inputs!$B$54*H12/(Inputs!$B$35*F12+E12*H12^2/(PI()*MN12*Inputs!$B$36))</f>
        <v>17.2694829285825</v>
      </c>
      <c r="MP12" s="15" t="n">
        <f aca="false">EXP(-Inputs!$B$11*Inputs!$B$14*Inputs!$B$17/(Inputs!$B$51*MO12*Inputs!$B$16))</f>
        <v>0.728584953149138</v>
      </c>
      <c r="MQ12" s="15" t="n">
        <f aca="false">Inputs!$B$50*Inputs!$B$18*MP12*Inputs!$B$19</f>
        <v>0.711918010893187</v>
      </c>
      <c r="MR12" s="15" t="n">
        <f aca="false">1-MQ12</f>
        <v>0.288081989106813</v>
      </c>
      <c r="MS12" s="15" t="n">
        <f aca="false">Inputs!$B$20*MR12</f>
        <v>0.0086424596732044</v>
      </c>
      <c r="MT12" s="15" t="n">
        <f aca="false">0.8*(1-Inputs!$B$50)*(MQ12-MS12)</f>
        <v>0.00169391511887286</v>
      </c>
      <c r="MU12" s="15" t="n">
        <f aca="false">MQ12-MS12-MT12</f>
        <v>0.701581636101109</v>
      </c>
      <c r="MV12" s="15" t="n">
        <f aca="false">MU12*(1-Inputs!$B$18*EXP(-Inputs!$B$21*Inputs!$B$14*Inputs!$B$17/(Inputs!$B$22*Inputs!$B$23*Inputs!$B$24*MO12*Inputs!$B$16))*Inputs!$B$19)</f>
        <v>0.026722586023269</v>
      </c>
      <c r="MW12" s="15" t="n">
        <f aca="false">(MU12-MV12)*(1-EXP(-Inputs!$B$25*Inputs!$B$14*Inputs!$B$17*Inputs!$B$26/(MO12*Inputs!$B$16/0.866)))</f>
        <v>0.00811099789027568</v>
      </c>
      <c r="MX12" s="15" t="n">
        <f aca="false">(MU12-MV12-MW12)*(1-Inputs!$B$19)</f>
        <v>0.00333374026093783</v>
      </c>
      <c r="MY12" s="15" t="n">
        <f aca="false">(MR12+MS12+MT12+MV12+MW12+MX12)*(1+Inputs!$B$27)</f>
        <v>0.337595445137593</v>
      </c>
      <c r="MZ12" s="15" t="n">
        <f aca="false">Inputs!$B$52/(1-MY12-G12)</f>
        <v>213630.363873859</v>
      </c>
      <c r="NA12" s="15" t="n">
        <f aca="false">MZ12/Inputs!$B$34</f>
        <v>356.050606456431</v>
      </c>
      <c r="NB12" s="15" t="n">
        <f aca="false">B12^2/NA12</f>
        <v>9.44809512748756</v>
      </c>
      <c r="NC12" s="15" t="n">
        <f aca="false">Inputs!$B$54*H12/(Inputs!$B$35*F12+E12*H12^2/(PI()*NB12*Inputs!$B$36))</f>
        <v>17.2694805420803</v>
      </c>
      <c r="ND12" s="15" t="n">
        <f aca="false">EXP(-Inputs!$B$11*Inputs!$B$14*Inputs!$B$17/(Inputs!$B$51*NC12*Inputs!$B$16))</f>
        <v>0.728584921267276</v>
      </c>
      <c r="NE12" s="15" t="n">
        <f aca="false">Inputs!$B$50*Inputs!$B$18*ND12*Inputs!$B$19</f>
        <v>0.711917979740647</v>
      </c>
      <c r="NF12" s="15" t="n">
        <f aca="false">1-NE12</f>
        <v>0.288082020259353</v>
      </c>
      <c r="NG12" s="15" t="n">
        <f aca="false">Inputs!$B$20*NF12</f>
        <v>0.0086424606077806</v>
      </c>
      <c r="NH12" s="15" t="n">
        <f aca="false">0.8*(1-Inputs!$B$50)*(NE12-NG12)</f>
        <v>0.00169391504158758</v>
      </c>
      <c r="NI12" s="15" t="n">
        <f aca="false">NE12-NG12-NH12</f>
        <v>0.701581604091279</v>
      </c>
      <c r="NJ12" s="15" t="n">
        <f aca="false">NI12*(1-Inputs!$B$18*EXP(-Inputs!$B$21*Inputs!$B$14*Inputs!$B$17/(Inputs!$B$22*Inputs!$B$23*Inputs!$B$24*NC12*Inputs!$B$16))*Inputs!$B$19)</f>
        <v>0.026722586548682</v>
      </c>
      <c r="NK12" s="15" t="n">
        <f aca="false">(NI12-NJ12)*(1-EXP(-Inputs!$B$25*Inputs!$B$14*Inputs!$B$17*Inputs!$B$26/(NC12*Inputs!$B$16/0.866)))</f>
        <v>0.00811099861335217</v>
      </c>
      <c r="NL12" s="15" t="n">
        <f aca="false">(NI12-NJ12-NK12)*(1-Inputs!$B$19)</f>
        <v>0.00333374009464622</v>
      </c>
      <c r="NM12" s="15" t="n">
        <f aca="false">(NF12+NG12+NH12+NJ12+NK12+NL12)*(1+Inputs!$B$27)</f>
        <v>0.337595478328898</v>
      </c>
      <c r="NN12" s="15" t="n">
        <f aca="false">Inputs!$B$52/(1-NM12-G12)</f>
        <v>213630.410303985</v>
      </c>
    </row>
    <row r="13" customFormat="false" ht="15" hidden="false" customHeight="false" outlineLevel="0" collapsed="false">
      <c r="A13" s="21" t="s">
        <v>501</v>
      </c>
      <c r="B13" s="21" t="n">
        <v>58</v>
      </c>
      <c r="C13" s="22" t="n">
        <v>0.05</v>
      </c>
      <c r="D13" s="23" t="n">
        <f aca="false">B13*C13</f>
        <v>2.9</v>
      </c>
      <c r="E13" s="24" t="n">
        <f aca="false">IF(C13=0,1,(1+0.45*C13)/(1.04+2.81*C13))</f>
        <v>0.866158407454468</v>
      </c>
      <c r="F13" s="24" t="n">
        <f aca="false">1+Inputs!$B$42*D13</f>
        <v>1.0145</v>
      </c>
      <c r="G13" s="25" t="n">
        <f aca="false">Inputs!$B$31+Inputs!$B$43*(B13/Inputs!$B$32-1)+Inputs!$B$44+Inputs!$B$45*D13</f>
        <v>0.5154275</v>
      </c>
      <c r="H13" s="22" t="n">
        <f aca="false">Inputs!$B$38</f>
        <v>0.5</v>
      </c>
      <c r="I13" s="23" t="n">
        <f aca="false">Inputs!$B$40</f>
        <v>2.4</v>
      </c>
      <c r="J13" s="26" t="n">
        <f aca="false">NN13/Inputs!$B$34</f>
        <v>336.287316322579</v>
      </c>
      <c r="K13" s="23" t="n">
        <f aca="false">B13^2/J13</f>
        <v>10.0033508155661</v>
      </c>
      <c r="L13" s="23" t="n">
        <f aca="false">2*K13</f>
        <v>20.0067016311322</v>
      </c>
      <c r="M13" s="22" t="n">
        <f aca="false">NC13</f>
        <v>18.3839345247593</v>
      </c>
      <c r="N13" s="23" t="n">
        <f aca="false">B13/SQRT(E13)</f>
        <v>62.3202706743104</v>
      </c>
      <c r="O13" s="24" t="n">
        <f aca="false">NM13</f>
        <v>0.322880407075979</v>
      </c>
      <c r="P13" s="23" t="n">
        <f aca="false">NN13/1000</f>
        <v>201.772389793548</v>
      </c>
      <c r="Q13" s="23" t="n">
        <f aca="false">G13*NN13/1000</f>
        <v>103.999038440314</v>
      </c>
      <c r="R13" s="23" t="n">
        <f aca="false">NM13*NN13/1000</f>
        <v>65.1483513532338</v>
      </c>
      <c r="S13" s="23" t="n">
        <f aca="false">NM13*NN13/Inputs!$B$28/1000</f>
        <v>86.8644684709784</v>
      </c>
      <c r="T13" s="27" t="n">
        <f aca="false">R13/Sweep!$R$5-1</f>
        <v>0.042429970763926</v>
      </c>
      <c r="U13" s="27" t="n">
        <f aca="false">R13/SUMIFS(Sweep!$R:$R,Sweep!$A:$A,"Conventional",Sweep!$B:$B,B13)-1</f>
        <v>-0.0966756148038173</v>
      </c>
      <c r="V13" s="26" t="n">
        <f aca="false">2*0.54*(J13/2)^1.5/SQRT(L13)*Inputs!$B$46*Inputs!$B$47</f>
        <v>49.2230314132815</v>
      </c>
      <c r="W13" s="28" t="n">
        <f aca="false">MIN(1,V13/S13)</f>
        <v>0.566664739676925</v>
      </c>
      <c r="X13" s="26" t="n">
        <f aca="false">1.23*SQRT(2*Inputs!$B$41*NN13*Inputs!$B$49/(1.225*J13*I13))/0.5144</f>
        <v>133.62967568068</v>
      </c>
      <c r="Y13" s="29" t="n">
        <f aca="false">(11000+6341.6*LN(0.36392/(2*Inputs!$B$50*Inputs!$B$18*(1+ND13)/2*Inputs!$B$34*Inputs!$B$49/((Inputs!$B$12*295.07)^2*H13))))/0.3048</f>
        <v>38747.7395279563</v>
      </c>
      <c r="Z13" s="26" t="n">
        <f aca="false">NN13-MZ13</f>
        <v>7.75318767409772E-005</v>
      </c>
      <c r="AA13" s="30" t="str">
        <f aca="false">IF(ABS(NN13-MZ13)&lt;10,"Yes","No")</f>
        <v>Yes</v>
      </c>
      <c r="AC13" s="15" t="n">
        <f aca="false">Inputs!$B$52/(1-0.3154-G13)/Inputs!$B$34</f>
        <v>321.417488066914</v>
      </c>
      <c r="AD13" s="15" t="n">
        <f aca="false">B13^2/AC13</f>
        <v>10.4661386666667</v>
      </c>
      <c r="AE13" s="15" t="n">
        <f aca="false">Inputs!$B$54*H13/(Inputs!$B$35*F13+E13*H13^2/(PI()*AD13*Inputs!$B$36))</f>
        <v>18.6587304103497</v>
      </c>
      <c r="AF13" s="15" t="n">
        <f aca="false">EXP(-Inputs!$B$11*Inputs!$B$14*Inputs!$B$17/(Inputs!$B$51*AE13*Inputs!$B$16))</f>
        <v>0.745966494008514</v>
      </c>
      <c r="AG13" s="15" t="n">
        <f aca="false">Inputs!$B$50*Inputs!$B$18*AF13*Inputs!$B$19</f>
        <v>0.728901935611067</v>
      </c>
      <c r="AH13" s="15" t="n">
        <f aca="false">1-AG13</f>
        <v>0.271098064388933</v>
      </c>
      <c r="AI13" s="15" t="n">
        <f aca="false">Inputs!$B$20*AH13</f>
        <v>0.00813294193166798</v>
      </c>
      <c r="AJ13" s="15" t="n">
        <f aca="false">0.8*(1-Inputs!$B$50)*(AG13-AI13)</f>
        <v>0.00173604996432815</v>
      </c>
      <c r="AK13" s="15" t="n">
        <f aca="false">AG13-AI13-AJ13</f>
        <v>0.719032943715071</v>
      </c>
      <c r="AL13" s="15" t="n">
        <f aca="false">AK13*(1-Inputs!$B$18*EXP(-Inputs!$B$21*Inputs!$B$14*Inputs!$B$17/(Inputs!$B$22*Inputs!$B$23*Inputs!$B$24*AE13*Inputs!$B$16))*Inputs!$B$19)</f>
        <v>0.0264232540382564</v>
      </c>
      <c r="AM13" s="15" t="n">
        <f aca="false">(AK13-AL13)*(1-EXP(-Inputs!$B$25*Inputs!$B$14*Inputs!$B$17*Inputs!$B$26/(AE13*Inputs!$B$16/0.866)))</f>
        <v>0.00770800762580714</v>
      </c>
      <c r="AN13" s="15" t="n">
        <f aca="false">(AK13-AL13-AM13)*(1-Inputs!$B$19)</f>
        <v>0.00342450841025504</v>
      </c>
      <c r="AO13" s="15" t="n">
        <f aca="false">(AH13+AI13+AJ13+AL13+AM13+AN13)*(1+Inputs!$B$27)</f>
        <v>0.319478394838325</v>
      </c>
      <c r="AP13" s="15" t="n">
        <f aca="false">Inputs!$B$52/(1-AO13-G13)</f>
        <v>197614.566359293</v>
      </c>
      <c r="AQ13" s="15" t="n">
        <f aca="false">AP13/Inputs!$B$34</f>
        <v>329.357610598822</v>
      </c>
      <c r="AR13" s="15" t="n">
        <f aca="false">B13^2/AQ13</f>
        <v>10.213821972669</v>
      </c>
      <c r="AS13" s="15" t="n">
        <f aca="false">Inputs!$B$54*H13/(Inputs!$B$35*F13+E13*H13^2/(PI()*AR13*Inputs!$B$36))</f>
        <v>18.5109821151997</v>
      </c>
      <c r="AT13" s="15" t="n">
        <f aca="false">EXP(-Inputs!$B$11*Inputs!$B$14*Inputs!$B$17/(Inputs!$B$51*AS13*Inputs!$B$16))</f>
        <v>0.744223553138039</v>
      </c>
      <c r="AU13" s="15" t="n">
        <f aca="false">Inputs!$B$50*Inputs!$B$18*AT13*Inputs!$B$19</f>
        <v>0.727198865856127</v>
      </c>
      <c r="AV13" s="15" t="n">
        <f aca="false">1-AU13</f>
        <v>0.272801134143873</v>
      </c>
      <c r="AW13" s="15" t="n">
        <f aca="false">Inputs!$B$20*AV13</f>
        <v>0.0081840340243162</v>
      </c>
      <c r="AX13" s="15" t="n">
        <f aca="false">0.8*(1-Inputs!$B$50)*(AU13-AW13)</f>
        <v>0.00173182487606875</v>
      </c>
      <c r="AY13" s="15" t="n">
        <f aca="false">AU13-AW13-AX13</f>
        <v>0.717283006955742</v>
      </c>
      <c r="AZ13" s="15" t="n">
        <f aca="false">AY13*(1-Inputs!$B$18*EXP(-Inputs!$B$21*Inputs!$B$14*Inputs!$B$17/(Inputs!$B$22*Inputs!$B$23*Inputs!$B$24*AS13*Inputs!$B$16))*Inputs!$B$19)</f>
        <v>0.0264544240949698</v>
      </c>
      <c r="BA13" s="15" t="n">
        <f aca="false">(AY13-AZ13)*(1-EXP(-Inputs!$B$25*Inputs!$B$14*Inputs!$B$17*Inputs!$B$26/(AS13*Inputs!$B$16/0.866)))</f>
        <v>0.0077492048016377</v>
      </c>
      <c r="BB13" s="15" t="n">
        <f aca="false">(AY13-AZ13-BA13)*(1-Inputs!$B$19)</f>
        <v>0.00341539689029568</v>
      </c>
      <c r="BC13" s="15" t="n">
        <f aca="false">(AV13+AW13+AX13+AZ13+BA13+BB13)*(1+Inputs!$B$27)</f>
        <v>0.321297026887655</v>
      </c>
      <c r="BD13" s="15" t="n">
        <f aca="false">Inputs!$B$52/(1-BC13-G13)</f>
        <v>199815.681915383</v>
      </c>
      <c r="BE13" s="15" t="n">
        <f aca="false">BD13/Inputs!$B$34</f>
        <v>333.026136525638</v>
      </c>
      <c r="BF13" s="15" t="n">
        <f aca="false">B13^2/BE13</f>
        <v>10.1013092698838</v>
      </c>
      <c r="BG13" s="15" t="n">
        <f aca="false">Inputs!$B$54*H13/(Inputs!$B$35*F13+E13*H13^2/(PI()*BF13*Inputs!$B$36))</f>
        <v>18.4435062806562</v>
      </c>
      <c r="BH13" s="15" t="n">
        <f aca="false">EXP(-Inputs!$B$11*Inputs!$B$14*Inputs!$B$17/(Inputs!$B$51*BG13*Inputs!$B$16))</f>
        <v>0.743419648894001</v>
      </c>
      <c r="BI13" s="15" t="n">
        <f aca="false">Inputs!$B$50*Inputs!$B$18*BH13*Inputs!$B$19</f>
        <v>0.726413351541165</v>
      </c>
      <c r="BJ13" s="15" t="n">
        <f aca="false">1-BI13</f>
        <v>0.273586648458835</v>
      </c>
      <c r="BK13" s="15" t="n">
        <f aca="false">Inputs!$B$20*BJ13</f>
        <v>0.00820759945376504</v>
      </c>
      <c r="BL13" s="15" t="n">
        <f aca="false">0.8*(1-Inputs!$B$50)*(BI13-BK13)</f>
        <v>0.00172987612012373</v>
      </c>
      <c r="BM13" s="15" t="n">
        <f aca="false">BI13-BK13-BL13</f>
        <v>0.716475875967277</v>
      </c>
      <c r="BN13" s="15" t="n">
        <f aca="false">BM13*(1-Inputs!$B$18*EXP(-Inputs!$B$21*Inputs!$B$14*Inputs!$B$17/(Inputs!$B$22*Inputs!$B$23*Inputs!$B$24*BG13*Inputs!$B$16))*Inputs!$B$19)</f>
        <v>0.0264687146462505</v>
      </c>
      <c r="BO13" s="15" t="n">
        <f aca="false">(BM13-BN13)*(1-EXP(-Inputs!$B$25*Inputs!$B$14*Inputs!$B$17*Inputs!$B$26/(BG13*Inputs!$B$16/0.866)))</f>
        <v>0.00776814757238117</v>
      </c>
      <c r="BP13" s="15" t="n">
        <f aca="false">(BM13-BN13-BO13)*(1-Inputs!$B$19)</f>
        <v>0.00341119506874323</v>
      </c>
      <c r="BQ13" s="15" t="n">
        <f aca="false">(BJ13+BK13+BL13+BN13+BO13+BP13)*(1+Inputs!$B$27)</f>
        <v>0.322135697864059</v>
      </c>
      <c r="BR13" s="15" t="n">
        <f aca="false">Inputs!$B$52/(1-BQ13-G13)</f>
        <v>200847.3422956</v>
      </c>
      <c r="BS13" s="15" t="n">
        <f aca="false">BR13/Inputs!$B$34</f>
        <v>334.745570492666</v>
      </c>
      <c r="BT13" s="15" t="n">
        <f aca="false">B13^2/BS13</f>
        <v>10.0494234921436</v>
      </c>
      <c r="BU13" s="15" t="n">
        <f aca="false">Inputs!$B$54*H13/(Inputs!$B$35*F13+E13*H13^2/(PI()*BT13*Inputs!$B$36))</f>
        <v>18.4120494586191</v>
      </c>
      <c r="BV13" s="15" t="n">
        <f aca="false">EXP(-Inputs!$B$11*Inputs!$B$14*Inputs!$B$17/(Inputs!$B$51*BU13*Inputs!$B$16))</f>
        <v>0.743043158821595</v>
      </c>
      <c r="BW13" s="15" t="n">
        <f aca="false">Inputs!$B$50*Inputs!$B$18*BV13*Inputs!$B$19</f>
        <v>0.726045473969292</v>
      </c>
      <c r="BX13" s="15" t="n">
        <f aca="false">1-BW13</f>
        <v>0.273954526030708</v>
      </c>
      <c r="BY13" s="15" t="n">
        <f aca="false">Inputs!$B$20*BX13</f>
        <v>0.00821863578092125</v>
      </c>
      <c r="BZ13" s="15" t="n">
        <f aca="false">0.8*(1-Inputs!$B$50)*(BW13-BY13)</f>
        <v>0.00172896346507522</v>
      </c>
      <c r="CA13" s="15" t="n">
        <f aca="false">BW13-BY13-BZ13</f>
        <v>0.716097874723295</v>
      </c>
      <c r="CB13" s="15" t="n">
        <f aca="false">CA13*(1-Inputs!$B$18*EXP(-Inputs!$B$21*Inputs!$B$14*Inputs!$B$17/(Inputs!$B$22*Inputs!$B$23*Inputs!$B$24*BU13*Inputs!$B$16))*Inputs!$B$19)</f>
        <v>0.0264753885739977</v>
      </c>
      <c r="CC13" s="15" t="n">
        <f aca="false">(CA13-CB13)*(1-EXP(-Inputs!$B$25*Inputs!$B$14*Inputs!$B$17*Inputs!$B$26/(BU13*Inputs!$B$16/0.866)))</f>
        <v>0.00777700620972738</v>
      </c>
      <c r="CD13" s="15" t="n">
        <f aca="false">(CA13-CB13-CC13)*(1-Inputs!$B$19)</f>
        <v>0.00340922739969785</v>
      </c>
      <c r="CE13" s="15" t="n">
        <f aca="false">(BX13+BY13+BZ13+CB13+CC13+CD13)*(1+Inputs!$B$27)</f>
        <v>0.322528438702508</v>
      </c>
      <c r="CF13" s="15" t="n">
        <f aca="false">Inputs!$B$52/(1-CE13-G13)</f>
        <v>201334.129364388</v>
      </c>
      <c r="CG13" s="15" t="n">
        <f aca="false">CF13/Inputs!$B$34</f>
        <v>335.556882273979</v>
      </c>
      <c r="CH13" s="15" t="n">
        <f aca="false">B13^2/CG13</f>
        <v>10.0251259256048</v>
      </c>
      <c r="CI13" s="15" t="n">
        <f aca="false">Inputs!$B$54*H13/(Inputs!$B$35*F13+E13*H13^2/(PI()*CH13*Inputs!$B$36))</f>
        <v>18.3972438452937</v>
      </c>
      <c r="CJ13" s="15" t="n">
        <f aca="false">EXP(-Inputs!$B$11*Inputs!$B$14*Inputs!$B$17/(Inputs!$B$51*CI13*Inputs!$B$16))</f>
        <v>0.742865578881177</v>
      </c>
      <c r="CK13" s="15" t="n">
        <f aca="false">Inputs!$B$50*Inputs!$B$18*CJ13*Inputs!$B$19</f>
        <v>0.725871956306855</v>
      </c>
      <c r="CL13" s="15" t="n">
        <f aca="false">1-CK13</f>
        <v>0.274128043693145</v>
      </c>
      <c r="CM13" s="15" t="n">
        <f aca="false">Inputs!$B$20*CL13</f>
        <v>0.00822384131079434</v>
      </c>
      <c r="CN13" s="15" t="n">
        <f aca="false">0.8*(1-Inputs!$B$50)*(CK13-CM13)</f>
        <v>0.00172853299096443</v>
      </c>
      <c r="CO13" s="15" t="n">
        <f aca="false">CK13-CM13-CN13</f>
        <v>0.715919582005096</v>
      </c>
      <c r="CP13" s="15" t="n">
        <f aca="false">CO13*(1-Inputs!$B$18*EXP(-Inputs!$B$21*Inputs!$B$14*Inputs!$B$17/(Inputs!$B$22*Inputs!$B$23*Inputs!$B$24*CI13*Inputs!$B$16))*Inputs!$B$19)</f>
        <v>0.0264785323330512</v>
      </c>
      <c r="CQ13" s="15" t="n">
        <f aca="false">(CO13-CP13)*(1-EXP(-Inputs!$B$25*Inputs!$B$14*Inputs!$B$17*Inputs!$B$26/(CI13*Inputs!$B$16/0.866)))</f>
        <v>0.0077811817539829</v>
      </c>
      <c r="CR13" s="15" t="n">
        <f aca="false">(CO13-CP13-CQ13)*(1-Inputs!$B$19)</f>
        <v>0.00340829933959031</v>
      </c>
      <c r="CS13" s="15" t="n">
        <f aca="false">(CL13+CM13+CN13+CP13+CQ13+CR13)*(1+Inputs!$B$27)</f>
        <v>0.322713676715793</v>
      </c>
      <c r="CT13" s="15" t="n">
        <f aca="false">Inputs!$B$52/(1-CS13-G13)</f>
        <v>201564.54457051</v>
      </c>
      <c r="CU13" s="15" t="n">
        <f aca="false">CT13/Inputs!$B$34</f>
        <v>335.940907617517</v>
      </c>
      <c r="CV13" s="15" t="n">
        <f aca="false">B13^2/CU13</f>
        <v>10.013665867183</v>
      </c>
      <c r="CW13" s="15" t="n">
        <f aca="false">Inputs!$B$54*H13/(Inputs!$B$35*F13+E13*H13^2/(PI()*CV13*Inputs!$B$36))</f>
        <v>18.3902440737322</v>
      </c>
      <c r="CX13" s="15" t="n">
        <f aca="false">EXP(-Inputs!$B$11*Inputs!$B$14*Inputs!$B$17/(Inputs!$B$51*CW13*Inputs!$B$16))</f>
        <v>0.742781538204743</v>
      </c>
      <c r="CY13" s="15" t="n">
        <f aca="false">Inputs!$B$50*Inputs!$B$18*CX13*Inputs!$B$19</f>
        <v>0.725789838125656</v>
      </c>
      <c r="CZ13" s="15" t="n">
        <f aca="false">1-CY13</f>
        <v>0.274210161874344</v>
      </c>
      <c r="DA13" s="15" t="n">
        <f aca="false">Inputs!$B$20*CZ13</f>
        <v>0.00822630485623031</v>
      </c>
      <c r="DB13" s="15" t="n">
        <f aca="false">0.8*(1-Inputs!$B$50)*(CY13-DA13)</f>
        <v>0.00172832926674101</v>
      </c>
      <c r="DC13" s="15" t="n">
        <f aca="false">CY13-DA13-DB13</f>
        <v>0.715835204002685</v>
      </c>
      <c r="DD13" s="15" t="n">
        <f aca="false">DC13*(1-Inputs!$B$18*EXP(-Inputs!$B$21*Inputs!$B$14*Inputs!$B$17/(Inputs!$B$22*Inputs!$B$23*Inputs!$B$24*CW13*Inputs!$B$16))*Inputs!$B$19)</f>
        <v>0.0264800192070487</v>
      </c>
      <c r="DE13" s="15" t="n">
        <f aca="false">(DC13-DD13)*(1-EXP(-Inputs!$B$25*Inputs!$B$14*Inputs!$B$17*Inputs!$B$26/(CW13*Inputs!$B$16/0.866)))</f>
        <v>0.00778315722062604</v>
      </c>
      <c r="DF13" s="15" t="n">
        <f aca="false">(DC13-DD13-DE13)*(1-Inputs!$B$19)</f>
        <v>0.00340786013787505</v>
      </c>
      <c r="DG13" s="15" t="n">
        <f aca="false">(CZ13+DA13+DB13+DD13+DE13+DF13)*(1+Inputs!$B$27)</f>
        <v>0.322801340060553</v>
      </c>
      <c r="DH13" s="15" t="n">
        <f aca="false">Inputs!$B$52/(1-DG13-G13)</f>
        <v>201673.771840494</v>
      </c>
      <c r="DI13" s="15" t="n">
        <f aca="false">DH13/Inputs!$B$34</f>
        <v>336.12295306749</v>
      </c>
      <c r="DJ13" s="15" t="n">
        <f aca="false">B13^2/DI13</f>
        <v>10.0082424282538</v>
      </c>
      <c r="DK13" s="15" t="n">
        <f aca="false">Inputs!$B$54*H13/(Inputs!$B$35*F13+E13*H13^2/(PI()*DJ13*Inputs!$B$36))</f>
        <v>18.3869277248408</v>
      </c>
      <c r="DL13" s="15" t="n">
        <f aca="false">EXP(-Inputs!$B$11*Inputs!$B$14*Inputs!$B$17/(Inputs!$B$51*DK13*Inputs!$B$16))</f>
        <v>0.742741702429981</v>
      </c>
      <c r="DM13" s="15" t="n">
        <f aca="false">Inputs!$B$50*Inputs!$B$18*DL13*Inputs!$B$19</f>
        <v>0.72575091362494</v>
      </c>
      <c r="DN13" s="15" t="n">
        <f aca="false">1-DM13</f>
        <v>0.27424908637506</v>
      </c>
      <c r="DO13" s="15" t="n">
        <f aca="false">Inputs!$B$20*DN13</f>
        <v>0.00822747259125181</v>
      </c>
      <c r="DP13" s="15" t="n">
        <f aca="false">0.8*(1-Inputs!$B$50)*(DM13-DO13)</f>
        <v>0.00172823270026127</v>
      </c>
      <c r="DQ13" s="15" t="n">
        <f aca="false">DM13-DO13-DP13</f>
        <v>0.715795208333427</v>
      </c>
      <c r="DR13" s="15" t="n">
        <f aca="false">DQ13*(1-Inputs!$B$18*EXP(-Inputs!$B$21*Inputs!$B$14*Inputs!$B$17/(Inputs!$B$22*Inputs!$B$23*Inputs!$B$24*DK13*Inputs!$B$16))*Inputs!$B$19)</f>
        <v>0.0264807237859509</v>
      </c>
      <c r="DS13" s="15" t="n">
        <f aca="false">(DQ13-DR13)*(1-EXP(-Inputs!$B$25*Inputs!$B$14*Inputs!$B$17*Inputs!$B$26/(DK13*Inputs!$B$16/0.866)))</f>
        <v>0.00778409346146029</v>
      </c>
      <c r="DT13" s="15" t="n">
        <f aca="false">(DQ13-DR13-DS13)*(1-Inputs!$B$19)</f>
        <v>0.00340765195543008</v>
      </c>
      <c r="DU13" s="15" t="n">
        <f aca="false">(DN13+DO13+DP13+DR13+DS13+DT13)*(1+Inputs!$B$27)</f>
        <v>0.322842892652023</v>
      </c>
      <c r="DV13" s="15" t="n">
        <f aca="false">Inputs!$B$52/(1-DU13-G13)</f>
        <v>201725.587138811</v>
      </c>
      <c r="DW13" s="15" t="n">
        <f aca="false">DV13/Inputs!$B$34</f>
        <v>336.209311898018</v>
      </c>
      <c r="DX13" s="15" t="n">
        <f aca="false">B13^2/DW13</f>
        <v>10.0056717079282</v>
      </c>
      <c r="DY13" s="15" t="n">
        <f aca="false">Inputs!$B$54*H13/(Inputs!$B$35*F13+E13*H13^2/(PI()*DX13*Inputs!$B$36))</f>
        <v>18.3853549314969</v>
      </c>
      <c r="DZ13" s="15" t="n">
        <f aca="false">EXP(-Inputs!$B$11*Inputs!$B$14*Inputs!$B$17/(Inputs!$B$51*DY13*Inputs!$B$16))</f>
        <v>0.742722805858215</v>
      </c>
      <c r="EA13" s="15" t="n">
        <f aca="false">Inputs!$B$50*Inputs!$B$18*DZ13*Inputs!$B$19</f>
        <v>0.725732449326815</v>
      </c>
      <c r="EB13" s="15" t="n">
        <f aca="false">1-EA13</f>
        <v>0.274267550673185</v>
      </c>
      <c r="EC13" s="15" t="n">
        <f aca="false">Inputs!$B$20*EB13</f>
        <v>0.00822802652019555</v>
      </c>
      <c r="ED13" s="15" t="n">
        <f aca="false">0.8*(1-Inputs!$B$50)*(EA13-EC13)</f>
        <v>0.00172818689280741</v>
      </c>
      <c r="EE13" s="15" t="n">
        <f aca="false">EA13-EC13-ED13</f>
        <v>0.715776235913812</v>
      </c>
      <c r="EF13" s="15" t="n">
        <f aca="false">EE13*(1-Inputs!$B$18*EXP(-Inputs!$B$21*Inputs!$B$14*Inputs!$B$17/(Inputs!$B$22*Inputs!$B$23*Inputs!$B$24*DY13*Inputs!$B$16))*Inputs!$B$19)</f>
        <v>0.0264810579644926</v>
      </c>
      <c r="EG13" s="15" t="n">
        <f aca="false">(EE13-EF13)*(1-EXP(-Inputs!$B$25*Inputs!$B$14*Inputs!$B$17*Inputs!$B$26/(DY13*Inputs!$B$16/0.866)))</f>
        <v>0.007784537546462</v>
      </c>
      <c r="EH13" s="15" t="n">
        <f aca="false">(EE13-EF13-EG13)*(1-Inputs!$B$19)</f>
        <v>0.00340755320201429</v>
      </c>
      <c r="EI13" s="15" t="n">
        <f aca="false">(EB13+EC13+ED13+EF13+EG13+EH13)*(1+Inputs!$B$27)</f>
        <v>0.322862603537554</v>
      </c>
      <c r="EJ13" s="15" t="n">
        <f aca="false">Inputs!$B$52/(1-EI13-G13)</f>
        <v>201750.175553273</v>
      </c>
      <c r="EK13" s="15" t="n">
        <f aca="false">EJ13/Inputs!$B$34</f>
        <v>336.250292588788</v>
      </c>
      <c r="EL13" s="15" t="n">
        <f aca="false">B13^2/EK13</f>
        <v>10.0044522611433</v>
      </c>
      <c r="EM13" s="15" t="n">
        <f aca="false">Inputs!$B$54*H13/(Inputs!$B$35*F13+E13*H13^2/(PI()*EL13*Inputs!$B$36))</f>
        <v>18.3846086727994</v>
      </c>
      <c r="EN13" s="15" t="n">
        <f aca="false">EXP(-Inputs!$B$11*Inputs!$B$14*Inputs!$B$17/(Inputs!$B$51*EM13*Inputs!$B$16))</f>
        <v>0.742713838853524</v>
      </c>
      <c r="EO13" s="15" t="n">
        <f aca="false">Inputs!$B$50*Inputs!$B$18*EN13*Inputs!$B$19</f>
        <v>0.725723687449266</v>
      </c>
      <c r="EP13" s="15" t="n">
        <f aca="false">1-EO13</f>
        <v>0.274276312550734</v>
      </c>
      <c r="EQ13" s="15" t="n">
        <f aca="false">Inputs!$B$20*EP13</f>
        <v>0.00822828937652202</v>
      </c>
      <c r="ER13" s="15" t="n">
        <f aca="false">0.8*(1-Inputs!$B$50)*(EO13-EQ13)</f>
        <v>0.0017281651557612</v>
      </c>
      <c r="ES13" s="15" t="n">
        <f aca="false">EO13-EQ13-ER13</f>
        <v>0.715767232916983</v>
      </c>
      <c r="ET13" s="15" t="n">
        <f aca="false">ES13*(1-Inputs!$B$18*EXP(-Inputs!$B$21*Inputs!$B$14*Inputs!$B$17/(Inputs!$B$22*Inputs!$B$23*Inputs!$B$24*EM13*Inputs!$B$16))*Inputs!$B$19)</f>
        <v>0.0264812165319542</v>
      </c>
      <c r="EU13" s="15" t="n">
        <f aca="false">(ES13-ET13)*(1-EXP(-Inputs!$B$25*Inputs!$B$14*Inputs!$B$17*Inputs!$B$26/(EM13*Inputs!$B$16/0.866)))</f>
        <v>0.00778474827126958</v>
      </c>
      <c r="EV13" s="15" t="n">
        <f aca="false">(ES13-ET13-EU13)*(1-Inputs!$B$19)</f>
        <v>0.0034075063405688</v>
      </c>
      <c r="EW13" s="15" t="n">
        <f aca="false">(EP13+EQ13+ER13+ET13+EU13+EV13)*(1+Inputs!$B$27)</f>
        <v>0.32287195694149</v>
      </c>
      <c r="EX13" s="15" t="n">
        <f aca="false">Inputs!$B$52/(1-EW13-G13)</f>
        <v>201761.845587587</v>
      </c>
      <c r="EY13" s="15" t="n">
        <f aca="false">EX13/Inputs!$B$34</f>
        <v>336.269742645978</v>
      </c>
      <c r="EZ13" s="15" t="n">
        <f aca="false">B13^2/EY13</f>
        <v>10.0038735972198</v>
      </c>
      <c r="FA13" s="15" t="n">
        <f aca="false">Inputs!$B$54*H13/(Inputs!$B$35*F13+E13*H13^2/(PI()*EZ13*Inputs!$B$36))</f>
        <v>18.3842545083059</v>
      </c>
      <c r="FB13" s="15" t="n">
        <f aca="false">EXP(-Inputs!$B$11*Inputs!$B$14*Inputs!$B$17/(Inputs!$B$51*FA13*Inputs!$B$16))</f>
        <v>0.742709583015023</v>
      </c>
      <c r="FC13" s="15" t="n">
        <f aca="false">Inputs!$B$50*Inputs!$B$18*FB13*Inputs!$B$19</f>
        <v>0.725719528966351</v>
      </c>
      <c r="FD13" s="15" t="n">
        <f aca="false">1-FC13</f>
        <v>0.274280471033649</v>
      </c>
      <c r="FE13" s="15" t="n">
        <f aca="false">Inputs!$B$20*FD13</f>
        <v>0.00822841413100947</v>
      </c>
      <c r="FF13" s="15" t="n">
        <f aca="false">0.8*(1-Inputs!$B$50)*(FC13-FE13)</f>
        <v>0.00172815483912132</v>
      </c>
      <c r="FG13" s="15" t="n">
        <f aca="false">FC13-FE13-FF13</f>
        <v>0.71576295999622</v>
      </c>
      <c r="FH13" s="15" t="n">
        <f aca="false">FG13*(1-Inputs!$B$18*EXP(-Inputs!$B$21*Inputs!$B$14*Inputs!$B$17/(Inputs!$B$22*Inputs!$B$23*Inputs!$B$24*FA13*Inputs!$B$16))*Inputs!$B$19)</f>
        <v>0.0264812917874321</v>
      </c>
      <c r="FI13" s="15" t="n">
        <f aca="false">(FG13-FH13)*(1-EXP(-Inputs!$B$25*Inputs!$B$14*Inputs!$B$17*Inputs!$B$26/(FA13*Inputs!$B$16/0.866)))</f>
        <v>0.00778484828194893</v>
      </c>
      <c r="FJ13" s="15" t="n">
        <f aca="false">(FG13-FH13-FI13)*(1-Inputs!$B$19)</f>
        <v>0.0034074840996342</v>
      </c>
      <c r="FK13" s="15" t="n">
        <f aca="false">(FD13+FE13+FF13+FH13+FI13+FJ13)*(1+Inputs!$B$27)</f>
        <v>0.322876396165314</v>
      </c>
      <c r="FL13" s="15" t="n">
        <f aca="false">Inputs!$B$52/(1-FK13-G13)</f>
        <v>201767.38478099</v>
      </c>
      <c r="FM13" s="15" t="n">
        <f aca="false">FL13/Inputs!$B$34</f>
        <v>336.278974634983</v>
      </c>
      <c r="FN13" s="15" t="n">
        <f aca="false">B13^2/FM13</f>
        <v>10.0035989572393</v>
      </c>
      <c r="FO13" s="15" t="n">
        <f aca="false">Inputs!$B$54*H13/(Inputs!$B$35*F13+E13*H13^2/(PI()*FN13*Inputs!$B$36))</f>
        <v>18.384086408552</v>
      </c>
      <c r="FP13" s="15" t="n">
        <f aca="false">EXP(-Inputs!$B$11*Inputs!$B$14*Inputs!$B$17/(Inputs!$B$51*FO13*Inputs!$B$16))</f>
        <v>0.742707562985578</v>
      </c>
      <c r="FQ13" s="15" t="n">
        <f aca="false">Inputs!$B$50*Inputs!$B$18*FP13*Inputs!$B$19</f>
        <v>0.725717555146636</v>
      </c>
      <c r="FR13" s="15" t="n">
        <f aca="false">1-FQ13</f>
        <v>0.274282444853365</v>
      </c>
      <c r="FS13" s="15" t="n">
        <f aca="false">Inputs!$B$20*FR13</f>
        <v>0.00822847334560094</v>
      </c>
      <c r="FT13" s="15" t="n">
        <f aca="false">0.8*(1-Inputs!$B$50)*(FQ13-FS13)</f>
        <v>0.00172814994233863</v>
      </c>
      <c r="FU13" s="15" t="n">
        <f aca="false">FQ13-FS13-FT13</f>
        <v>0.715760931858696</v>
      </c>
      <c r="FV13" s="15" t="n">
        <f aca="false">FU13*(1-Inputs!$B$18*EXP(-Inputs!$B$21*Inputs!$B$14*Inputs!$B$17/(Inputs!$B$22*Inputs!$B$23*Inputs!$B$24*FO13*Inputs!$B$16))*Inputs!$B$19)</f>
        <v>0.026481327506834</v>
      </c>
      <c r="FW13" s="15" t="n">
        <f aca="false">(FU13-FV13)*(1-EXP(-Inputs!$B$25*Inputs!$B$14*Inputs!$B$17*Inputs!$B$26/(FO13*Inputs!$B$16/0.866)))</f>
        <v>0.00778489575155208</v>
      </c>
      <c r="FX13" s="15" t="n">
        <f aca="false">(FU13-FV13-FW13)*(1-Inputs!$B$19)</f>
        <v>0.00340747354300155</v>
      </c>
      <c r="FY13" s="15" t="n">
        <f aca="false">(FR13+FS13+FT13+FV13+FW13+FX13)*(1+Inputs!$B$27)</f>
        <v>0.32287850323752</v>
      </c>
      <c r="FZ13" s="15" t="n">
        <f aca="false">Inputs!$B$52/(1-FY13-G13)</f>
        <v>201770.014058867</v>
      </c>
      <c r="GA13" s="15" t="n">
        <f aca="false">FZ13/Inputs!$B$34</f>
        <v>336.283356764778</v>
      </c>
      <c r="GB13" s="15" t="n">
        <f aca="false">B13^2/GA13</f>
        <v>10.0034685997054</v>
      </c>
      <c r="GC13" s="15" t="n">
        <f aca="false">Inputs!$B$54*H13/(Inputs!$B$35*F13+E13*H13^2/(PI()*GB13*Inputs!$B$36))</f>
        <v>18.3840066180532</v>
      </c>
      <c r="GD13" s="15" t="n">
        <f aca="false">EXP(-Inputs!$B$11*Inputs!$B$14*Inputs!$B$17/(Inputs!$B$51*GC13*Inputs!$B$16))</f>
        <v>0.742706604144155</v>
      </c>
      <c r="GE13" s="15" t="n">
        <f aca="false">Inputs!$B$50*Inputs!$B$18*GD13*Inputs!$B$19</f>
        <v>0.72571661823945</v>
      </c>
      <c r="GF13" s="15" t="n">
        <f aca="false">1-GE13</f>
        <v>0.27428338176055</v>
      </c>
      <c r="GG13" s="15" t="n">
        <f aca="false">Inputs!$B$20*GF13</f>
        <v>0.00822850145281651</v>
      </c>
      <c r="GH13" s="15" t="n">
        <f aca="false">0.8*(1-Inputs!$B$50)*(GE13-GG13)</f>
        <v>0.00172814761799722</v>
      </c>
      <c r="GI13" s="15" t="n">
        <f aca="false">GE13-GG13-GH13</f>
        <v>0.715759969168636</v>
      </c>
      <c r="GJ13" s="15" t="n">
        <f aca="false">GI13*(1-Inputs!$B$18*EXP(-Inputs!$B$21*Inputs!$B$14*Inputs!$B$17/(Inputs!$B$22*Inputs!$B$23*Inputs!$B$24*GC13*Inputs!$B$16))*Inputs!$B$19)</f>
        <v>0.0264813444615368</v>
      </c>
      <c r="GK13" s="15" t="n">
        <f aca="false">(GI13-GJ13)*(1-EXP(-Inputs!$B$25*Inputs!$B$14*Inputs!$B$17*Inputs!$B$26/(GC13*Inputs!$B$16/0.866)))</f>
        <v>0.00778491828372652</v>
      </c>
      <c r="GL13" s="15" t="n">
        <f aca="false">(GI13-GJ13-GK13)*(1-Inputs!$B$19)</f>
        <v>0.00340746853211687</v>
      </c>
      <c r="GM13" s="15" t="n">
        <f aca="false">(GF13+GG13+GH13+GJ13+GK13+GL13)*(1+Inputs!$B$27)</f>
        <v>0.32287950339507</v>
      </c>
      <c r="GN13" s="15" t="n">
        <f aca="false">Inputs!$B$52/(1-GM13-G13)</f>
        <v>201771.262114177</v>
      </c>
      <c r="GO13" s="15" t="n">
        <f aca="false">GN13/Inputs!$B$34</f>
        <v>336.285436856962</v>
      </c>
      <c r="GP13" s="15" t="n">
        <f aca="false">B13^2/GO13</f>
        <v>10.0034067232916</v>
      </c>
      <c r="GQ13" s="15" t="n">
        <f aca="false">Inputs!$B$54*H13/(Inputs!$B$35*F13+E13*H13^2/(PI()*GP13*Inputs!$B$36))</f>
        <v>18.3839687436546</v>
      </c>
      <c r="GR13" s="15" t="n">
        <f aca="false">EXP(-Inputs!$B$11*Inputs!$B$14*Inputs!$B$17/(Inputs!$B$51*GQ13*Inputs!$B$16))</f>
        <v>0.742706149005503</v>
      </c>
      <c r="GS13" s="15" t="n">
        <f aca="false">Inputs!$B$50*Inputs!$B$18*GR13*Inputs!$B$19</f>
        <v>0.725716173512445</v>
      </c>
      <c r="GT13" s="15" t="n">
        <f aca="false">1-GS13</f>
        <v>0.274283826487555</v>
      </c>
      <c r="GU13" s="15" t="n">
        <f aca="false">Inputs!$B$20*GT13</f>
        <v>0.00822851479462666</v>
      </c>
      <c r="GV13" s="15" t="n">
        <f aca="false">0.8*(1-Inputs!$B$50)*(GS13-GU13)</f>
        <v>0.00172814651468901</v>
      </c>
      <c r="GW13" s="15" t="n">
        <f aca="false">GS13-GU13-GV13</f>
        <v>0.715759512203129</v>
      </c>
      <c r="GX13" s="15" t="n">
        <f aca="false">GW13*(1-Inputs!$B$18*EXP(-Inputs!$B$21*Inputs!$B$14*Inputs!$B$17/(Inputs!$B$22*Inputs!$B$23*Inputs!$B$24*GQ13*Inputs!$B$16))*Inputs!$B$19)</f>
        <v>0.0264813525094937</v>
      </c>
      <c r="GY13" s="15" t="n">
        <f aca="false">(GW13-GX13)*(1-EXP(-Inputs!$B$25*Inputs!$B$14*Inputs!$B$17*Inputs!$B$26/(GQ13*Inputs!$B$16/0.866)))</f>
        <v>0.00778492897918199</v>
      </c>
      <c r="GZ13" s="15" t="n">
        <f aca="false">(GW13-GX13-GY13)*(1-Inputs!$B$19)</f>
        <v>0.00340746615357227</v>
      </c>
      <c r="HA13" s="15" t="n">
        <f aca="false">(GT13+GU13+GV13+GX13+GY13+GZ13)*(1+Inputs!$B$27)</f>
        <v>0.322879978145436</v>
      </c>
      <c r="HB13" s="15" t="n">
        <f aca="false">Inputs!$B$52/(1-HA13-G13)</f>
        <v>201771.85454096</v>
      </c>
      <c r="HC13" s="15" t="n">
        <f aca="false">HB13/Inputs!$B$34</f>
        <v>336.286424234934</v>
      </c>
      <c r="HD13" s="15" t="n">
        <f aca="false">B13^2/HC13</f>
        <v>10.003377352069</v>
      </c>
      <c r="HE13" s="15" t="n">
        <f aca="false">Inputs!$B$54*H13/(Inputs!$B$35*F13+E13*H13^2/(PI()*HD13*Inputs!$B$36))</f>
        <v>18.3839507654931</v>
      </c>
      <c r="HF13" s="15" t="n">
        <f aca="false">EXP(-Inputs!$B$11*Inputs!$B$14*Inputs!$B$17/(Inputs!$B$51*HE13*Inputs!$B$16))</f>
        <v>0.742705932960426</v>
      </c>
      <c r="HG13" s="15" t="n">
        <f aca="false">Inputs!$B$50*Inputs!$B$18*HF13*Inputs!$B$19</f>
        <v>0.725715962409565</v>
      </c>
      <c r="HH13" s="15" t="n">
        <f aca="false">1-HG13</f>
        <v>0.274284037590435</v>
      </c>
      <c r="HI13" s="15" t="n">
        <f aca="false">Inputs!$B$20*HH13</f>
        <v>0.00822852112771305</v>
      </c>
      <c r="HJ13" s="15" t="n">
        <f aca="false">0.8*(1-Inputs!$B$50)*(HG13-HI13)</f>
        <v>0.001728145990971</v>
      </c>
      <c r="HK13" s="15" t="n">
        <f aca="false">HG13-HI13-HJ13</f>
        <v>0.715759295290881</v>
      </c>
      <c r="HL13" s="15" t="n">
        <f aca="false">HK13*(1-Inputs!$B$18*EXP(-Inputs!$B$21*Inputs!$B$14*Inputs!$B$17/(Inputs!$B$22*Inputs!$B$23*Inputs!$B$24*HE13*Inputs!$B$16))*Inputs!$B$19)</f>
        <v>0.0264813563296894</v>
      </c>
      <c r="HM13" s="15" t="n">
        <f aca="false">(HK13-HL13)*(1-EXP(-Inputs!$B$25*Inputs!$B$14*Inputs!$B$17*Inputs!$B$26/(HE13*Inputs!$B$16/0.866)))</f>
        <v>0.00778493405609338</v>
      </c>
      <c r="HN13" s="15" t="n">
        <f aca="false">(HK13-HL13-HM13)*(1-Inputs!$B$19)</f>
        <v>0.00340746502452549</v>
      </c>
      <c r="HO13" s="15" t="n">
        <f aca="false">(HH13+HI13+HJ13+HL13+HM13+HN13)*(1+Inputs!$B$27)</f>
        <v>0.322880203499786</v>
      </c>
      <c r="HP13" s="15" t="n">
        <f aca="false">Inputs!$B$52/(1-HO13-G13)</f>
        <v>201772.13575513</v>
      </c>
      <c r="HQ13" s="15" t="n">
        <f aca="false">HP13/Inputs!$B$34</f>
        <v>336.286892925217</v>
      </c>
      <c r="HR13" s="15" t="n">
        <f aca="false">B13^2/HQ13</f>
        <v>10.0033634101466</v>
      </c>
      <c r="HS13" s="15" t="n">
        <f aca="false">Inputs!$B$54*H13/(Inputs!$B$35*F13+E13*H13^2/(PI()*HR13*Inputs!$B$36))</f>
        <v>18.3839422316006</v>
      </c>
      <c r="HT13" s="15" t="n">
        <f aca="false">EXP(-Inputs!$B$11*Inputs!$B$14*Inputs!$B$17/(Inputs!$B$51*HS13*Inputs!$B$16))</f>
        <v>0.742705830407797</v>
      </c>
      <c r="HU13" s="15" t="n">
        <f aca="false">Inputs!$B$50*Inputs!$B$18*HT13*Inputs!$B$19</f>
        <v>0.725715862202907</v>
      </c>
      <c r="HV13" s="15" t="n">
        <f aca="false">1-HU13</f>
        <v>0.274284137797094</v>
      </c>
      <c r="HW13" s="15" t="n">
        <f aca="false">Inputs!$B$20*HV13</f>
        <v>0.0082285241339128</v>
      </c>
      <c r="HX13" s="15" t="n">
        <f aca="false">0.8*(1-Inputs!$B$50)*(HU13-HW13)</f>
        <v>0.00172814574237168</v>
      </c>
      <c r="HY13" s="15" t="n">
        <f aca="false">HU13-HW13-HX13</f>
        <v>0.715759192326622</v>
      </c>
      <c r="HZ13" s="15" t="n">
        <f aca="false">HY13*(1-Inputs!$B$18*EXP(-Inputs!$B$21*Inputs!$B$14*Inputs!$B$17/(Inputs!$B$22*Inputs!$B$23*Inputs!$B$24*HS13*Inputs!$B$16))*Inputs!$B$19)</f>
        <v>0.0264813581430648</v>
      </c>
      <c r="IA13" s="15" t="n">
        <f aca="false">(HY13-HZ13)*(1-EXP(-Inputs!$B$25*Inputs!$B$14*Inputs!$B$17*Inputs!$B$26/(HS13*Inputs!$B$16/0.866)))</f>
        <v>0.00778493646600895</v>
      </c>
      <c r="IB13" s="15" t="n">
        <f aca="false">(HY13-HZ13-IA13)*(1-Inputs!$B$19)</f>
        <v>0.00340746448858774</v>
      </c>
      <c r="IC13" s="15" t="n">
        <f aca="false">(HV13+HW13+HX13+HZ13+IA13+IB13)*(1+Inputs!$B$27)</f>
        <v>0.322880310471353</v>
      </c>
      <c r="ID13" s="15" t="n">
        <f aca="false">Inputs!$B$52/(1-IC13-G13)</f>
        <v>201772.269242602</v>
      </c>
      <c r="IE13" s="15" t="n">
        <f aca="false">ID13/Inputs!$B$34</f>
        <v>336.287115404336</v>
      </c>
      <c r="IF13" s="15" t="n">
        <f aca="false">B13^2/IE13</f>
        <v>10.0033567921723</v>
      </c>
      <c r="IG13" s="15" t="n">
        <f aca="false">Inputs!$B$54*H13/(Inputs!$B$35*F13+E13*H13^2/(PI()*IF13*Inputs!$B$36))</f>
        <v>18.3839381807132</v>
      </c>
      <c r="IH13" s="15" t="n">
        <f aca="false">EXP(-Inputs!$B$11*Inputs!$B$14*Inputs!$B$17/(Inputs!$B$51*IG13*Inputs!$B$16))</f>
        <v>0.742705781727854</v>
      </c>
      <c r="II13" s="15" t="n">
        <f aca="false">Inputs!$B$50*Inputs!$B$18*IH13*Inputs!$B$19</f>
        <v>0.725715814636555</v>
      </c>
      <c r="IJ13" s="15" t="n">
        <f aca="false">1-II13</f>
        <v>0.274284185363445</v>
      </c>
      <c r="IK13" s="15" t="n">
        <f aca="false">Inputs!$B$20*IJ13</f>
        <v>0.00822852556090335</v>
      </c>
      <c r="IL13" s="15" t="n">
        <f aca="false">0.8*(1-Inputs!$B$50)*(II13-IK13)</f>
        <v>0.00172814562436593</v>
      </c>
      <c r="IM13" s="15" t="n">
        <f aca="false">II13-IK13-IL13</f>
        <v>0.715759143451286</v>
      </c>
      <c r="IN13" s="15" t="n">
        <f aca="false">IM13*(1-Inputs!$B$18*EXP(-Inputs!$B$21*Inputs!$B$14*Inputs!$B$17/(Inputs!$B$22*Inputs!$B$23*Inputs!$B$24*IG13*Inputs!$B$16))*Inputs!$B$19)</f>
        <v>0.026481359003842</v>
      </c>
      <c r="IO13" s="15" t="n">
        <f aca="false">(IM13-IN13)*(1-EXP(-Inputs!$B$25*Inputs!$B$14*Inputs!$B$17*Inputs!$B$26/(IG13*Inputs!$B$16/0.866)))</f>
        <v>0.00778493760995362</v>
      </c>
      <c r="IP13" s="15" t="n">
        <f aca="false">(IM13-IN13-IO13)*(1-Inputs!$B$19)</f>
        <v>0.00340746423418745</v>
      </c>
      <c r="IQ13" s="15" t="n">
        <f aca="false">(IJ13+IK13+IL13+IN13+IO13+IP13)*(1+Inputs!$B$27)</f>
        <v>0.322880361248887</v>
      </c>
      <c r="IR13" s="15" t="n">
        <f aca="false">Inputs!$B$52/(1-IQ13-G13)</f>
        <v>201772.332606835</v>
      </c>
      <c r="IS13" s="15" t="n">
        <f aca="false">IR13/Inputs!$B$34</f>
        <v>336.287221011392</v>
      </c>
      <c r="IT13" s="15" t="n">
        <f aca="false">B13^2/IS13</f>
        <v>10.0033536507355</v>
      </c>
      <c r="IU13" s="15" t="n">
        <f aca="false">Inputs!$B$54*H13/(Inputs!$B$35*F13+E13*H13^2/(PI()*IT13*Inputs!$B$36))</f>
        <v>18.3839362578264</v>
      </c>
      <c r="IV13" s="15" t="n">
        <f aca="false">EXP(-Inputs!$B$11*Inputs!$B$14*Inputs!$B$17/(Inputs!$B$51*IU13*Inputs!$B$16))</f>
        <v>0.742705758620314</v>
      </c>
      <c r="IW13" s="15" t="n">
        <f aca="false">Inputs!$B$50*Inputs!$B$18*IV13*Inputs!$B$19</f>
        <v>0.725715792057617</v>
      </c>
      <c r="IX13" s="15" t="n">
        <f aca="false">1-IW13</f>
        <v>0.274284207942383</v>
      </c>
      <c r="IY13" s="15" t="n">
        <f aca="false">Inputs!$B$20*IX13</f>
        <v>0.00822852623827148</v>
      </c>
      <c r="IZ13" s="15" t="n">
        <f aca="false">0.8*(1-Inputs!$B$50)*(IW13-IY13)</f>
        <v>0.0017281455683506</v>
      </c>
      <c r="JA13" s="15" t="n">
        <f aca="false">IW13-IY13-IZ13</f>
        <v>0.715759120250995</v>
      </c>
      <c r="JB13" s="15" t="n">
        <f aca="false">JA13*(1-Inputs!$B$18*EXP(-Inputs!$B$21*Inputs!$B$14*Inputs!$B$17/(Inputs!$B$22*Inputs!$B$23*Inputs!$B$24*IU13*Inputs!$B$16))*Inputs!$B$19)</f>
        <v>0.0264813594124383</v>
      </c>
      <c r="JC13" s="15" t="n">
        <f aca="false">(JA13-JB13)*(1-EXP(-Inputs!$B$25*Inputs!$B$14*Inputs!$B$17*Inputs!$B$26/(IU13*Inputs!$B$16/0.866)))</f>
        <v>0.00778493815296469</v>
      </c>
      <c r="JD13" s="15" t="n">
        <f aca="false">(JA13-JB13-JC13)*(1-Inputs!$B$19)</f>
        <v>0.00340746411342796</v>
      </c>
      <c r="JE13" s="15" t="n">
        <f aca="false">(IX13+IY13+IZ13+JB13+JC13+JD13)*(1+Inputs!$B$27)</f>
        <v>0.322880385352119</v>
      </c>
      <c r="JF13" s="15" t="n">
        <f aca="false">Inputs!$B$52/(1-JE13-G13)</f>
        <v>201772.362684772</v>
      </c>
      <c r="JG13" s="15" t="n">
        <f aca="false">JF13/Inputs!$B$34</f>
        <v>336.287271141287</v>
      </c>
      <c r="JH13" s="15" t="n">
        <f aca="false">B13^2/JG13</f>
        <v>10.0033521595489</v>
      </c>
      <c r="JI13" s="15" t="n">
        <f aca="false">Inputs!$B$54*H13/(Inputs!$B$35*F13+E13*H13^2/(PI()*JH13*Inputs!$B$36))</f>
        <v>18.3839353450645</v>
      </c>
      <c r="JJ13" s="15" t="n">
        <f aca="false">EXP(-Inputs!$B$11*Inputs!$B$14*Inputs!$B$17/(Inputs!$B$51*JI13*Inputs!$B$16))</f>
        <v>0.742705747651553</v>
      </c>
      <c r="JK13" s="15" t="n">
        <f aca="false">Inputs!$B$50*Inputs!$B$18*JJ13*Inputs!$B$19</f>
        <v>0.725715781339775</v>
      </c>
      <c r="JL13" s="15" t="n">
        <f aca="false">1-JK13</f>
        <v>0.274284218660225</v>
      </c>
      <c r="JM13" s="15" t="n">
        <f aca="false">Inputs!$B$20*JL13</f>
        <v>0.00822852655980674</v>
      </c>
      <c r="JN13" s="15" t="n">
        <f aca="false">0.8*(1-Inputs!$B$50)*(JK13-JM13)</f>
        <v>0.00172814554176107</v>
      </c>
      <c r="JO13" s="15" t="n">
        <f aca="false">JK13-JM13-JN13</f>
        <v>0.715759109238208</v>
      </c>
      <c r="JP13" s="15" t="n">
        <f aca="false">JO13*(1-Inputs!$B$18*EXP(-Inputs!$B$21*Inputs!$B$14*Inputs!$B$17/(Inputs!$B$22*Inputs!$B$23*Inputs!$B$24*JI13*Inputs!$B$16))*Inputs!$B$19)</f>
        <v>0.0264813596063921</v>
      </c>
      <c r="JQ13" s="15" t="n">
        <f aca="false">(JO13-JP13)*(1-EXP(-Inputs!$B$25*Inputs!$B$14*Inputs!$B$17*Inputs!$B$26/(JI13*Inputs!$B$16/0.866)))</f>
        <v>0.00778493841072285</v>
      </c>
      <c r="JR13" s="15" t="n">
        <f aca="false">(JO13-JP13-JQ13)*(1-Inputs!$B$19)</f>
        <v>0.00340746405610547</v>
      </c>
      <c r="JS13" s="15" t="n">
        <f aca="false">(JL13+JM13+JN13+JP13+JQ13+JR13)*(1+Inputs!$B$27)</f>
        <v>0.322880396793518</v>
      </c>
      <c r="JT13" s="15" t="n">
        <f aca="false">Inputs!$B$52/(1-JS13-G13)</f>
        <v>201772.376962266</v>
      </c>
      <c r="JU13" s="15" t="n">
        <f aca="false">JT13/Inputs!$B$34</f>
        <v>336.287294937111</v>
      </c>
      <c r="JV13" s="15" t="n">
        <f aca="false">B13^2/JU13</f>
        <v>10.0033514517077</v>
      </c>
      <c r="JW13" s="15" t="n">
        <f aca="false">Inputs!$B$54*H13/(Inputs!$B$35*F13+E13*H13^2/(PI()*JV13*Inputs!$B$36))</f>
        <v>18.3839349117917</v>
      </c>
      <c r="JX13" s="15" t="n">
        <f aca="false">EXP(-Inputs!$B$11*Inputs!$B$14*Inputs!$B$17/(Inputs!$B$51*JW13*Inputs!$B$16))</f>
        <v>0.742705742444865</v>
      </c>
      <c r="JY13" s="15" t="n">
        <f aca="false">Inputs!$B$50*Inputs!$B$18*JX13*Inputs!$B$19</f>
        <v>0.725715776252195</v>
      </c>
      <c r="JZ13" s="15" t="n">
        <f aca="false">1-JY13</f>
        <v>0.274284223747805</v>
      </c>
      <c r="KA13" s="15" t="n">
        <f aca="false">Inputs!$B$20*JZ13</f>
        <v>0.00822852671243415</v>
      </c>
      <c r="KB13" s="15" t="n">
        <f aca="false">0.8*(1-Inputs!$B$50)*(JY13-KA13)</f>
        <v>0.00172814552913947</v>
      </c>
      <c r="KC13" s="15" t="n">
        <f aca="false">JY13-KA13-KB13</f>
        <v>0.715759104010621</v>
      </c>
      <c r="KD13" s="15" t="n">
        <f aca="false">KC13*(1-Inputs!$B$18*EXP(-Inputs!$B$21*Inputs!$B$14*Inputs!$B$17/(Inputs!$B$22*Inputs!$B$23*Inputs!$B$24*JW13*Inputs!$B$16))*Inputs!$B$19)</f>
        <v>0.0264813596984587</v>
      </c>
      <c r="KE13" s="15" t="n">
        <f aca="false">(KC13-KD13)*(1-EXP(-Inputs!$B$25*Inputs!$B$14*Inputs!$B$17*Inputs!$B$26/(JW13*Inputs!$B$16/0.866)))</f>
        <v>0.00778493853307634</v>
      </c>
      <c r="KF13" s="15" t="n">
        <f aca="false">(KC13-KD13-KE13)*(1-Inputs!$B$19)</f>
        <v>0.00340746402889543</v>
      </c>
      <c r="KG13" s="15" t="n">
        <f aca="false">(JZ13+KA13+KB13+KD13+KE13+KF13)*(1+Inputs!$B$27)</f>
        <v>0.322880402224558</v>
      </c>
      <c r="KH13" s="15" t="n">
        <f aca="false">Inputs!$B$52/(1-KG13-G13)</f>
        <v>201772.383739555</v>
      </c>
      <c r="KI13" s="15" t="n">
        <f aca="false">KH13/Inputs!$B$34</f>
        <v>336.287306232591</v>
      </c>
      <c r="KJ13" s="15" t="n">
        <f aca="false">B13^2/KI13</f>
        <v>10.0033511157073</v>
      </c>
      <c r="KK13" s="15" t="n">
        <f aca="false">Inputs!$B$54*H13/(Inputs!$B$35*F13+E13*H13^2/(PI()*KJ13*Inputs!$B$36))</f>
        <v>18.3839347061243</v>
      </c>
      <c r="KL13" s="15" t="n">
        <f aca="false">EXP(-Inputs!$B$11*Inputs!$B$14*Inputs!$B$17/(Inputs!$B$51*KK13*Inputs!$B$16))</f>
        <v>0.742705739973338</v>
      </c>
      <c r="KM13" s="15" t="n">
        <f aca="false">Inputs!$B$50*Inputs!$B$18*KL13*Inputs!$B$19</f>
        <v>0.725715773837205</v>
      </c>
      <c r="KN13" s="15" t="n">
        <f aca="false">1-KM13</f>
        <v>0.274284226162795</v>
      </c>
      <c r="KO13" s="15" t="n">
        <f aca="false">Inputs!$B$20*KN13</f>
        <v>0.00822852678488384</v>
      </c>
      <c r="KP13" s="15" t="n">
        <f aca="false">0.8*(1-Inputs!$B$50)*(KM13-KO13)</f>
        <v>0.0017281455231482</v>
      </c>
      <c r="KQ13" s="15" t="n">
        <f aca="false">KM13-KO13-KP13</f>
        <v>0.715759101529173</v>
      </c>
      <c r="KR13" s="15" t="n">
        <f aca="false">KQ13*(1-Inputs!$B$18*EXP(-Inputs!$B$21*Inputs!$B$14*Inputs!$B$17/(Inputs!$B$22*Inputs!$B$23*Inputs!$B$24*KK13*Inputs!$B$16))*Inputs!$B$19)</f>
        <v>0.0264813597421612</v>
      </c>
      <c r="KS13" s="15" t="n">
        <f aca="false">(KQ13-KR13)*(1-EXP(-Inputs!$B$25*Inputs!$B$14*Inputs!$B$17*Inputs!$B$26/(KK13*Inputs!$B$16/0.866)))</f>
        <v>0.00778493859115548</v>
      </c>
      <c r="KT13" s="15" t="n">
        <f aca="false">(KQ13-KR13-KS13)*(1-Inputs!$B$19)</f>
        <v>0.00340746401597929</v>
      </c>
      <c r="KU13" s="15" t="n">
        <f aca="false">(KN13+KO13+KP13+KR13+KS13+KT13)*(1+Inputs!$B$27)</f>
        <v>0.322880404802583</v>
      </c>
      <c r="KV13" s="15" t="n">
        <f aca="false">Inputs!$B$52/(1-KU13-G13)</f>
        <v>201772.386956621</v>
      </c>
      <c r="KW13" s="15" t="n">
        <f aca="false">KV13/Inputs!$B$34</f>
        <v>336.287311594368</v>
      </c>
      <c r="KX13" s="15" t="n">
        <f aca="false">B13^2/KW13</f>
        <v>10.0033509562135</v>
      </c>
      <c r="KY13" s="15" t="n">
        <f aca="false">Inputs!$B$54*H13/(Inputs!$B$35*F13+E13*H13^2/(PI()*KX13*Inputs!$B$36))</f>
        <v>18.3839346084974</v>
      </c>
      <c r="KZ13" s="15" t="n">
        <f aca="false">EXP(-Inputs!$B$11*Inputs!$B$14*Inputs!$B$17/(Inputs!$B$51*KY13*Inputs!$B$16))</f>
        <v>0.742705738800145</v>
      </c>
      <c r="LA13" s="15" t="n">
        <f aca="false">Inputs!$B$50*Inputs!$B$18*KZ13*Inputs!$B$19</f>
        <v>0.72571577269085</v>
      </c>
      <c r="LB13" s="15" t="n">
        <f aca="false">1-LA13</f>
        <v>0.27428422730915</v>
      </c>
      <c r="LC13" s="15" t="n">
        <f aca="false">Inputs!$B$20*LB13</f>
        <v>0.0082285268192745</v>
      </c>
      <c r="LD13" s="15" t="n">
        <f aca="false">0.8*(1-Inputs!$B$50)*(LA13-LC13)</f>
        <v>0.00172814552030424</v>
      </c>
      <c r="LE13" s="15" t="n">
        <f aca="false">LA13-LC13-LD13</f>
        <v>0.715759100351271</v>
      </c>
      <c r="LF13" s="15" t="n">
        <f aca="false">LE13*(1-Inputs!$B$18*EXP(-Inputs!$B$21*Inputs!$B$14*Inputs!$B$17/(Inputs!$B$22*Inputs!$B$23*Inputs!$B$24*KY13*Inputs!$B$16))*Inputs!$B$19)</f>
        <v>0.026481359762906</v>
      </c>
      <c r="LG13" s="15" t="n">
        <f aca="false">(LE13-LF13)*(1-EXP(-Inputs!$B$25*Inputs!$B$14*Inputs!$B$17*Inputs!$B$26/(KY13*Inputs!$B$16/0.866)))</f>
        <v>0.00778493861872475</v>
      </c>
      <c r="LH13" s="15" t="n">
        <f aca="false">(LE13-LF13-LG13)*(1-Inputs!$B$19)</f>
        <v>0.00340746400984821</v>
      </c>
      <c r="LI13" s="15" t="n">
        <f aca="false">(LB13+LC13+LD13+LF13+LG13+LH13)*(1+Inputs!$B$27)</f>
        <v>0.322880406026328</v>
      </c>
      <c r="LJ13" s="15" t="n">
        <f aca="false">Inputs!$B$52/(1-LI13-G13)</f>
        <v>201772.388483709</v>
      </c>
      <c r="LK13" s="15" t="n">
        <f aca="false">LJ13/Inputs!$B$34</f>
        <v>336.287314139515</v>
      </c>
      <c r="LL13" s="15" t="n">
        <f aca="false">B13^2/LK13</f>
        <v>10.0033508805045</v>
      </c>
      <c r="LM13" s="15" t="n">
        <f aca="false">Inputs!$B$54*H13/(Inputs!$B$35*F13+E13*H13^2/(PI()*LL13*Inputs!$B$36))</f>
        <v>18.3839345621556</v>
      </c>
      <c r="LN13" s="15" t="n">
        <f aca="false">EXP(-Inputs!$B$11*Inputs!$B$14*Inputs!$B$17/(Inputs!$B$51*LM13*Inputs!$B$16))</f>
        <v>0.742705738243249</v>
      </c>
      <c r="LO13" s="15" t="n">
        <f aca="false">Inputs!$B$50*Inputs!$B$18*LN13*Inputs!$B$19</f>
        <v>0.725715772146694</v>
      </c>
      <c r="LP13" s="15" t="n">
        <f aca="false">1-LO13</f>
        <v>0.274284227853306</v>
      </c>
      <c r="LQ13" s="15" t="n">
        <f aca="false">Inputs!$B$20*LP13</f>
        <v>0.00822852683559918</v>
      </c>
      <c r="LR13" s="15" t="n">
        <f aca="false">0.8*(1-Inputs!$B$50)*(LO13-LQ13)</f>
        <v>0.00172814551895427</v>
      </c>
      <c r="LS13" s="15" t="n">
        <f aca="false">LO13-LQ13-LR13</f>
        <v>0.715759099792141</v>
      </c>
      <c r="LT13" s="15" t="n">
        <f aca="false">LS13*(1-Inputs!$B$18*EXP(-Inputs!$B$21*Inputs!$B$14*Inputs!$B$17/(Inputs!$B$22*Inputs!$B$23*Inputs!$B$24*LM13*Inputs!$B$16))*Inputs!$B$19)</f>
        <v>0.0264813597727533</v>
      </c>
      <c r="LU13" s="15" t="n">
        <f aca="false">(LS13-LT13)*(1-EXP(-Inputs!$B$25*Inputs!$B$14*Inputs!$B$17*Inputs!$B$26/(LM13*Inputs!$B$16/0.866)))</f>
        <v>0.00778493863181137</v>
      </c>
      <c r="LV13" s="15" t="n">
        <f aca="false">(LS13-LT13-LU13)*(1-Inputs!$B$19)</f>
        <v>0.00340746400693788</v>
      </c>
      <c r="LW13" s="15" t="n">
        <f aca="false">(LP13+LQ13+LR13+LT13+LU13+LV13)*(1+Inputs!$B$27)</f>
        <v>0.32288040660722</v>
      </c>
      <c r="LX13" s="15" t="n">
        <f aca="false">Inputs!$B$52/(1-LW13-G13)</f>
        <v>201772.389208592</v>
      </c>
      <c r="LY13" s="15" t="n">
        <f aca="false">LX13/Inputs!$B$34</f>
        <v>336.287315347653</v>
      </c>
      <c r="LZ13" s="15" t="n">
        <f aca="false">B13^2/LY13</f>
        <v>10.0033508445667</v>
      </c>
      <c r="MA13" s="15" t="n">
        <f aca="false">Inputs!$B$54*H13/(Inputs!$B$35*F13+E13*H13^2/(PI()*LZ13*Inputs!$B$36))</f>
        <v>18.3839345401579</v>
      </c>
      <c r="MB13" s="15" t="n">
        <f aca="false">EXP(-Inputs!$B$11*Inputs!$B$14*Inputs!$B$17/(Inputs!$B$51*MA13*Inputs!$B$16))</f>
        <v>0.7427057379789</v>
      </c>
      <c r="MC13" s="15" t="n">
        <f aca="false">Inputs!$B$50*Inputs!$B$18*MB13*Inputs!$B$19</f>
        <v>0.725715771888392</v>
      </c>
      <c r="MD13" s="15" t="n">
        <f aca="false">1-MC13</f>
        <v>0.274284228111608</v>
      </c>
      <c r="ME13" s="15" t="n">
        <f aca="false">Inputs!$B$20*MD13</f>
        <v>0.00822852684334823</v>
      </c>
      <c r="MF13" s="15" t="n">
        <f aca="false">0.8*(1-Inputs!$B$50)*(MC13-ME13)</f>
        <v>0.00172814551831345</v>
      </c>
      <c r="MG13" s="15" t="n">
        <f aca="false">MC13-ME13-MF13</f>
        <v>0.715759099526731</v>
      </c>
      <c r="MH13" s="15" t="n">
        <f aca="false">MG13*(1-Inputs!$B$18*EXP(-Inputs!$B$21*Inputs!$B$14*Inputs!$B$17/(Inputs!$B$22*Inputs!$B$23*Inputs!$B$24*MA13*Inputs!$B$16))*Inputs!$B$19)</f>
        <v>0.0264813597774276</v>
      </c>
      <c r="MI13" s="15" t="n">
        <f aca="false">(MG13-MH13)*(1-EXP(-Inputs!$B$25*Inputs!$B$14*Inputs!$B$17*Inputs!$B$26/(MA13*Inputs!$B$16/0.866)))</f>
        <v>0.00778493863802341</v>
      </c>
      <c r="MJ13" s="15" t="n">
        <f aca="false">(MG13-MH13-MI13)*(1-Inputs!$B$19)</f>
        <v>0.0034074640055564</v>
      </c>
      <c r="MK13" s="15" t="n">
        <f aca="false">(MD13+ME13+MF13+MH13+MI13+MJ13)*(1+Inputs!$B$27)</f>
        <v>0.32288040688296</v>
      </c>
      <c r="ML13" s="15" t="n">
        <f aca="false">Inputs!$B$52/(1-MK13-G13)</f>
        <v>201772.389552682</v>
      </c>
      <c r="MM13" s="15" t="n">
        <f aca="false">ML13/Inputs!$B$34</f>
        <v>336.287315921137</v>
      </c>
      <c r="MN13" s="15" t="n">
        <f aca="false">B13^2/MM13</f>
        <v>10.0033508275076</v>
      </c>
      <c r="MO13" s="15" t="n">
        <f aca="false">Inputs!$B$54*H13/(Inputs!$B$35*F13+E13*H13^2/(PI()*MN13*Inputs!$B$36))</f>
        <v>18.3839345297159</v>
      </c>
      <c r="MP13" s="15" t="n">
        <f aca="false">EXP(-Inputs!$B$11*Inputs!$B$14*Inputs!$B$17/(Inputs!$B$51*MO13*Inputs!$B$16))</f>
        <v>0.742705737853418</v>
      </c>
      <c r="MQ13" s="15" t="n">
        <f aca="false">Inputs!$B$50*Inputs!$B$18*MP13*Inputs!$B$19</f>
        <v>0.725715771765781</v>
      </c>
      <c r="MR13" s="15" t="n">
        <f aca="false">1-MQ13</f>
        <v>0.274284228234219</v>
      </c>
      <c r="MS13" s="15" t="n">
        <f aca="false">Inputs!$B$20*MR13</f>
        <v>0.00822852684702658</v>
      </c>
      <c r="MT13" s="15" t="n">
        <f aca="false">0.8*(1-Inputs!$B$50)*(MQ13-MS13)</f>
        <v>0.00172814551800927</v>
      </c>
      <c r="MU13" s="15" t="n">
        <f aca="false">MQ13-MS13-MT13</f>
        <v>0.715759099400745</v>
      </c>
      <c r="MV13" s="15" t="n">
        <f aca="false">MU13*(1-Inputs!$B$18*EXP(-Inputs!$B$21*Inputs!$B$14*Inputs!$B$17/(Inputs!$B$22*Inputs!$B$23*Inputs!$B$24*MO13*Inputs!$B$16))*Inputs!$B$19)</f>
        <v>0.0264813597796464</v>
      </c>
      <c r="MW13" s="15" t="n">
        <f aca="false">(MU13-MV13)*(1-EXP(-Inputs!$B$25*Inputs!$B$14*Inputs!$B$17*Inputs!$B$26/(MO13*Inputs!$B$16/0.866)))</f>
        <v>0.0077849386409721</v>
      </c>
      <c r="MX13" s="15" t="n">
        <f aca="false">(MU13-MV13-MW13)*(1-Inputs!$B$19)</f>
        <v>0.00340746400490064</v>
      </c>
      <c r="MY13" s="15" t="n">
        <f aca="false">(MR13+MS13+MT13+MV13+MW13+MX13)*(1+Inputs!$B$27)</f>
        <v>0.322880407013849</v>
      </c>
      <c r="MZ13" s="15" t="n">
        <f aca="false">Inputs!$B$52/(1-MY13-G13)</f>
        <v>201772.389716016</v>
      </c>
      <c r="NA13" s="15" t="n">
        <f aca="false">MZ13/Inputs!$B$34</f>
        <v>336.287316193359</v>
      </c>
      <c r="NB13" s="15" t="n">
        <f aca="false">B13^2/NA13</f>
        <v>10.0033508194099</v>
      </c>
      <c r="NC13" s="15" t="n">
        <f aca="false">Inputs!$B$54*H13/(Inputs!$B$35*F13+E13*H13^2/(PI()*NB13*Inputs!$B$36))</f>
        <v>18.3839345247593</v>
      </c>
      <c r="ND13" s="15" t="n">
        <f aca="false">EXP(-Inputs!$B$11*Inputs!$B$14*Inputs!$B$17/(Inputs!$B$51*NC13*Inputs!$B$16))</f>
        <v>0.742705737793854</v>
      </c>
      <c r="NE13" s="15" t="n">
        <f aca="false">Inputs!$B$50*Inputs!$B$18*ND13*Inputs!$B$19</f>
        <v>0.725715771707579</v>
      </c>
      <c r="NF13" s="15" t="n">
        <f aca="false">1-NE13</f>
        <v>0.274284228292421</v>
      </c>
      <c r="NG13" s="15" t="n">
        <f aca="false">Inputs!$B$20*NF13</f>
        <v>0.00822852684877263</v>
      </c>
      <c r="NH13" s="15" t="n">
        <f aca="false">0.8*(1-Inputs!$B$50)*(NE13-NG13)</f>
        <v>0.00172814551786488</v>
      </c>
      <c r="NI13" s="15" t="n">
        <f aca="false">NE13-NG13-NH13</f>
        <v>0.715759099340942</v>
      </c>
      <c r="NJ13" s="15" t="n">
        <f aca="false">NI13*(1-Inputs!$B$18*EXP(-Inputs!$B$21*Inputs!$B$14*Inputs!$B$17/(Inputs!$B$22*Inputs!$B$23*Inputs!$B$24*NC13*Inputs!$B$16))*Inputs!$B$19)</f>
        <v>0.0264813597806995</v>
      </c>
      <c r="NK13" s="15" t="n">
        <f aca="false">(NI13-NJ13)*(1-EXP(-Inputs!$B$25*Inputs!$B$14*Inputs!$B$17*Inputs!$B$26/(NC13*Inputs!$B$16/0.866)))</f>
        <v>0.00778493864237184</v>
      </c>
      <c r="NL13" s="15" t="n">
        <f aca="false">(NI13-NJ13-NK13)*(1-Inputs!$B$19)</f>
        <v>0.00340746400458935</v>
      </c>
      <c r="NM13" s="15" t="n">
        <f aca="false">(NF13+NG13+NH13+NJ13+NK13+NL13)*(1+Inputs!$B$27)</f>
        <v>0.322880407075979</v>
      </c>
      <c r="NN13" s="15" t="n">
        <f aca="false">Inputs!$B$52/(1-NM13-G13)</f>
        <v>201772.389793548</v>
      </c>
    </row>
    <row r="14" customFormat="false" ht="15" hidden="false" customHeight="false" outlineLevel="0" collapsed="false">
      <c r="A14" s="21" t="s">
        <v>501</v>
      </c>
      <c r="B14" s="21" t="n">
        <v>58</v>
      </c>
      <c r="C14" s="22" t="n">
        <v>0.1</v>
      </c>
      <c r="D14" s="23" t="n">
        <f aca="false">B14*C14</f>
        <v>5.8</v>
      </c>
      <c r="E14" s="24" t="n">
        <f aca="false">IF(C14=0,1,(1+0.45*C14)/(1.04+2.81*C14))</f>
        <v>0.791067373202119</v>
      </c>
      <c r="F14" s="24" t="n">
        <f aca="false">1+Inputs!$B$42*D14</f>
        <v>1.029</v>
      </c>
      <c r="G14" s="25" t="n">
        <f aca="false">Inputs!$B$31+Inputs!$B$43*(B14/Inputs!$B$32-1)+Inputs!$B$44+Inputs!$B$45*D14</f>
        <v>0.5171675</v>
      </c>
      <c r="H14" s="22" t="n">
        <f aca="false">Inputs!$B$38</f>
        <v>0.5</v>
      </c>
      <c r="I14" s="23" t="n">
        <f aca="false">Inputs!$B$40</f>
        <v>2.4</v>
      </c>
      <c r="J14" s="26" t="n">
        <f aca="false">NN14/Inputs!$B$34</f>
        <v>326.698213568131</v>
      </c>
      <c r="K14" s="23" t="n">
        <f aca="false">B14^2/J14</f>
        <v>10.2969647836732</v>
      </c>
      <c r="L14" s="23" t="n">
        <f aca="false">2*K14</f>
        <v>20.5939295673465</v>
      </c>
      <c r="M14" s="22" t="n">
        <f aca="false">NC14</f>
        <v>18.9138385339912</v>
      </c>
      <c r="N14" s="23" t="n">
        <f aca="false">B14/SQRT(E14)</f>
        <v>65.2110596191376</v>
      </c>
      <c r="O14" s="24" t="n">
        <f aca="false">NM14</f>
        <v>0.316394491643213</v>
      </c>
      <c r="P14" s="23" t="n">
        <f aca="false">NN14/1000</f>
        <v>196.018928140878</v>
      </c>
      <c r="Q14" s="23" t="n">
        <f aca="false">G14*NN14/1000</f>
        <v>101.374619019298</v>
      </c>
      <c r="R14" s="23" t="n">
        <f aca="false">NM14*NN14/1000</f>
        <v>62.0193091215807</v>
      </c>
      <c r="S14" s="23" t="n">
        <f aca="false">NM14*NN14/Inputs!$B$28/1000</f>
        <v>82.6924121621075</v>
      </c>
      <c r="T14" s="27" t="n">
        <f aca="false">R14/Sweep!$R$5-1</f>
        <v>-0.0076374113617671</v>
      </c>
      <c r="U14" s="27" t="n">
        <f aca="false">R14/SUMIFS(Sweep!$R:$R,Sweep!$A:$A,"Conventional",Sweep!$B:$B,B14)-1</f>
        <v>-0.140061826295732</v>
      </c>
      <c r="V14" s="26" t="n">
        <f aca="false">2*0.54*(J14/2)^1.5/SQRT(L14)*Inputs!$B$46*Inputs!$B$47</f>
        <v>46.4559024273898</v>
      </c>
      <c r="W14" s="28" t="n">
        <f aca="false">MIN(1,V14/S14)</f>
        <v>0.56179159868162</v>
      </c>
      <c r="X14" s="26" t="n">
        <f aca="false">1.23*SQRT(2*Inputs!$B$41*NN14*Inputs!$B$49/(1.225*J14*I14))/0.5144</f>
        <v>133.62967568068</v>
      </c>
      <c r="Y14" s="29" t="n">
        <f aca="false">(11000+6341.6*LN(0.36392/(2*Inputs!$B$50*Inputs!$B$18*(1+ND14)/2*Inputs!$B$34*Inputs!$B$49/((Inputs!$B$12*295.07)^2*H14))))/0.3048</f>
        <v>38673.6676218959</v>
      </c>
      <c r="Z14" s="26" t="n">
        <f aca="false">NN14-MZ14</f>
        <v>4.11353539675474E-007</v>
      </c>
      <c r="AA14" s="30" t="str">
        <f aca="false">IF(ABS(NN14-MZ14)&lt;10,"Yes","No")</f>
        <v>Yes</v>
      </c>
      <c r="AC14" s="15" t="n">
        <f aca="false">Inputs!$B$52/(1-0.3154-G14)/Inputs!$B$34</f>
        <v>324.757738193003</v>
      </c>
      <c r="AD14" s="15" t="n">
        <f aca="false">B14^2/AC14</f>
        <v>10.3584906666667</v>
      </c>
      <c r="AE14" s="15" t="n">
        <f aca="false">Inputs!$B$54*H14/(Inputs!$B$35*F14+E14*H14^2/(PI()*AD14*Inputs!$B$36))</f>
        <v>18.9480563550552</v>
      </c>
      <c r="AF14" s="15" t="n">
        <f aca="false">EXP(-Inputs!$B$11*Inputs!$B$14*Inputs!$B$17/(Inputs!$B$51*AE14*Inputs!$B$16))</f>
        <v>0.749312235013346</v>
      </c>
      <c r="AG14" s="15" t="n">
        <f aca="false">Inputs!$B$50*Inputs!$B$18*AF14*Inputs!$B$19</f>
        <v>0.732171140212162</v>
      </c>
      <c r="AH14" s="15" t="n">
        <f aca="false">1-AG14</f>
        <v>0.267828859787838</v>
      </c>
      <c r="AI14" s="15" t="n">
        <f aca="false">Inputs!$B$20*AH14</f>
        <v>0.00803486579363514</v>
      </c>
      <c r="AJ14" s="15" t="n">
        <f aca="false">0.8*(1-Inputs!$B$50)*(AG14-AI14)</f>
        <v>0.00174416042365466</v>
      </c>
      <c r="AK14" s="15" t="n">
        <f aca="false">AG14-AI14-AJ14</f>
        <v>0.722392113994872</v>
      </c>
      <c r="AL14" s="15" t="n">
        <f aca="false">AK14*(1-Inputs!$B$18*EXP(-Inputs!$B$21*Inputs!$B$14*Inputs!$B$17/(Inputs!$B$22*Inputs!$B$23*Inputs!$B$24*AE14*Inputs!$B$16))*Inputs!$B$19)</f>
        <v>0.0263627055956222</v>
      </c>
      <c r="AM14" s="15" t="n">
        <f aca="false">(AK14-AL14)*(1-EXP(-Inputs!$B$25*Inputs!$B$14*Inputs!$B$17*Inputs!$B$26/(AE14*Inputs!$B$16/0.866)))</f>
        <v>0.00762843803592574</v>
      </c>
      <c r="AN14" s="15" t="n">
        <f aca="false">(AK14-AL14-AM14)*(1-Inputs!$B$19)</f>
        <v>0.00344200485181663</v>
      </c>
      <c r="AO14" s="15" t="n">
        <f aca="false">(AH14+AI14+AJ14+AL14+AM14+AN14)*(1+Inputs!$B$27)</f>
        <v>0.315986157591958</v>
      </c>
      <c r="AP14" s="15" t="n">
        <f aca="false">Inputs!$B$52/(1-AO14-G14)</f>
        <v>195539.198097683</v>
      </c>
      <c r="AQ14" s="15" t="n">
        <f aca="false">AP14/Inputs!$B$34</f>
        <v>325.898663496138</v>
      </c>
      <c r="AR14" s="15" t="n">
        <f aca="false">B14^2/AQ14</f>
        <v>10.3222270503109</v>
      </c>
      <c r="AS14" s="15" t="n">
        <f aca="false">Inputs!$B$54*H14/(Inputs!$B$35*F14+E14*H14^2/(PI()*AR14*Inputs!$B$36))</f>
        <v>18.9279226036785</v>
      </c>
      <c r="AT14" s="15" t="n">
        <f aca="false">EXP(-Inputs!$B$11*Inputs!$B$14*Inputs!$B$17/(Inputs!$B$51*AS14*Inputs!$B$16))</f>
        <v>0.749082242600862</v>
      </c>
      <c r="AU14" s="15" t="n">
        <f aca="false">Inputs!$B$50*Inputs!$B$18*AT14*Inputs!$B$19</f>
        <v>0.731946409053348</v>
      </c>
      <c r="AV14" s="15" t="n">
        <f aca="false">1-AU14</f>
        <v>0.268053590946652</v>
      </c>
      <c r="AW14" s="15" t="n">
        <f aca="false">Inputs!$B$20*AV14</f>
        <v>0.00804160772839957</v>
      </c>
      <c r="AX14" s="15" t="n">
        <f aca="false">0.8*(1-Inputs!$B$50)*(AU14-AW14)</f>
        <v>0.00174360289570968</v>
      </c>
      <c r="AY14" s="15" t="n">
        <f aca="false">AU14-AW14-AX14</f>
        <v>0.722161198429238</v>
      </c>
      <c r="AZ14" s="15" t="n">
        <f aca="false">AY14*(1-Inputs!$B$18*EXP(-Inputs!$B$21*Inputs!$B$14*Inputs!$B$17/(Inputs!$B$22*Inputs!$B$23*Inputs!$B$24*AS14*Inputs!$B$16))*Inputs!$B$19)</f>
        <v>0.0263668978191803</v>
      </c>
      <c r="BA14" s="15" t="n">
        <f aca="false">(AY14-AZ14)*(1-EXP(-Inputs!$B$25*Inputs!$B$14*Inputs!$B$17*Inputs!$B$26/(AS14*Inputs!$B$16/0.866)))</f>
        <v>0.00763392828422714</v>
      </c>
      <c r="BB14" s="15" t="n">
        <f aca="false">(AY14-AZ14-BA14)*(1-Inputs!$B$19)</f>
        <v>0.00344080186162916</v>
      </c>
      <c r="BC14" s="15" t="n">
        <f aca="false">(AV14+AW14+AX14+AZ14+BA14+BB14)*(1+Inputs!$B$27)</f>
        <v>0.316226270824406</v>
      </c>
      <c r="BD14" s="15" t="n">
        <f aca="false">Inputs!$B$52/(1-BC14-G14)</f>
        <v>195821.009583111</v>
      </c>
      <c r="BE14" s="15" t="n">
        <f aca="false">BD14/Inputs!$B$34</f>
        <v>326.368349305185</v>
      </c>
      <c r="BF14" s="15" t="n">
        <f aca="false">B14^2/BE14</f>
        <v>10.3073720449968</v>
      </c>
      <c r="BG14" s="15" t="n">
        <f aca="false">Inputs!$B$54*H14/(Inputs!$B$35*F14+E14*H14^2/(PI()*BF14*Inputs!$B$36))</f>
        <v>18.9196465503723</v>
      </c>
      <c r="BH14" s="15" t="n">
        <f aca="false">EXP(-Inputs!$B$11*Inputs!$B$14*Inputs!$B$17/(Inputs!$B$51*BG14*Inputs!$B$16))</f>
        <v>0.74898758191849</v>
      </c>
      <c r="BI14" s="15" t="n">
        <f aca="false">Inputs!$B$50*Inputs!$B$18*BH14*Inputs!$B$19</f>
        <v>0.731853913807031</v>
      </c>
      <c r="BJ14" s="15" t="n">
        <f aca="false">1-BI14</f>
        <v>0.268146086192969</v>
      </c>
      <c r="BK14" s="15" t="n">
        <f aca="false">Inputs!$B$20*BJ14</f>
        <v>0.00804438258578906</v>
      </c>
      <c r="BL14" s="15" t="n">
        <f aca="false">0.8*(1-Inputs!$B$50)*(BI14-BK14)</f>
        <v>0.00174337342737573</v>
      </c>
      <c r="BM14" s="15" t="n">
        <f aca="false">BI14-BK14-BL14</f>
        <v>0.722066157793866</v>
      </c>
      <c r="BN14" s="15" t="n">
        <f aca="false">BM14*(1-Inputs!$B$18*EXP(-Inputs!$B$21*Inputs!$B$14*Inputs!$B$17/(Inputs!$B$22*Inputs!$B$23*Inputs!$B$24*BG14*Inputs!$B$16))*Inputs!$B$19)</f>
        <v>0.0263686219765462</v>
      </c>
      <c r="BO14" s="15" t="n">
        <f aca="false">(BM14-BN14)*(1-EXP(-Inputs!$B$25*Inputs!$B$14*Inputs!$B$17*Inputs!$B$26/(BG14*Inputs!$B$16/0.866)))</f>
        <v>0.00763618709269512</v>
      </c>
      <c r="BP14" s="15" t="n">
        <f aca="false">(BM14-BN14-BO14)*(1-Inputs!$B$19)</f>
        <v>0.00344030674362313</v>
      </c>
      <c r="BQ14" s="15" t="n">
        <f aca="false">(BJ14+BK14+BL14+BN14+BO14+BP14)*(1+Inputs!$B$27)</f>
        <v>0.316325094893055</v>
      </c>
      <c r="BR14" s="15" t="n">
        <f aca="false">Inputs!$B$52/(1-BQ14-G14)</f>
        <v>195937.231614687</v>
      </c>
      <c r="BS14" s="15" t="n">
        <f aca="false">BR14/Inputs!$B$34</f>
        <v>326.562052691145</v>
      </c>
      <c r="BT14" s="15" t="n">
        <f aca="false">B14^2/BS14</f>
        <v>10.301258129283</v>
      </c>
      <c r="BU14" s="15" t="n">
        <f aca="false">Inputs!$B$54*H14/(Inputs!$B$35*F14+E14*H14^2/(PI()*BT14*Inputs!$B$36))</f>
        <v>18.9162355260654</v>
      </c>
      <c r="BV14" s="15" t="n">
        <f aca="false">EXP(-Inputs!$B$11*Inputs!$B$14*Inputs!$B$17/(Inputs!$B$51*BU14*Inputs!$B$16))</f>
        <v>0.748948546337805</v>
      </c>
      <c r="BW14" s="15" t="n">
        <f aca="false">Inputs!$B$50*Inputs!$B$18*BV14*Inputs!$B$19</f>
        <v>0.731815771195335</v>
      </c>
      <c r="BX14" s="15" t="n">
        <f aca="false">1-BW14</f>
        <v>0.268184228804665</v>
      </c>
      <c r="BY14" s="15" t="n">
        <f aca="false">Inputs!$B$20*BX14</f>
        <v>0.00804552686413994</v>
      </c>
      <c r="BZ14" s="15" t="n">
        <f aca="false">0.8*(1-Inputs!$B$50)*(BW14-BY14)</f>
        <v>0.00174327880065807</v>
      </c>
      <c r="CA14" s="15" t="n">
        <f aca="false">BW14-BY14-BZ14</f>
        <v>0.722026965530537</v>
      </c>
      <c r="CB14" s="15" t="n">
        <f aca="false">CA14*(1-Inputs!$B$18*EXP(-Inputs!$B$21*Inputs!$B$14*Inputs!$B$17/(Inputs!$B$22*Inputs!$B$23*Inputs!$B$24*BU14*Inputs!$B$16))*Inputs!$B$19)</f>
        <v>0.026369332755466</v>
      </c>
      <c r="CC14" s="15" t="n">
        <f aca="false">(CA14-CB14)*(1-EXP(-Inputs!$B$25*Inputs!$B$14*Inputs!$B$17*Inputs!$B$26/(BU14*Inputs!$B$16/0.866)))</f>
        <v>0.00763711841696028</v>
      </c>
      <c r="CD14" s="15" t="n">
        <f aca="false">(CA14-CB14-CC14)*(1-Inputs!$B$19)</f>
        <v>0.00344010257179056</v>
      </c>
      <c r="CE14" s="15" t="n">
        <f aca="false">(BX14+BY14+BZ14+CB14+CC14+CD14)*(1+Inputs!$B$27)</f>
        <v>0.316365846978321</v>
      </c>
      <c r="CF14" s="15" t="n">
        <f aca="false">Inputs!$B$52/(1-CE14-G14)</f>
        <v>195985.198283233</v>
      </c>
      <c r="CG14" s="15" t="n">
        <f aca="false">CF14/Inputs!$B$34</f>
        <v>326.641997138722</v>
      </c>
      <c r="CH14" s="15" t="n">
        <f aca="false">B14^2/CG14</f>
        <v>10.2987369336079</v>
      </c>
      <c r="CI14" s="15" t="n">
        <f aca="false">Inputs!$B$54*H14/(Inputs!$B$35*F14+E14*H14^2/(PI()*CH14*Inputs!$B$36))</f>
        <v>18.9148281009793</v>
      </c>
      <c r="CJ14" s="15" t="n">
        <f aca="false">EXP(-Inputs!$B$11*Inputs!$B$14*Inputs!$B$17/(Inputs!$B$51*CI14*Inputs!$B$16))</f>
        <v>0.748932436330058</v>
      </c>
      <c r="CK14" s="15" t="n">
        <f aca="false">Inputs!$B$50*Inputs!$B$18*CJ14*Inputs!$B$19</f>
        <v>0.73180002971643</v>
      </c>
      <c r="CL14" s="15" t="n">
        <f aca="false">1-CK14</f>
        <v>0.26819997028357</v>
      </c>
      <c r="CM14" s="15" t="n">
        <f aca="false">Inputs!$B$20*CL14</f>
        <v>0.00804599910850711</v>
      </c>
      <c r="CN14" s="15" t="n">
        <f aca="false">0.8*(1-Inputs!$B$50)*(CK14-CM14)</f>
        <v>0.00174323974815449</v>
      </c>
      <c r="CO14" s="15" t="n">
        <f aca="false">CK14-CM14-CN14</f>
        <v>0.722010790859768</v>
      </c>
      <c r="CP14" s="15" t="n">
        <f aca="false">CO14*(1-Inputs!$B$18*EXP(-Inputs!$B$21*Inputs!$B$14*Inputs!$B$17/(Inputs!$B$22*Inputs!$B$23*Inputs!$B$24*CI14*Inputs!$B$16))*Inputs!$B$19)</f>
        <v>0.0263696260571895</v>
      </c>
      <c r="CQ14" s="15" t="n">
        <f aca="false">(CO14-CP14)*(1-EXP(-Inputs!$B$25*Inputs!$B$14*Inputs!$B$17*Inputs!$B$26/(CI14*Inputs!$B$16/0.866)))</f>
        <v>0.00763750274967276</v>
      </c>
      <c r="CR14" s="15" t="n">
        <f aca="false">(CO14-CP14-CQ14)*(1-Inputs!$B$19)</f>
        <v>0.00344001831026453</v>
      </c>
      <c r="CS14" s="15" t="n">
        <f aca="false">(CL14+CM14+CN14+CP14+CQ14+CR14)*(1+Inputs!$B$27)</f>
        <v>0.316382665326131</v>
      </c>
      <c r="CT14" s="15" t="n">
        <f aca="false">Inputs!$B$52/(1-CS14-G14)</f>
        <v>196005.000929699</v>
      </c>
      <c r="CU14" s="15" t="n">
        <f aca="false">CT14/Inputs!$B$34</f>
        <v>326.675001549498</v>
      </c>
      <c r="CV14" s="15" t="n">
        <f aca="false">B14^2/CU14</f>
        <v>10.29769643849</v>
      </c>
      <c r="CW14" s="15" t="n">
        <f aca="false">Inputs!$B$54*H14/(Inputs!$B$35*F14+E14*H14^2/(PI()*CV14*Inputs!$B$36))</f>
        <v>18.9142471181306</v>
      </c>
      <c r="CX14" s="15" t="n">
        <f aca="false">EXP(-Inputs!$B$11*Inputs!$B$14*Inputs!$B$17/(Inputs!$B$51*CW14*Inputs!$B$16))</f>
        <v>0.748925785546294</v>
      </c>
      <c r="CY14" s="15" t="n">
        <f aca="false">Inputs!$B$50*Inputs!$B$18*CX14*Inputs!$B$19</f>
        <v>0.73179353107447</v>
      </c>
      <c r="CZ14" s="15" t="n">
        <f aca="false">1-CY14</f>
        <v>0.26820646892553</v>
      </c>
      <c r="DA14" s="15" t="n">
        <f aca="false">Inputs!$B$20*CZ14</f>
        <v>0.00804619406776591</v>
      </c>
      <c r="DB14" s="15" t="n">
        <f aca="false">0.8*(1-Inputs!$B$50)*(CY14-DA14)</f>
        <v>0.00174322362589304</v>
      </c>
      <c r="DC14" s="15" t="n">
        <f aca="false">CY14-DA14-DB14</f>
        <v>0.722004113380811</v>
      </c>
      <c r="DD14" s="15" t="n">
        <f aca="false">DC14*(1-Inputs!$B$18*EXP(-Inputs!$B$21*Inputs!$B$14*Inputs!$B$17/(Inputs!$B$22*Inputs!$B$23*Inputs!$B$24*CW14*Inputs!$B$16))*Inputs!$B$19)</f>
        <v>0.0263697471362321</v>
      </c>
      <c r="DE14" s="15" t="n">
        <f aca="false">(DC14-DD14)*(1-EXP(-Inputs!$B$25*Inputs!$B$14*Inputs!$B$17*Inputs!$B$26/(CW14*Inputs!$B$16/0.866)))</f>
        <v>0.0076376614115523</v>
      </c>
      <c r="DF14" s="15" t="n">
        <f aca="false">(DC14-DD14-DE14)*(1-Inputs!$B$19)</f>
        <v>0.00343998352416514</v>
      </c>
      <c r="DG14" s="15" t="n">
        <f aca="false">(CZ14+DA14+DB14+DD14+DE14+DF14)*(1+Inputs!$B$27)</f>
        <v>0.316389608527212</v>
      </c>
      <c r="DH14" s="15" t="n">
        <f aca="false">Inputs!$B$52/(1-DG14-G14)</f>
        <v>196013.177320546</v>
      </c>
      <c r="DI14" s="15" t="n">
        <f aca="false">DH14/Inputs!$B$34</f>
        <v>326.688628867577</v>
      </c>
      <c r="DJ14" s="15" t="n">
        <f aca="false">B14^2/DI14</f>
        <v>10.2972668857831</v>
      </c>
      <c r="DK14" s="15" t="n">
        <f aca="false">Inputs!$B$54*H14/(Inputs!$B$35*F14+E14*H14^2/(PI()*DJ14*Inputs!$B$36))</f>
        <v>18.9140072442985</v>
      </c>
      <c r="DL14" s="15" t="n">
        <f aca="false">EXP(-Inputs!$B$11*Inputs!$B$14*Inputs!$B$17/(Inputs!$B$51*DK14*Inputs!$B$16))</f>
        <v>0.748923039495839</v>
      </c>
      <c r="DM14" s="15" t="n">
        <f aca="false">Inputs!$B$50*Inputs!$B$18*DL14*Inputs!$B$19</f>
        <v>0.731790847842035</v>
      </c>
      <c r="DN14" s="15" t="n">
        <f aca="false">1-DM14</f>
        <v>0.268209152157965</v>
      </c>
      <c r="DO14" s="15" t="n">
        <f aca="false">Inputs!$B$20*DN14</f>
        <v>0.00804627456473895</v>
      </c>
      <c r="DP14" s="15" t="n">
        <f aca="false">0.8*(1-Inputs!$B$50)*(DM14-DO14)</f>
        <v>0.00174321696915228</v>
      </c>
      <c r="DQ14" s="15" t="n">
        <f aca="false">DM14-DO14-DP14</f>
        <v>0.722001356308144</v>
      </c>
      <c r="DR14" s="15" t="n">
        <f aca="false">DQ14*(1-Inputs!$B$18*EXP(-Inputs!$B$21*Inputs!$B$14*Inputs!$B$17/(Inputs!$B$22*Inputs!$B$23*Inputs!$B$24*DK14*Inputs!$B$16))*Inputs!$B$19)</f>
        <v>0.0263697971276304</v>
      </c>
      <c r="DS14" s="15" t="n">
        <f aca="false">(DQ14-DR14)*(1-EXP(-Inputs!$B$25*Inputs!$B$14*Inputs!$B$17*Inputs!$B$26/(DK14*Inputs!$B$16/0.866)))</f>
        <v>0.00763772692091776</v>
      </c>
      <c r="DT14" s="15" t="n">
        <f aca="false">(DQ14-DR14-DS14)*(1-Inputs!$B$19)</f>
        <v>0.00343996916129798</v>
      </c>
      <c r="DU14" s="15" t="n">
        <f aca="false">(DN14+DO14+DP14+DR14+DS14+DT14)*(1+Inputs!$B$27)</f>
        <v>0.316392475312408</v>
      </c>
      <c r="DV14" s="15" t="n">
        <f aca="false">Inputs!$B$52/(1-DU14-G14)</f>
        <v>196016.553477669</v>
      </c>
      <c r="DW14" s="15" t="n">
        <f aca="false">DV14/Inputs!$B$34</f>
        <v>326.694255796115</v>
      </c>
      <c r="DX14" s="15" t="n">
        <f aca="false">B14^2/DW14</f>
        <v>10.297089527339</v>
      </c>
      <c r="DY14" s="15" t="n">
        <f aca="false">Inputs!$B$54*H14/(Inputs!$B$35*F14+E14*H14^2/(PI()*DX14*Inputs!$B$36))</f>
        <v>18.9139081984908</v>
      </c>
      <c r="DZ14" s="15" t="n">
        <f aca="false">EXP(-Inputs!$B$11*Inputs!$B$14*Inputs!$B$17/(Inputs!$B$51*DY14*Inputs!$B$16))</f>
        <v>0.748921905612447</v>
      </c>
      <c r="EA14" s="15" t="n">
        <f aca="false">Inputs!$B$50*Inputs!$B$18*DZ14*Inputs!$B$19</f>
        <v>0.731789739897099</v>
      </c>
      <c r="EB14" s="15" t="n">
        <f aca="false">1-EA14</f>
        <v>0.268210260102901</v>
      </c>
      <c r="EC14" s="15" t="n">
        <f aca="false">Inputs!$B$20*EB14</f>
        <v>0.00804630780308703</v>
      </c>
      <c r="ED14" s="15" t="n">
        <f aca="false">0.8*(1-Inputs!$B$50)*(EA14-EC14)</f>
        <v>0.0017432142204891</v>
      </c>
      <c r="EE14" s="15" t="n">
        <f aca="false">EA14-EC14-ED14</f>
        <v>0.722000217873523</v>
      </c>
      <c r="EF14" s="15" t="n">
        <f aca="false">EE14*(1-Inputs!$B$18*EXP(-Inputs!$B$21*Inputs!$B$14*Inputs!$B$17/(Inputs!$B$22*Inputs!$B$23*Inputs!$B$24*DY14*Inputs!$B$16))*Inputs!$B$19)</f>
        <v>0.0263698177696076</v>
      </c>
      <c r="EG14" s="15" t="n">
        <f aca="false">(EE14-EF14)*(1-EXP(-Inputs!$B$25*Inputs!$B$14*Inputs!$B$17*Inputs!$B$26/(DY14*Inputs!$B$16/0.866)))</f>
        <v>0.00763775397054332</v>
      </c>
      <c r="EH14" s="15" t="n">
        <f aca="false">(EE14-EF14-EG14)*(1-Inputs!$B$19)</f>
        <v>0.00343996323066686</v>
      </c>
      <c r="EI14" s="15" t="n">
        <f aca="false">(EB14+EC14+ED14+EF14+EG14+EH14)*(1+Inputs!$B$27)</f>
        <v>0.316393659048587</v>
      </c>
      <c r="EJ14" s="15" t="n">
        <f aca="false">Inputs!$B$52/(1-EI14-G14)</f>
        <v>196017.947574652</v>
      </c>
      <c r="EK14" s="15" t="n">
        <f aca="false">EJ14/Inputs!$B$34</f>
        <v>326.696579291087</v>
      </c>
      <c r="EL14" s="15" t="n">
        <f aca="false">B14^2/EK14</f>
        <v>10.2970162935274</v>
      </c>
      <c r="EM14" s="15" t="n">
        <f aca="false">Inputs!$B$54*H14/(Inputs!$B$35*F14+E14*H14^2/(PI()*EL14*Inputs!$B$36))</f>
        <v>18.9138673003824</v>
      </c>
      <c r="EN14" s="15" t="n">
        <f aca="false">EXP(-Inputs!$B$11*Inputs!$B$14*Inputs!$B$17/(Inputs!$B$51*EM14*Inputs!$B$16))</f>
        <v>0.748921437405054</v>
      </c>
      <c r="EO14" s="15" t="n">
        <f aca="false">Inputs!$B$50*Inputs!$B$18*EN14*Inputs!$B$19</f>
        <v>0.731789282400311</v>
      </c>
      <c r="EP14" s="15" t="n">
        <f aca="false">1-EO14</f>
        <v>0.268210717599689</v>
      </c>
      <c r="EQ14" s="15" t="n">
        <f aca="false">Inputs!$B$20*EP14</f>
        <v>0.00804632152799067</v>
      </c>
      <c r="ER14" s="15" t="n">
        <f aca="false">0.8*(1-Inputs!$B$50)*(EO14-EQ14)</f>
        <v>0.00174321308550076</v>
      </c>
      <c r="ES14" s="15" t="n">
        <f aca="false">EO14-EQ14-ER14</f>
        <v>0.721999747786819</v>
      </c>
      <c r="ET14" s="15" t="n">
        <f aca="false">ES14*(1-Inputs!$B$18*EXP(-Inputs!$B$21*Inputs!$B$14*Inputs!$B$17/(Inputs!$B$22*Inputs!$B$23*Inputs!$B$24*EM14*Inputs!$B$16))*Inputs!$B$19)</f>
        <v>0.0263698262931391</v>
      </c>
      <c r="EU14" s="15" t="n">
        <f aca="false">(ES14-ET14)*(1-EXP(-Inputs!$B$25*Inputs!$B$14*Inputs!$B$17*Inputs!$B$26/(EM14*Inputs!$B$16/0.866)))</f>
        <v>0.00763776513995494</v>
      </c>
      <c r="EV14" s="15" t="n">
        <f aca="false">(ES14-ET14-EU14)*(1-Inputs!$B$19)</f>
        <v>0.00343996078176863</v>
      </c>
      <c r="EW14" s="15" t="n">
        <f aca="false">(EP14+EQ14+ER14+ET14+EU14+EV14)*(1+Inputs!$B$27)</f>
        <v>0.316394147841327</v>
      </c>
      <c r="EX14" s="15" t="n">
        <f aca="false">Inputs!$B$52/(1-EW14-G14)</f>
        <v>196018.523236142</v>
      </c>
      <c r="EY14" s="15" t="n">
        <f aca="false">EX14/Inputs!$B$34</f>
        <v>326.697538726904</v>
      </c>
      <c r="EZ14" s="15" t="n">
        <f aca="false">B14^2/EY14</f>
        <v>10.2969860535499</v>
      </c>
      <c r="FA14" s="15" t="n">
        <f aca="false">Inputs!$B$54*H14/(Inputs!$B$35*F14+E14*H14^2/(PI()*EZ14*Inputs!$B$36))</f>
        <v>18.9138504124655</v>
      </c>
      <c r="FB14" s="15" t="n">
        <f aca="false">EXP(-Inputs!$B$11*Inputs!$B$14*Inputs!$B$17/(Inputs!$B$51*FA14*Inputs!$B$16))</f>
        <v>0.74892124406926</v>
      </c>
      <c r="FC14" s="15" t="n">
        <f aca="false">Inputs!$B$50*Inputs!$B$18*FB14*Inputs!$B$19</f>
        <v>0.731789093487223</v>
      </c>
      <c r="FD14" s="15" t="n">
        <f aca="false">1-FC14</f>
        <v>0.268210906512777</v>
      </c>
      <c r="FE14" s="15" t="n">
        <f aca="false">Inputs!$B$20*FD14</f>
        <v>0.00804632719538332</v>
      </c>
      <c r="FF14" s="15" t="n">
        <f aca="false">0.8*(1-Inputs!$B$50)*(FC14-FE14)</f>
        <v>0.00174321261683266</v>
      </c>
      <c r="FG14" s="15" t="n">
        <f aca="false">FC14-FE14-FF14</f>
        <v>0.721999553675007</v>
      </c>
      <c r="FH14" s="15" t="n">
        <f aca="false">FG14*(1-Inputs!$B$18*EXP(-Inputs!$B$21*Inputs!$B$14*Inputs!$B$17/(Inputs!$B$22*Inputs!$B$23*Inputs!$B$24*FA14*Inputs!$B$16))*Inputs!$B$19)</f>
        <v>0.0263698298127357</v>
      </c>
      <c r="FI14" s="15" t="n">
        <f aca="false">(FG14-FH14)*(1-EXP(-Inputs!$B$25*Inputs!$B$14*Inputs!$B$17*Inputs!$B$26/(FA14*Inputs!$B$16/0.866)))</f>
        <v>0.00763776975211054</v>
      </c>
      <c r="FJ14" s="15" t="n">
        <f aca="false">(FG14-FH14-FI14)*(1-Inputs!$B$19)</f>
        <v>0.00343995977055081</v>
      </c>
      <c r="FK14" s="15" t="n">
        <f aca="false">(FD14+FE14+FF14+FH14+FI14+FJ14)*(1+Inputs!$B$27)</f>
        <v>0.316394349677372</v>
      </c>
      <c r="FL14" s="15" t="n">
        <f aca="false">Inputs!$B$52/(1-FK14-G14)</f>
        <v>196018.760943683</v>
      </c>
      <c r="FM14" s="15" t="n">
        <f aca="false">FL14/Inputs!$B$34</f>
        <v>326.697934906138</v>
      </c>
      <c r="FN14" s="15" t="n">
        <f aca="false">B14^2/FM14</f>
        <v>10.2969735666266</v>
      </c>
      <c r="FO14" s="15" t="n">
        <f aca="false">Inputs!$B$54*H14/(Inputs!$B$35*F14+E14*H14^2/(PI()*FN14*Inputs!$B$36))</f>
        <v>18.9138434389572</v>
      </c>
      <c r="FP14" s="15" t="n">
        <f aca="false">EXP(-Inputs!$B$11*Inputs!$B$14*Inputs!$B$17/(Inputs!$B$51*FO14*Inputs!$B$16))</f>
        <v>0.748921164235246</v>
      </c>
      <c r="FQ14" s="15" t="n">
        <f aca="false">Inputs!$B$50*Inputs!$B$18*FP14*Inputs!$B$19</f>
        <v>0.731789015479473</v>
      </c>
      <c r="FR14" s="15" t="n">
        <f aca="false">1-FQ14</f>
        <v>0.268210984520527</v>
      </c>
      <c r="FS14" s="15" t="n">
        <f aca="false">Inputs!$B$20*FR14</f>
        <v>0.00804632953561581</v>
      </c>
      <c r="FT14" s="15" t="n">
        <f aca="false">0.8*(1-Inputs!$B$50)*(FQ14-FS14)</f>
        <v>0.00174321242330586</v>
      </c>
      <c r="FU14" s="15" t="n">
        <f aca="false">FQ14-FS14-FT14</f>
        <v>0.721999473520551</v>
      </c>
      <c r="FV14" s="15" t="n">
        <f aca="false">FU14*(1-Inputs!$B$18*EXP(-Inputs!$B$21*Inputs!$B$14*Inputs!$B$17/(Inputs!$B$22*Inputs!$B$23*Inputs!$B$24*FO14*Inputs!$B$16))*Inputs!$B$19)</f>
        <v>0.0263698312660795</v>
      </c>
      <c r="FW14" s="15" t="n">
        <f aca="false">(FU14-FV14)*(1-EXP(-Inputs!$B$25*Inputs!$B$14*Inputs!$B$17*Inputs!$B$26/(FO14*Inputs!$B$16/0.866)))</f>
        <v>0.0076377716566041</v>
      </c>
      <c r="FX14" s="15" t="n">
        <f aca="false">(FU14-FV14-FW14)*(1-Inputs!$B$19)</f>
        <v>0.00343995935298934</v>
      </c>
      <c r="FY14" s="15" t="n">
        <f aca="false">(FR14+FS14+FT14+FV14+FW14+FX14)*(1+Inputs!$B$27)</f>
        <v>0.316394433021387</v>
      </c>
      <c r="FZ14" s="15" t="n">
        <f aca="false">Inputs!$B$52/(1-FY14-G14)</f>
        <v>196018.859100258</v>
      </c>
      <c r="GA14" s="15" t="n">
        <f aca="false">FZ14/Inputs!$B$34</f>
        <v>326.69809850043</v>
      </c>
      <c r="GB14" s="15" t="n">
        <f aca="false">B14^2/GA14</f>
        <v>10.2969684104102</v>
      </c>
      <c r="GC14" s="15" t="n">
        <f aca="false">Inputs!$B$54*H14/(Inputs!$B$35*F14+E14*H14^2/(PI()*GB14*Inputs!$B$36))</f>
        <v>18.913840559388</v>
      </c>
      <c r="GD14" s="15" t="n">
        <f aca="false">EXP(-Inputs!$B$11*Inputs!$B$14*Inputs!$B$17/(Inputs!$B$51*GC14*Inputs!$B$16))</f>
        <v>0.748921131269389</v>
      </c>
      <c r="GE14" s="15" t="n">
        <f aca="false">Inputs!$B$50*Inputs!$B$18*GD14*Inputs!$B$19</f>
        <v>0.731788983267735</v>
      </c>
      <c r="GF14" s="15" t="n">
        <f aca="false">1-GE14</f>
        <v>0.268211016732265</v>
      </c>
      <c r="GG14" s="15" t="n">
        <f aca="false">Inputs!$B$20*GF14</f>
        <v>0.00804633050196794</v>
      </c>
      <c r="GH14" s="15" t="n">
        <f aca="false">0.8*(1-Inputs!$B$50)*(GE14-GG14)</f>
        <v>0.00174321234339285</v>
      </c>
      <c r="GI14" s="15" t="n">
        <f aca="false">GE14-GG14-GH14</f>
        <v>0.721999440422375</v>
      </c>
      <c r="GJ14" s="15" t="n">
        <f aca="false">GI14*(1-Inputs!$B$18*EXP(-Inputs!$B$21*Inputs!$B$14*Inputs!$B$17/(Inputs!$B$22*Inputs!$B$23*Inputs!$B$24*GC14*Inputs!$B$16))*Inputs!$B$19)</f>
        <v>0.0263698318662085</v>
      </c>
      <c r="GK14" s="15" t="n">
        <f aca="false">(GI14-GJ14)*(1-EXP(-Inputs!$B$25*Inputs!$B$14*Inputs!$B$17*Inputs!$B$26/(GC14*Inputs!$B$16/0.866)))</f>
        <v>0.00763777244302648</v>
      </c>
      <c r="GL14" s="15" t="n">
        <f aca="false">(GI14-GJ14-GK14)*(1-Inputs!$B$19)</f>
        <v>0.0034399591805657</v>
      </c>
      <c r="GM14" s="15" t="n">
        <f aca="false">(GF14+GG14+GH14+GJ14+GK14+GL14)*(1+Inputs!$B$27)</f>
        <v>0.316394467436629</v>
      </c>
      <c r="GN14" s="15" t="n">
        <f aca="false">Inputs!$B$52/(1-GM14-G14)</f>
        <v>196018.899632078</v>
      </c>
      <c r="GO14" s="15" t="n">
        <f aca="false">GN14/Inputs!$B$34</f>
        <v>326.698166053463</v>
      </c>
      <c r="GP14" s="15" t="n">
        <f aca="false">B14^2/GO14</f>
        <v>10.2969662812539</v>
      </c>
      <c r="GQ14" s="15" t="n">
        <f aca="false">Inputs!$B$54*H14/(Inputs!$B$35*F14+E14*H14^2/(PI()*GP14*Inputs!$B$36))</f>
        <v>18.9138393703269</v>
      </c>
      <c r="GR14" s="15" t="n">
        <f aca="false">EXP(-Inputs!$B$11*Inputs!$B$14*Inputs!$B$17/(Inputs!$B$51*GQ14*Inputs!$B$16))</f>
        <v>0.748921117656789</v>
      </c>
      <c r="GS14" s="15" t="n">
        <f aca="false">Inputs!$B$50*Inputs!$B$18*GR14*Inputs!$B$19</f>
        <v>0.731788969966534</v>
      </c>
      <c r="GT14" s="15" t="n">
        <f aca="false">1-GS14</f>
        <v>0.268211030033466</v>
      </c>
      <c r="GU14" s="15" t="n">
        <f aca="false">Inputs!$B$20*GT14</f>
        <v>0.00804633090100397</v>
      </c>
      <c r="GV14" s="15" t="n">
        <f aca="false">0.8*(1-Inputs!$B$50)*(GS14-GU14)</f>
        <v>0.00174321231039435</v>
      </c>
      <c r="GW14" s="15" t="n">
        <f aca="false">GS14-GU14-GV14</f>
        <v>0.721999426755136</v>
      </c>
      <c r="GX14" s="15" t="n">
        <f aca="false">GW14*(1-Inputs!$B$18*EXP(-Inputs!$B$21*Inputs!$B$14*Inputs!$B$17/(Inputs!$B$22*Inputs!$B$23*Inputs!$B$24*GQ14*Inputs!$B$16))*Inputs!$B$19)</f>
        <v>0.0263698321140199</v>
      </c>
      <c r="GY14" s="15" t="n">
        <f aca="false">(GW14-GX14)*(1-EXP(-Inputs!$B$25*Inputs!$B$14*Inputs!$B$17*Inputs!$B$26/(GQ14*Inputs!$B$16/0.866)))</f>
        <v>0.00763777276776408</v>
      </c>
      <c r="GZ14" s="15" t="n">
        <f aca="false">(GW14-GX14-GY14)*(1-Inputs!$B$19)</f>
        <v>0.00343995910936676</v>
      </c>
      <c r="HA14" s="15" t="n">
        <f aca="false">(GT14+GU14+GV14+GX14+GY14+GZ14)*(1+Inputs!$B$27)</f>
        <v>0.316394481647723</v>
      </c>
      <c r="HB14" s="15" t="n">
        <f aca="false">Inputs!$B$52/(1-HA14-G14)</f>
        <v>196018.916368897</v>
      </c>
      <c r="HC14" s="15" t="n">
        <f aca="false">HB14/Inputs!$B$34</f>
        <v>326.698193948162</v>
      </c>
      <c r="HD14" s="15" t="n">
        <f aca="false">B14^2/HC14</f>
        <v>10.2969654020609</v>
      </c>
      <c r="HE14" s="15" t="n">
        <f aca="false">Inputs!$B$54*H14/(Inputs!$B$35*F14+E14*H14^2/(PI()*HD14*Inputs!$B$36))</f>
        <v>18.9138388793276</v>
      </c>
      <c r="HF14" s="15" t="n">
        <f aca="false">EXP(-Inputs!$B$11*Inputs!$B$14*Inputs!$B$17/(Inputs!$B$51*HE14*Inputs!$B$16))</f>
        <v>0.748921112035733</v>
      </c>
      <c r="HG14" s="15" t="n">
        <f aca="false">Inputs!$B$50*Inputs!$B$18*HF14*Inputs!$B$19</f>
        <v>0.731788964474065</v>
      </c>
      <c r="HH14" s="15" t="n">
        <f aca="false">1-HG14</f>
        <v>0.268211035525935</v>
      </c>
      <c r="HI14" s="15" t="n">
        <f aca="false">Inputs!$B$20*HH14</f>
        <v>0.00804633106577806</v>
      </c>
      <c r="HJ14" s="15" t="n">
        <f aca="false">0.8*(1-Inputs!$B$50)*(HG14-HI14)</f>
        <v>0.00174321229676827</v>
      </c>
      <c r="HK14" s="15" t="n">
        <f aca="false">HG14-HI14-HJ14</f>
        <v>0.721999421111519</v>
      </c>
      <c r="HL14" s="15" t="n">
        <f aca="false">HK14*(1-Inputs!$B$18*EXP(-Inputs!$B$21*Inputs!$B$14*Inputs!$B$17/(Inputs!$B$22*Inputs!$B$23*Inputs!$B$24*HE14*Inputs!$B$16))*Inputs!$B$19)</f>
        <v>0.0263698322163488</v>
      </c>
      <c r="HM14" s="15" t="n">
        <f aca="false">(HK14-HL14)*(1-EXP(-Inputs!$B$25*Inputs!$B$14*Inputs!$B$17*Inputs!$B$26/(HE14*Inputs!$B$16/0.866)))</f>
        <v>0.00763777290185807</v>
      </c>
      <c r="HN14" s="15" t="n">
        <f aca="false">(HK14-HL14-HM14)*(1-Inputs!$B$19)</f>
        <v>0.00343995907996656</v>
      </c>
      <c r="HO14" s="15" t="n">
        <f aca="false">(HH14+HI14+HJ14+HL14+HM14+HN14)*(1+Inputs!$B$27)</f>
        <v>0.316394487515915</v>
      </c>
      <c r="HP14" s="15" t="n">
        <f aca="false">Inputs!$B$52/(1-HO14-G14)</f>
        <v>196018.923280039</v>
      </c>
      <c r="HQ14" s="15" t="n">
        <f aca="false">HP14/Inputs!$B$34</f>
        <v>326.698205466732</v>
      </c>
      <c r="HR14" s="15" t="n">
        <f aca="false">B14^2/HQ14</f>
        <v>10.2969650390154</v>
      </c>
      <c r="HS14" s="15" t="n">
        <f aca="false">Inputs!$B$54*H14/(Inputs!$B$35*F14+E14*H14^2/(PI()*HR14*Inputs!$B$36))</f>
        <v>18.913838676579</v>
      </c>
      <c r="HT14" s="15" t="n">
        <f aca="false">EXP(-Inputs!$B$11*Inputs!$B$14*Inputs!$B$17/(Inputs!$B$51*HS14*Inputs!$B$16))</f>
        <v>0.748921109714629</v>
      </c>
      <c r="HU14" s="15" t="n">
        <f aca="false">Inputs!$B$50*Inputs!$B$18*HT14*Inputs!$B$19</f>
        <v>0.731788962206057</v>
      </c>
      <c r="HV14" s="15" t="n">
        <f aca="false">1-HU14</f>
        <v>0.268211037793943</v>
      </c>
      <c r="HW14" s="15" t="n">
        <f aca="false">Inputs!$B$20*HV14</f>
        <v>0.0080463311338183</v>
      </c>
      <c r="HX14" s="15" t="n">
        <f aca="false">0.8*(1-Inputs!$B$50)*(HU14-HW14)</f>
        <v>0.00174321229114164</v>
      </c>
      <c r="HY14" s="15" t="n">
        <f aca="false">HU14-HW14-HX14</f>
        <v>0.721999418781097</v>
      </c>
      <c r="HZ14" s="15" t="n">
        <f aca="false">HY14*(1-Inputs!$B$18*EXP(-Inputs!$B$21*Inputs!$B$14*Inputs!$B$17/(Inputs!$B$22*Inputs!$B$23*Inputs!$B$24*HS14*Inputs!$B$16))*Inputs!$B$19)</f>
        <v>0.0263698322586035</v>
      </c>
      <c r="IA14" s="15" t="n">
        <f aca="false">(HY14-HZ14)*(1-EXP(-Inputs!$B$25*Inputs!$B$14*Inputs!$B$17*Inputs!$B$26/(HS14*Inputs!$B$16/0.866)))</f>
        <v>0.00763777295722952</v>
      </c>
      <c r="IB14" s="15" t="n">
        <f aca="false">(HY14-HZ14-IA14)*(1-Inputs!$B$19)</f>
        <v>0.00343995906782632</v>
      </c>
      <c r="IC14" s="15" t="n">
        <f aca="false">(HV14+HW14+HX14+HZ14+IA14+IB14)*(1+Inputs!$B$27)</f>
        <v>0.31639448993907</v>
      </c>
      <c r="ID14" s="15" t="n">
        <f aca="false">Inputs!$B$52/(1-IC14-G14)</f>
        <v>196018.92613386</v>
      </c>
      <c r="IE14" s="15" t="n">
        <f aca="false">ID14/Inputs!$B$34</f>
        <v>326.6982102231</v>
      </c>
      <c r="IF14" s="15" t="n">
        <f aca="false">B14^2/IE14</f>
        <v>10.2969648891029</v>
      </c>
      <c r="IG14" s="15" t="n">
        <f aca="false">Inputs!$B$54*H14/(Inputs!$B$35*F14+E14*H14^2/(PI()*IF14*Inputs!$B$36))</f>
        <v>18.913838592858</v>
      </c>
      <c r="IH14" s="15" t="n">
        <f aca="false">EXP(-Inputs!$B$11*Inputs!$B$14*Inputs!$B$17/(Inputs!$B$51*IG14*Inputs!$B$16))</f>
        <v>0.748921108756174</v>
      </c>
      <c r="II14" s="15" t="n">
        <f aca="false">Inputs!$B$50*Inputs!$B$18*IH14*Inputs!$B$19</f>
        <v>0.731788961269527</v>
      </c>
      <c r="IJ14" s="15" t="n">
        <f aca="false">1-II14</f>
        <v>0.268211038730473</v>
      </c>
      <c r="IK14" s="15" t="n">
        <f aca="false">Inputs!$B$20*IJ14</f>
        <v>0.00804633116191418</v>
      </c>
      <c r="IL14" s="15" t="n">
        <f aca="false">0.8*(1-Inputs!$B$50)*(II14-IK14)</f>
        <v>0.00174321228881824</v>
      </c>
      <c r="IM14" s="15" t="n">
        <f aca="false">II14-IK14-IL14</f>
        <v>0.721999417818795</v>
      </c>
      <c r="IN14" s="15" t="n">
        <f aca="false">IM14*(1-Inputs!$B$18*EXP(-Inputs!$B$21*Inputs!$B$14*Inputs!$B$17/(Inputs!$B$22*Inputs!$B$23*Inputs!$B$24*IG14*Inputs!$B$16))*Inputs!$B$19)</f>
        <v>0.0263698322760517</v>
      </c>
      <c r="IO14" s="15" t="n">
        <f aca="false">(IM14-IN14)*(1-EXP(-Inputs!$B$25*Inputs!$B$14*Inputs!$B$17*Inputs!$B$26/(IG14*Inputs!$B$16/0.866)))</f>
        <v>0.00763777298009414</v>
      </c>
      <c r="IP14" s="15" t="n">
        <f aca="false">(IM14-IN14-IO14)*(1-Inputs!$B$19)</f>
        <v>0.00343995906281325</v>
      </c>
      <c r="IQ14" s="15" t="n">
        <f aca="false">(IJ14+IK14+IL14+IN14+IO14+IP14)*(1+Inputs!$B$27)</f>
        <v>0.316394490939665</v>
      </c>
      <c r="IR14" s="15" t="n">
        <f aca="false">Inputs!$B$52/(1-IQ14-G14)</f>
        <v>196018.927312289</v>
      </c>
      <c r="IS14" s="15" t="n">
        <f aca="false">IR14/Inputs!$B$34</f>
        <v>326.698212187149</v>
      </c>
      <c r="IT14" s="15" t="n">
        <f aca="false">B14^2/IS14</f>
        <v>10.2969648271994</v>
      </c>
      <c r="IU14" s="15" t="n">
        <f aca="false">Inputs!$B$54*H14/(Inputs!$B$35*F14+E14*H14^2/(PI()*IT14*Inputs!$B$36))</f>
        <v>18.913838558287</v>
      </c>
      <c r="IV14" s="15" t="n">
        <f aca="false">EXP(-Inputs!$B$11*Inputs!$B$14*Inputs!$B$17/(Inputs!$B$51*IU14*Inputs!$B$16))</f>
        <v>0.748921108360399</v>
      </c>
      <c r="IW14" s="15" t="n">
        <f aca="false">Inputs!$B$50*Inputs!$B$18*IV14*Inputs!$B$19</f>
        <v>0.731788960882806</v>
      </c>
      <c r="IX14" s="15" t="n">
        <f aca="false">1-IW14</f>
        <v>0.268211039117194</v>
      </c>
      <c r="IY14" s="15" t="n">
        <f aca="false">Inputs!$B$20*IX14</f>
        <v>0.00804633117351583</v>
      </c>
      <c r="IZ14" s="15" t="n">
        <f aca="false">0.8*(1-Inputs!$B$50)*(IW14-IY14)</f>
        <v>0.00174321228785883</v>
      </c>
      <c r="JA14" s="15" t="n">
        <f aca="false">IW14-IY14-IZ14</f>
        <v>0.721999417421431</v>
      </c>
      <c r="JB14" s="15" t="n">
        <f aca="false">JA14*(1-Inputs!$B$18*EXP(-Inputs!$B$21*Inputs!$B$14*Inputs!$B$17/(Inputs!$B$22*Inputs!$B$23*Inputs!$B$24*IU14*Inputs!$B$16))*Inputs!$B$19)</f>
        <v>0.0263698322832566</v>
      </c>
      <c r="JC14" s="15" t="n">
        <f aca="false">(JA14-JB14)*(1-EXP(-Inputs!$B$25*Inputs!$B$14*Inputs!$B$17*Inputs!$B$26/(IU14*Inputs!$B$16/0.866)))</f>
        <v>0.00763777298953559</v>
      </c>
      <c r="JD14" s="15" t="n">
        <f aca="false">(JA14-JB14-JC14)*(1-Inputs!$B$19)</f>
        <v>0.0034399590607432</v>
      </c>
      <c r="JE14" s="15" t="n">
        <f aca="false">(IX14+IY14+IZ14+JB14+JC14+JD14)*(1+Inputs!$B$27)</f>
        <v>0.316394491352841</v>
      </c>
      <c r="JF14" s="15" t="n">
        <f aca="false">Inputs!$B$52/(1-JE14-G14)</f>
        <v>196018.927798899</v>
      </c>
      <c r="JG14" s="15" t="n">
        <f aca="false">JF14/Inputs!$B$34</f>
        <v>326.698212998165</v>
      </c>
      <c r="JH14" s="15" t="n">
        <f aca="false">B14^2/JG14</f>
        <v>10.2969648016376</v>
      </c>
      <c r="JI14" s="15" t="n">
        <f aca="false">Inputs!$B$54*H14/(Inputs!$B$35*F14+E14*H14^2/(PI()*JH14*Inputs!$B$36))</f>
        <v>18.9138385440116</v>
      </c>
      <c r="JJ14" s="15" t="n">
        <f aca="false">EXP(-Inputs!$B$11*Inputs!$B$14*Inputs!$B$17/(Inputs!$B$51*JI14*Inputs!$B$16))</f>
        <v>0.748921108196971</v>
      </c>
      <c r="JK14" s="15" t="n">
        <f aca="false">Inputs!$B$50*Inputs!$B$18*JJ14*Inputs!$B$19</f>
        <v>0.731788960723117</v>
      </c>
      <c r="JL14" s="15" t="n">
        <f aca="false">1-JK14</f>
        <v>0.268211039276883</v>
      </c>
      <c r="JM14" s="15" t="n">
        <f aca="false">Inputs!$B$20*JL14</f>
        <v>0.0080463311783065</v>
      </c>
      <c r="JN14" s="15" t="n">
        <f aca="false">0.8*(1-Inputs!$B$50)*(JK14-JM14)</f>
        <v>0.00174321228746267</v>
      </c>
      <c r="JO14" s="15" t="n">
        <f aca="false">JK14-JM14-JN14</f>
        <v>0.721999417257348</v>
      </c>
      <c r="JP14" s="15" t="n">
        <f aca="false">JO14*(1-Inputs!$B$18*EXP(-Inputs!$B$21*Inputs!$B$14*Inputs!$B$17/(Inputs!$B$22*Inputs!$B$23*Inputs!$B$24*JI14*Inputs!$B$16))*Inputs!$B$19)</f>
        <v>0.0263698322862318</v>
      </c>
      <c r="JQ14" s="15" t="n">
        <f aca="false">(JO14-JP14)*(1-EXP(-Inputs!$B$25*Inputs!$B$14*Inputs!$B$17*Inputs!$B$26/(JI14*Inputs!$B$16/0.866)))</f>
        <v>0.00763777299343424</v>
      </c>
      <c r="JR14" s="15" t="n">
        <f aca="false">(JO14-JP14-JQ14)*(1-Inputs!$B$19)</f>
        <v>0.00343995905988841</v>
      </c>
      <c r="JS14" s="15" t="n">
        <f aca="false">(JL14+JM14+JN14+JP14+JQ14+JR14)*(1+Inputs!$B$27)</f>
        <v>0.316394491523453</v>
      </c>
      <c r="JT14" s="15" t="n">
        <f aca="false">Inputs!$B$52/(1-JS14-G14)</f>
        <v>196018.927999834</v>
      </c>
      <c r="JU14" s="15" t="n">
        <f aca="false">JT14/Inputs!$B$34</f>
        <v>326.698213333057</v>
      </c>
      <c r="JV14" s="15" t="n">
        <f aca="false">B14^2/JU14</f>
        <v>10.2969647910823</v>
      </c>
      <c r="JW14" s="15" t="n">
        <f aca="false">Inputs!$B$54*H14/(Inputs!$B$35*F14+E14*H14^2/(PI()*JV14*Inputs!$B$36))</f>
        <v>18.9138385381168</v>
      </c>
      <c r="JX14" s="15" t="n">
        <f aca="false">EXP(-Inputs!$B$11*Inputs!$B$14*Inputs!$B$17/(Inputs!$B$51*JW14*Inputs!$B$16))</f>
        <v>0.748921108129487</v>
      </c>
      <c r="JY14" s="15" t="n">
        <f aca="false">Inputs!$B$50*Inputs!$B$18*JX14*Inputs!$B$19</f>
        <v>0.731788960657176</v>
      </c>
      <c r="JZ14" s="15" t="n">
        <f aca="false">1-JY14</f>
        <v>0.268211039342824</v>
      </c>
      <c r="KA14" s="15" t="n">
        <f aca="false">Inputs!$B$20*JZ14</f>
        <v>0.00804633118028471</v>
      </c>
      <c r="KB14" s="15" t="n">
        <f aca="false">0.8*(1-Inputs!$B$50)*(JY14-KA14)</f>
        <v>0.00174321228729908</v>
      </c>
      <c r="KC14" s="15" t="n">
        <f aca="false">JY14-KA14-KB14</f>
        <v>0.721999417189593</v>
      </c>
      <c r="KD14" s="15" t="n">
        <f aca="false">KC14*(1-Inputs!$B$18*EXP(-Inputs!$B$21*Inputs!$B$14*Inputs!$B$17/(Inputs!$B$22*Inputs!$B$23*Inputs!$B$24*JW14*Inputs!$B$16))*Inputs!$B$19)</f>
        <v>0.0263698322874602</v>
      </c>
      <c r="KE14" s="15" t="n">
        <f aca="false">(KC14-KD14)*(1-EXP(-Inputs!$B$25*Inputs!$B$14*Inputs!$B$17*Inputs!$B$26/(JW14*Inputs!$B$16/0.866)))</f>
        <v>0.00763777299504416</v>
      </c>
      <c r="KF14" s="15" t="n">
        <f aca="false">(KC14-KD14-KE14)*(1-Inputs!$B$19)</f>
        <v>0.00343995905953544</v>
      </c>
      <c r="KG14" s="15" t="n">
        <f aca="false">(JZ14+KA14+KB14+KD14+KE14+KF14)*(1+Inputs!$B$27)</f>
        <v>0.316394491593905</v>
      </c>
      <c r="KH14" s="15" t="n">
        <f aca="false">Inputs!$B$52/(1-KG14-G14)</f>
        <v>196018.928082807</v>
      </c>
      <c r="KI14" s="15" t="n">
        <f aca="false">KH14/Inputs!$B$34</f>
        <v>326.698213471345</v>
      </c>
      <c r="KJ14" s="15" t="n">
        <f aca="false">B14^2/KI14</f>
        <v>10.2969647867238</v>
      </c>
      <c r="KK14" s="15" t="n">
        <f aca="false">Inputs!$B$54*H14/(Inputs!$B$35*F14+E14*H14^2/(PI()*KJ14*Inputs!$B$36))</f>
        <v>18.9138385356827</v>
      </c>
      <c r="KL14" s="15" t="n">
        <f aca="false">EXP(-Inputs!$B$11*Inputs!$B$14*Inputs!$B$17/(Inputs!$B$51*KK14*Inputs!$B$16))</f>
        <v>0.748921108101621</v>
      </c>
      <c r="KM14" s="15" t="n">
        <f aca="false">Inputs!$B$50*Inputs!$B$18*KL14*Inputs!$B$19</f>
        <v>0.731788960629948</v>
      </c>
      <c r="KN14" s="15" t="n">
        <f aca="false">1-KM14</f>
        <v>0.268211039370052</v>
      </c>
      <c r="KO14" s="15" t="n">
        <f aca="false">Inputs!$B$20*KN14</f>
        <v>0.00804633118110157</v>
      </c>
      <c r="KP14" s="15" t="n">
        <f aca="false">0.8*(1-Inputs!$B$50)*(KM14-KO14)</f>
        <v>0.00174321228723153</v>
      </c>
      <c r="KQ14" s="15" t="n">
        <f aca="false">KM14-KO14-KP14</f>
        <v>0.721999417161615</v>
      </c>
      <c r="KR14" s="15" t="n">
        <f aca="false">KQ14*(1-Inputs!$B$18*EXP(-Inputs!$B$21*Inputs!$B$14*Inputs!$B$17/(Inputs!$B$22*Inputs!$B$23*Inputs!$B$24*KK14*Inputs!$B$16))*Inputs!$B$19)</f>
        <v>0.0263698322879676</v>
      </c>
      <c r="KS14" s="15" t="n">
        <f aca="false">(KQ14-KR14)*(1-EXP(-Inputs!$B$25*Inputs!$B$14*Inputs!$B$17*Inputs!$B$26/(KK14*Inputs!$B$16/0.866)))</f>
        <v>0.00763777299570891</v>
      </c>
      <c r="KT14" s="15" t="n">
        <f aca="false">(KQ14-KR14-KS14)*(1-Inputs!$B$19)</f>
        <v>0.00343995905938969</v>
      </c>
      <c r="KU14" s="15" t="n">
        <f aca="false">(KN14+KO14+KP14+KR14+KS14+KT14)*(1+Inputs!$B$27)</f>
        <v>0.316394491622996</v>
      </c>
      <c r="KV14" s="15" t="n">
        <f aca="false">Inputs!$B$52/(1-KU14-G14)</f>
        <v>196018.928117069</v>
      </c>
      <c r="KW14" s="15" t="n">
        <f aca="false">KV14/Inputs!$B$34</f>
        <v>326.698213528448</v>
      </c>
      <c r="KX14" s="15" t="n">
        <f aca="false">B14^2/KW14</f>
        <v>10.296964784924</v>
      </c>
      <c r="KY14" s="15" t="n">
        <f aca="false">Inputs!$B$54*H14/(Inputs!$B$35*F14+E14*H14^2/(PI()*KX14*Inputs!$B$36))</f>
        <v>18.9138385346776</v>
      </c>
      <c r="KZ14" s="15" t="n">
        <f aca="false">EXP(-Inputs!$B$11*Inputs!$B$14*Inputs!$B$17/(Inputs!$B$51*KY14*Inputs!$B$16))</f>
        <v>0.748921108090114</v>
      </c>
      <c r="LA14" s="15" t="n">
        <f aca="false">Inputs!$B$50*Inputs!$B$18*KZ14*Inputs!$B$19</f>
        <v>0.731788960618704</v>
      </c>
      <c r="LB14" s="15" t="n">
        <f aca="false">1-LA14</f>
        <v>0.268211039381296</v>
      </c>
      <c r="LC14" s="15" t="n">
        <f aca="false">Inputs!$B$20*LB14</f>
        <v>0.00804633118143888</v>
      </c>
      <c r="LD14" s="15" t="n">
        <f aca="false">0.8*(1-Inputs!$B$50)*(LA14-LC14)</f>
        <v>0.00174321228720363</v>
      </c>
      <c r="LE14" s="15" t="n">
        <f aca="false">LA14-LC14-LD14</f>
        <v>0.721999417150061</v>
      </c>
      <c r="LF14" s="15" t="n">
        <f aca="false">LE14*(1-Inputs!$B$18*EXP(-Inputs!$B$21*Inputs!$B$14*Inputs!$B$17/(Inputs!$B$22*Inputs!$B$23*Inputs!$B$24*KY14*Inputs!$B$16))*Inputs!$B$19)</f>
        <v>0.026369832288177</v>
      </c>
      <c r="LG14" s="15" t="n">
        <f aca="false">(LE14-LF14)*(1-EXP(-Inputs!$B$25*Inputs!$B$14*Inputs!$B$17*Inputs!$B$26/(KY14*Inputs!$B$16/0.866)))</f>
        <v>0.00763777299598344</v>
      </c>
      <c r="LH14" s="15" t="n">
        <f aca="false">(LE14-LF14-LG14)*(1-Inputs!$B$19)</f>
        <v>0.00343995905932951</v>
      </c>
      <c r="LI14" s="15" t="n">
        <f aca="false">(LB14+LC14+LD14+LF14+LG14+LH14)*(1+Inputs!$B$27)</f>
        <v>0.316394491635009</v>
      </c>
      <c r="LJ14" s="15" t="n">
        <f aca="false">Inputs!$B$52/(1-LI14-G14)</f>
        <v>196018.928131217</v>
      </c>
      <c r="LK14" s="15" t="n">
        <f aca="false">LJ14/Inputs!$B$34</f>
        <v>326.698213552028</v>
      </c>
      <c r="LL14" s="15" t="n">
        <f aca="false">B14^2/LK14</f>
        <v>10.2969647841808</v>
      </c>
      <c r="LM14" s="15" t="n">
        <f aca="false">Inputs!$B$54*H14/(Inputs!$B$35*F14+E14*H14^2/(PI()*LL14*Inputs!$B$36))</f>
        <v>18.9138385342625</v>
      </c>
      <c r="LN14" s="15" t="n">
        <f aca="false">EXP(-Inputs!$B$11*Inputs!$B$14*Inputs!$B$17/(Inputs!$B$51*LM14*Inputs!$B$16))</f>
        <v>0.748921108085362</v>
      </c>
      <c r="LO14" s="15" t="n">
        <f aca="false">Inputs!$B$50*Inputs!$B$18*LN14*Inputs!$B$19</f>
        <v>0.731788960614061</v>
      </c>
      <c r="LP14" s="15" t="n">
        <f aca="false">1-LO14</f>
        <v>0.268211039385939</v>
      </c>
      <c r="LQ14" s="15" t="n">
        <f aca="false">Inputs!$B$20*LP14</f>
        <v>0.00804633118157816</v>
      </c>
      <c r="LR14" s="15" t="n">
        <f aca="false">0.8*(1-Inputs!$B$50)*(LO14-LQ14)</f>
        <v>0.00174321228719212</v>
      </c>
      <c r="LS14" s="15" t="n">
        <f aca="false">LO14-LQ14-LR14</f>
        <v>0.721999417145291</v>
      </c>
      <c r="LT14" s="15" t="n">
        <f aca="false">LS14*(1-Inputs!$B$18*EXP(-Inputs!$B$21*Inputs!$B$14*Inputs!$B$17/(Inputs!$B$22*Inputs!$B$23*Inputs!$B$24*LM14*Inputs!$B$16))*Inputs!$B$19)</f>
        <v>0.0263698322882636</v>
      </c>
      <c r="LU14" s="15" t="n">
        <f aca="false">(LS14-LT14)*(1-EXP(-Inputs!$B$25*Inputs!$B$14*Inputs!$B$17*Inputs!$B$26/(LM14*Inputs!$B$16/0.866)))</f>
        <v>0.00763777299609678</v>
      </c>
      <c r="LV14" s="15" t="n">
        <f aca="false">(LS14-LT14-LU14)*(1-Inputs!$B$19)</f>
        <v>0.00343995905930466</v>
      </c>
      <c r="LW14" s="15" t="n">
        <f aca="false">(LP14+LQ14+LR14+LT14+LU14+LV14)*(1+Inputs!$B$27)</f>
        <v>0.316394491639969</v>
      </c>
      <c r="LX14" s="15" t="n">
        <f aca="false">Inputs!$B$52/(1-LW14-G14)</f>
        <v>196018.928137059</v>
      </c>
      <c r="LY14" s="15" t="n">
        <f aca="false">LX14/Inputs!$B$34</f>
        <v>326.698213561764</v>
      </c>
      <c r="LZ14" s="15" t="n">
        <f aca="false">B14^2/LY14</f>
        <v>10.2969647838739</v>
      </c>
      <c r="MA14" s="15" t="n">
        <f aca="false">Inputs!$B$54*H14/(Inputs!$B$35*F14+E14*H14^2/(PI()*LZ14*Inputs!$B$36))</f>
        <v>18.9138385340912</v>
      </c>
      <c r="MB14" s="15" t="n">
        <f aca="false">EXP(-Inputs!$B$11*Inputs!$B$14*Inputs!$B$17/(Inputs!$B$51*MA14*Inputs!$B$16))</f>
        <v>0.7489211080834</v>
      </c>
      <c r="MC14" s="15" t="n">
        <f aca="false">Inputs!$B$50*Inputs!$B$18*MB14*Inputs!$B$19</f>
        <v>0.731788960612144</v>
      </c>
      <c r="MD14" s="15" t="n">
        <f aca="false">1-MC14</f>
        <v>0.268211039387856</v>
      </c>
      <c r="ME14" s="15" t="n">
        <f aca="false">Inputs!$B$20*MD14</f>
        <v>0.00804633118163568</v>
      </c>
      <c r="MF14" s="15" t="n">
        <f aca="false">0.8*(1-Inputs!$B$50)*(MC14-ME14)</f>
        <v>0.00174321228718736</v>
      </c>
      <c r="MG14" s="15" t="n">
        <f aca="false">MC14-ME14-MF14</f>
        <v>0.721999417143321</v>
      </c>
      <c r="MH14" s="15" t="n">
        <f aca="false">MG14*(1-Inputs!$B$18*EXP(-Inputs!$B$21*Inputs!$B$14*Inputs!$B$17/(Inputs!$B$22*Inputs!$B$23*Inputs!$B$24*MA14*Inputs!$B$16))*Inputs!$B$19)</f>
        <v>0.0263698322882993</v>
      </c>
      <c r="MI14" s="15" t="n">
        <f aca="false">(MG14-MH14)*(1-EXP(-Inputs!$B$25*Inputs!$B$14*Inputs!$B$17*Inputs!$B$26/(MA14*Inputs!$B$16/0.866)))</f>
        <v>0.00763777299614357</v>
      </c>
      <c r="MJ14" s="15" t="n">
        <f aca="false">(MG14-MH14-MI14)*(1-Inputs!$B$19)</f>
        <v>0.00343995905929439</v>
      </c>
      <c r="MK14" s="15" t="n">
        <f aca="false">(MD14+ME14+MF14+MH14+MI14+MJ14)*(1+Inputs!$B$27)</f>
        <v>0.316394491642018</v>
      </c>
      <c r="ML14" s="15" t="n">
        <f aca="false">Inputs!$B$52/(1-MK14-G14)</f>
        <v>196018.928139471</v>
      </c>
      <c r="MM14" s="15" t="n">
        <f aca="false">ML14/Inputs!$B$34</f>
        <v>326.698213565785</v>
      </c>
      <c r="MN14" s="15" t="n">
        <f aca="false">B14^2/MM14</f>
        <v>10.2969647837472</v>
      </c>
      <c r="MO14" s="15" t="n">
        <f aca="false">Inputs!$B$54*H14/(Inputs!$B$35*F14+E14*H14^2/(PI()*MN14*Inputs!$B$36))</f>
        <v>18.9138385340204</v>
      </c>
      <c r="MP14" s="15" t="n">
        <f aca="false">EXP(-Inputs!$B$11*Inputs!$B$14*Inputs!$B$17/(Inputs!$B$51*MO14*Inputs!$B$16))</f>
        <v>0.74892110808259</v>
      </c>
      <c r="MQ14" s="15" t="n">
        <f aca="false">Inputs!$B$50*Inputs!$B$18*MP14*Inputs!$B$19</f>
        <v>0.731788960611352</v>
      </c>
      <c r="MR14" s="15" t="n">
        <f aca="false">1-MQ14</f>
        <v>0.268211039388648</v>
      </c>
      <c r="MS14" s="15" t="n">
        <f aca="false">Inputs!$B$20*MR14</f>
        <v>0.00804633118165943</v>
      </c>
      <c r="MT14" s="15" t="n">
        <f aca="false">0.8*(1-Inputs!$B$50)*(MQ14-MS14)</f>
        <v>0.00174321228718539</v>
      </c>
      <c r="MU14" s="15" t="n">
        <f aca="false">MQ14-MS14-MT14</f>
        <v>0.721999417142507</v>
      </c>
      <c r="MV14" s="15" t="n">
        <f aca="false">MU14*(1-Inputs!$B$18*EXP(-Inputs!$B$21*Inputs!$B$14*Inputs!$B$17/(Inputs!$B$22*Inputs!$B$23*Inputs!$B$24*MO14*Inputs!$B$16))*Inputs!$B$19)</f>
        <v>0.026369832288314</v>
      </c>
      <c r="MW14" s="15" t="n">
        <f aca="false">(MU14-MV14)*(1-EXP(-Inputs!$B$25*Inputs!$B$14*Inputs!$B$17*Inputs!$B$26/(MO14*Inputs!$B$16/0.866)))</f>
        <v>0.0076377729961629</v>
      </c>
      <c r="MX14" s="15" t="n">
        <f aca="false">(MU14-MV14-MW14)*(1-Inputs!$B$19)</f>
        <v>0.00343995905929016</v>
      </c>
      <c r="MY14" s="15" t="n">
        <f aca="false">(MR14+MS14+MT14+MV14+MW14+MX14)*(1+Inputs!$B$27)</f>
        <v>0.316394491642863</v>
      </c>
      <c r="MZ14" s="15" t="n">
        <f aca="false">Inputs!$B$52/(1-MY14-G14)</f>
        <v>196018.928140467</v>
      </c>
      <c r="NA14" s="15" t="n">
        <f aca="false">MZ14/Inputs!$B$34</f>
        <v>326.698213567445</v>
      </c>
      <c r="NB14" s="15" t="n">
        <f aca="false">B14^2/NA14</f>
        <v>10.2969647836948</v>
      </c>
      <c r="NC14" s="15" t="n">
        <f aca="false">Inputs!$B$54*H14/(Inputs!$B$35*F14+E14*H14^2/(PI()*NB14*Inputs!$B$36))</f>
        <v>18.9138385339912</v>
      </c>
      <c r="ND14" s="15" t="n">
        <f aca="false">EXP(-Inputs!$B$11*Inputs!$B$14*Inputs!$B$17/(Inputs!$B$51*NC14*Inputs!$B$16))</f>
        <v>0.748921108082255</v>
      </c>
      <c r="NE14" s="15" t="n">
        <f aca="false">Inputs!$B$50*Inputs!$B$18*ND14*Inputs!$B$19</f>
        <v>0.731788960611025</v>
      </c>
      <c r="NF14" s="15" t="n">
        <f aca="false">1-NE14</f>
        <v>0.268211039388975</v>
      </c>
      <c r="NG14" s="15" t="n">
        <f aca="false">Inputs!$B$20*NF14</f>
        <v>0.00804633118166924</v>
      </c>
      <c r="NH14" s="15" t="n">
        <f aca="false">0.8*(1-Inputs!$B$50)*(NE14-NG14)</f>
        <v>0.00174321228718458</v>
      </c>
      <c r="NI14" s="15" t="n">
        <f aca="false">NE14-NG14-NH14</f>
        <v>0.721999417142172</v>
      </c>
      <c r="NJ14" s="15" t="n">
        <f aca="false">NI14*(1-Inputs!$B$18*EXP(-Inputs!$B$21*Inputs!$B$14*Inputs!$B$17/(Inputs!$B$22*Inputs!$B$23*Inputs!$B$24*NC14*Inputs!$B$16))*Inputs!$B$19)</f>
        <v>0.0263698322883201</v>
      </c>
      <c r="NK14" s="15" t="n">
        <f aca="false">(NI14-NJ14)*(1-EXP(-Inputs!$B$25*Inputs!$B$14*Inputs!$B$17*Inputs!$B$26/(NC14*Inputs!$B$16/0.866)))</f>
        <v>0.00763777299617088</v>
      </c>
      <c r="NL14" s="15" t="n">
        <f aca="false">(NI14-NJ14-NK14)*(1-Inputs!$B$19)</f>
        <v>0.00343995905928841</v>
      </c>
      <c r="NM14" s="15" t="n">
        <f aca="false">(NF14+NG14+NH14+NJ14+NK14+NL14)*(1+Inputs!$B$27)</f>
        <v>0.316394491643213</v>
      </c>
      <c r="NN14" s="15" t="n">
        <f aca="false">Inputs!$B$52/(1-NM14-G14)</f>
        <v>196018.928140878</v>
      </c>
    </row>
    <row r="15" customFormat="false" ht="15" hidden="false" customHeight="false" outlineLevel="0" collapsed="false">
      <c r="A15" s="21" t="s">
        <v>501</v>
      </c>
      <c r="B15" s="21" t="n">
        <v>58</v>
      </c>
      <c r="C15" s="22" t="n">
        <v>0.15</v>
      </c>
      <c r="D15" s="23" t="n">
        <f aca="false">B15*C15</f>
        <v>8.7</v>
      </c>
      <c r="E15" s="24" t="n">
        <f aca="false">IF(C15=0,1,(1+0.45*C15)/(1.04+2.81*C15))</f>
        <v>0.73041395826206</v>
      </c>
      <c r="F15" s="24" t="n">
        <f aca="false">1+Inputs!$B$42*D15</f>
        <v>1.0435</v>
      </c>
      <c r="G15" s="25" t="n">
        <f aca="false">Inputs!$B$31+Inputs!$B$43*(B15/Inputs!$B$32-1)+Inputs!$B$44+Inputs!$B$45*D15</f>
        <v>0.5189075</v>
      </c>
      <c r="H15" s="22" t="n">
        <f aca="false">Inputs!$B$38</f>
        <v>0.5</v>
      </c>
      <c r="I15" s="23" t="n">
        <f aca="false">Inputs!$B$40</f>
        <v>2.4</v>
      </c>
      <c r="J15" s="26" t="n">
        <f aca="false">NN15/Inputs!$B$34</f>
        <v>322.585492512284</v>
      </c>
      <c r="K15" s="23" t="n">
        <f aca="false">B15^2/J15</f>
        <v>10.4282432969979</v>
      </c>
      <c r="L15" s="23" t="n">
        <f aca="false">2*K15</f>
        <v>20.8564865939959</v>
      </c>
      <c r="M15" s="22" t="n">
        <f aca="false">NC15</f>
        <v>19.2416842811652</v>
      </c>
      <c r="N15" s="23" t="n">
        <f aca="false">B15/SQRT(E15)</f>
        <v>67.8646262359501</v>
      </c>
      <c r="O15" s="24" t="n">
        <f aca="false">NM15</f>
        <v>0.312532532914904</v>
      </c>
      <c r="P15" s="23" t="n">
        <f aca="false">NN15/1000</f>
        <v>193.55129550737</v>
      </c>
      <c r="Q15" s="23" t="n">
        <f aca="false">G15*NN15/1000</f>
        <v>100.435218873491</v>
      </c>
      <c r="R15" s="23" t="n">
        <f aca="false">NM15*NN15/1000</f>
        <v>60.4910766338795</v>
      </c>
      <c r="S15" s="23" t="n">
        <f aca="false">NM15*NN15/Inputs!$B$28/1000</f>
        <v>80.6547688451727</v>
      </c>
      <c r="T15" s="27" t="n">
        <f aca="false">R15/Sweep!$R$5-1</f>
        <v>-0.0320904529872899</v>
      </c>
      <c r="U15" s="27" t="n">
        <f aca="false">R15/SUMIFS(Sweep!$R:$R,Sweep!$A:$A,"Conventional",Sweep!$B:$B,B15)-1</f>
        <v>-0.161251766543099</v>
      </c>
      <c r="V15" s="26" t="n">
        <f aca="false">2*0.54*(J15/2)^1.5/SQRT(L15)*Inputs!$B$46*Inputs!$B$47</f>
        <v>45.293621422065</v>
      </c>
      <c r="W15" s="28" t="n">
        <f aca="false">MIN(1,V15/S15)</f>
        <v>0.561574003255926</v>
      </c>
      <c r="X15" s="26" t="n">
        <f aca="false">1.23*SQRT(2*Inputs!$B$41*NN15*Inputs!$B$49/(1.225*J15*I15))/0.5144</f>
        <v>133.62967568068</v>
      </c>
      <c r="Y15" s="29" t="n">
        <f aca="false">(11000+6341.6*LN(0.36392/(2*Inputs!$B$50*Inputs!$B$18*(1+ND15)/2*Inputs!$B$34*Inputs!$B$49/((Inputs!$B$12*295.07)^2*H15))))/0.3048</f>
        <v>38629.716685192</v>
      </c>
      <c r="Z15" s="26" t="n">
        <f aca="false">NN15-MZ15</f>
        <v>-1.16531737148762E-007</v>
      </c>
      <c r="AA15" s="30" t="str">
        <f aca="false">IF(ABS(NN15-MZ15)&lt;10,"Yes","No")</f>
        <v>Yes</v>
      </c>
      <c r="AC15" s="15" t="n">
        <f aca="false">Inputs!$B$52/(1-0.3154-G15)/Inputs!$B$34</f>
        <v>328.168142794635</v>
      </c>
      <c r="AD15" s="15" t="n">
        <f aca="false">B15^2/AC15</f>
        <v>10.2508426666667</v>
      </c>
      <c r="AE15" s="15" t="n">
        <f aca="false">Inputs!$B$54*H15/(Inputs!$B$35*F15+E15*H15^2/(PI()*AD15*Inputs!$B$36))</f>
        <v>19.1482367660061</v>
      </c>
      <c r="AF15" s="15" t="n">
        <f aca="false">EXP(-Inputs!$B$11*Inputs!$B$14*Inputs!$B$17/(Inputs!$B$51*AE15*Inputs!$B$16))</f>
        <v>0.751576391936211</v>
      </c>
      <c r="AG15" s="15" t="n">
        <f aca="false">Inputs!$B$50*Inputs!$B$18*AF15*Inputs!$B$19</f>
        <v>0.734383502800642</v>
      </c>
      <c r="AH15" s="15" t="n">
        <f aca="false">1-AG15</f>
        <v>0.265616497199358</v>
      </c>
      <c r="AI15" s="15" t="n">
        <f aca="false">Inputs!$B$20*AH15</f>
        <v>0.00796849491598075</v>
      </c>
      <c r="AJ15" s="15" t="n">
        <f aca="false">0.8*(1-Inputs!$B$50)*(AG15-AI15)</f>
        <v>0.00174964899931106</v>
      </c>
      <c r="AK15" s="15" t="n">
        <f aca="false">AG15-AI15-AJ15</f>
        <v>0.72466535888535</v>
      </c>
      <c r="AL15" s="15" t="n">
        <f aca="false">AK15*(1-Inputs!$B$18*EXP(-Inputs!$B$21*Inputs!$B$14*Inputs!$B$17/(Inputs!$B$22*Inputs!$B$23*Inputs!$B$24*AE15*Inputs!$B$16))*Inputs!$B$19)</f>
        <v>0.0263211993795935</v>
      </c>
      <c r="AM15" s="15" t="n">
        <f aca="false">(AK15-AL15)*(1-EXP(-Inputs!$B$25*Inputs!$B$14*Inputs!$B$17*Inputs!$B$26/(AE15*Inputs!$B$16/0.866)))</f>
        <v>0.00757422826559545</v>
      </c>
      <c r="AN15" s="15" t="n">
        <f aca="false">(AK15-AL15-AM15)*(1-Inputs!$B$19)</f>
        <v>0.00345384965620081</v>
      </c>
      <c r="AO15" s="15" t="n">
        <f aca="false">(AH15+AI15+AJ15+AL15+AM15+AN15)*(1+Inputs!$B$27)</f>
        <v>0.313621970171288</v>
      </c>
      <c r="AP15" s="15" t="n">
        <f aca="false">Inputs!$B$52/(1-AO15-G15)</f>
        <v>194810.39460118</v>
      </c>
      <c r="AQ15" s="15" t="n">
        <f aca="false">AP15/Inputs!$B$34</f>
        <v>324.683991001966</v>
      </c>
      <c r="AR15" s="15" t="n">
        <f aca="false">B15^2/AQ15</f>
        <v>10.360843445403</v>
      </c>
      <c r="AS15" s="15" t="n">
        <f aca="false">Inputs!$B$54*H15/(Inputs!$B$35*F15+E15*H15^2/(PI()*AR15*Inputs!$B$36))</f>
        <v>19.206450899593</v>
      </c>
      <c r="AT15" s="15" t="n">
        <f aca="false">EXP(-Inputs!$B$11*Inputs!$B$14*Inputs!$B$17/(Inputs!$B$51*AS15*Inputs!$B$16))</f>
        <v>0.752227231424492</v>
      </c>
      <c r="AU15" s="15" t="n">
        <f aca="false">Inputs!$B$50*Inputs!$B$18*AT15*Inputs!$B$19</f>
        <v>0.735019453834087</v>
      </c>
      <c r="AV15" s="15" t="n">
        <f aca="false">1-AU15</f>
        <v>0.264980546165913</v>
      </c>
      <c r="AW15" s="15" t="n">
        <f aca="false">Inputs!$B$20*AV15</f>
        <v>0.0079494163849774</v>
      </c>
      <c r="AX15" s="15" t="n">
        <f aca="false">0.8*(1-Inputs!$B$50)*(AU15-AW15)</f>
        <v>0.00175122670876023</v>
      </c>
      <c r="AY15" s="15" t="n">
        <f aca="false">AU15-AW15-AX15</f>
        <v>0.725318810740349</v>
      </c>
      <c r="AZ15" s="15" t="n">
        <f aca="false">AY15*(1-Inputs!$B$18*EXP(-Inputs!$B$21*Inputs!$B$14*Inputs!$B$17/(Inputs!$B$22*Inputs!$B$23*Inputs!$B$24*AS15*Inputs!$B$16))*Inputs!$B$19)</f>
        <v>0.0263091891235345</v>
      </c>
      <c r="BA15" s="15" t="n">
        <f aca="false">(AY15-AZ15)*(1-EXP(-Inputs!$B$25*Inputs!$B$14*Inputs!$B$17*Inputs!$B$26/(AS15*Inputs!$B$16/0.866)))</f>
        <v>0.00755859142856946</v>
      </c>
      <c r="BB15" s="15" t="n">
        <f aca="false">(AY15-AZ15-BA15)*(1-Inputs!$B$19)</f>
        <v>0.00345725515094123</v>
      </c>
      <c r="BC15" s="15" t="n">
        <f aca="false">(AV15+AW15+AX15+AZ15+BA15+BB15)*(1+Inputs!$B$27)</f>
        <v>0.312942243637584</v>
      </c>
      <c r="BD15" s="15" t="n">
        <f aca="false">Inputs!$B$52/(1-BC15-G15)</f>
        <v>194022.897768785</v>
      </c>
      <c r="BE15" s="15" t="n">
        <f aca="false">BD15/Inputs!$B$34</f>
        <v>323.371496281309</v>
      </c>
      <c r="BF15" s="15" t="n">
        <f aca="false">B15^2/BE15</f>
        <v>10.4028958602881</v>
      </c>
      <c r="BG15" s="15" t="n">
        <f aca="false">Inputs!$B$54*H15/(Inputs!$B$35*F15+E15*H15^2/(PI()*BF15*Inputs!$B$36))</f>
        <v>19.2284722997135</v>
      </c>
      <c r="BH15" s="15" t="n">
        <f aca="false">EXP(-Inputs!$B$11*Inputs!$B$14*Inputs!$B$17/(Inputs!$B$51*BG15*Inputs!$B$16))</f>
        <v>0.752472551532563</v>
      </c>
      <c r="BI15" s="15" t="n">
        <f aca="false">Inputs!$B$50*Inputs!$B$18*BH15*Inputs!$B$19</f>
        <v>0.73525916205564</v>
      </c>
      <c r="BJ15" s="15" t="n">
        <f aca="false">1-BI15</f>
        <v>0.26474083794436</v>
      </c>
      <c r="BK15" s="15" t="n">
        <f aca="false">Inputs!$B$20*BJ15</f>
        <v>0.00794222513833079</v>
      </c>
      <c r="BL15" s="15" t="n">
        <f aca="false">0.8*(1-Inputs!$B$50)*(BI15-BK15)</f>
        <v>0.00175182139279453</v>
      </c>
      <c r="BM15" s="15" t="n">
        <f aca="false">BI15-BK15-BL15</f>
        <v>0.725565115524515</v>
      </c>
      <c r="BN15" s="15" t="n">
        <f aca="false">BM15*(1-Inputs!$B$18*EXP(-Inputs!$B$21*Inputs!$B$14*Inputs!$B$17/(Inputs!$B$22*Inputs!$B$23*Inputs!$B$24*BG15*Inputs!$B$16))*Inputs!$B$19)</f>
        <v>0.0263046529529114</v>
      </c>
      <c r="BO15" s="15" t="n">
        <f aca="false">(BM15-BN15)*(1-EXP(-Inputs!$B$25*Inputs!$B$14*Inputs!$B$17*Inputs!$B$26/(BG15*Inputs!$B$16/0.866)))</f>
        <v>0.00755269119887361</v>
      </c>
      <c r="BP15" s="15" t="n">
        <f aca="false">(BM15-BN15-BO15)*(1-Inputs!$B$19)</f>
        <v>0.00345853885686365</v>
      </c>
      <c r="BQ15" s="15" t="n">
        <f aca="false">(BJ15+BK15+BL15+BN15+BO15+BP15)*(1+Inputs!$B$27)</f>
        <v>0.312686019786586</v>
      </c>
      <c r="BR15" s="15" t="n">
        <f aca="false">Inputs!$B$52/(1-BQ15-G15)</f>
        <v>193727.699543722</v>
      </c>
      <c r="BS15" s="15" t="n">
        <f aca="false">BR15/Inputs!$B$34</f>
        <v>322.879499239536</v>
      </c>
      <c r="BT15" s="15" t="n">
        <f aca="false">B15^2/BS15</f>
        <v>10.4187475758699</v>
      </c>
      <c r="BU15" s="15" t="n">
        <f aca="false">Inputs!$B$54*H15/(Inputs!$B$35*F15+E15*H15^2/(PI()*BT15*Inputs!$B$36))</f>
        <v>19.2367401806374</v>
      </c>
      <c r="BV15" s="15" t="n">
        <f aca="false">EXP(-Inputs!$B$11*Inputs!$B$14*Inputs!$B$17/(Inputs!$B$51*BU15*Inputs!$B$16))</f>
        <v>0.752564531959173</v>
      </c>
      <c r="BW15" s="15" t="n">
        <f aca="false">Inputs!$B$50*Inputs!$B$18*BV15*Inputs!$B$19</f>
        <v>0.735349038359111</v>
      </c>
      <c r="BX15" s="15" t="n">
        <f aca="false">1-BW15</f>
        <v>0.26465096164089</v>
      </c>
      <c r="BY15" s="15" t="n">
        <f aca="false">Inputs!$B$20*BX15</f>
        <v>0.00793952884922669</v>
      </c>
      <c r="BZ15" s="15" t="n">
        <f aca="false">0.8*(1-Inputs!$B$50)*(BW15-BY15)</f>
        <v>0.00175204436388158</v>
      </c>
      <c r="CA15" s="15" t="n">
        <f aca="false">BW15-BY15-BZ15</f>
        <v>0.725657465146002</v>
      </c>
      <c r="CB15" s="15" t="n">
        <f aca="false">CA15*(1-Inputs!$B$18*EXP(-Inputs!$B$21*Inputs!$B$14*Inputs!$B$17/(Inputs!$B$22*Inputs!$B$23*Inputs!$B$24*BU15*Inputs!$B$16))*Inputs!$B$19)</f>
        <v>0.0263029508670356</v>
      </c>
      <c r="CC15" s="15" t="n">
        <f aca="false">(CA15-CB15)*(1-EXP(-Inputs!$B$25*Inputs!$B$14*Inputs!$B$17*Inputs!$B$26/(BU15*Inputs!$B$16/0.866)))</f>
        <v>0.00755047808164004</v>
      </c>
      <c r="CD15" s="15" t="n">
        <f aca="false">(CA15-CB15-CC15)*(1-Inputs!$B$19)</f>
        <v>0.00345902018098664</v>
      </c>
      <c r="CE15" s="15" t="n">
        <f aca="false">(BX15+BY15+BZ15+CB15+CC15+CD15)*(1+Inputs!$B$27)</f>
        <v>0.312589948935611</v>
      </c>
      <c r="CF15" s="15" t="n">
        <f aca="false">Inputs!$B$52/(1-CE15-G15)</f>
        <v>193617.246705857</v>
      </c>
      <c r="CG15" s="15" t="n">
        <f aca="false">CF15/Inputs!$B$34</f>
        <v>322.695411176428</v>
      </c>
      <c r="CH15" s="15" t="n">
        <f aca="false">B15^2/CG15</f>
        <v>10.4246911591835</v>
      </c>
      <c r="CI15" s="15" t="n">
        <f aca="false">Inputs!$B$54*H15/(Inputs!$B$35*F15+E15*H15^2/(PI()*CH15*Inputs!$B$36))</f>
        <v>19.2398355603004</v>
      </c>
      <c r="CJ15" s="15" t="n">
        <f aca="false">EXP(-Inputs!$B$11*Inputs!$B$14*Inputs!$B$17/(Inputs!$B$51*CI15*Inputs!$B$16))</f>
        <v>0.752598950704042</v>
      </c>
      <c r="CK15" s="15" t="n">
        <f aca="false">Inputs!$B$50*Inputs!$B$18*CJ15*Inputs!$B$19</f>
        <v>0.735382669748667</v>
      </c>
      <c r="CL15" s="15" t="n">
        <f aca="false">1-CK15</f>
        <v>0.264617330251333</v>
      </c>
      <c r="CM15" s="15" t="n">
        <f aca="false">Inputs!$B$20*CL15</f>
        <v>0.00793851990753998</v>
      </c>
      <c r="CN15" s="15" t="n">
        <f aca="false">0.8*(1-Inputs!$B$50)*(CK15-CM15)</f>
        <v>0.00175212779886054</v>
      </c>
      <c r="CO15" s="15" t="n">
        <f aca="false">CK15-CM15-CN15</f>
        <v>0.725692022042267</v>
      </c>
      <c r="CP15" s="15" t="n">
        <f aca="false">CO15*(1-Inputs!$B$18*EXP(-Inputs!$B$21*Inputs!$B$14*Inputs!$B$17/(Inputs!$B$22*Inputs!$B$23*Inputs!$B$24*CI15*Inputs!$B$16))*Inputs!$B$19)</f>
        <v>0.0263023137714634</v>
      </c>
      <c r="CQ15" s="15" t="n">
        <f aca="false">(CO15-CP15)*(1-EXP(-Inputs!$B$25*Inputs!$B$14*Inputs!$B$17*Inputs!$B$26/(CI15*Inputs!$B$16/0.866)))</f>
        <v>0.00754964981738751</v>
      </c>
      <c r="CR15" s="15" t="n">
        <f aca="false">(CO15-CP15-CQ15)*(1-Inputs!$B$19)</f>
        <v>0.00345920029226708</v>
      </c>
      <c r="CS15" s="15" t="n">
        <f aca="false">(CL15+CM15+CN15+CP15+CQ15+CR15)*(1+Inputs!$B$27)</f>
        <v>0.312553999264368</v>
      </c>
      <c r="CT15" s="15" t="n">
        <f aca="false">Inputs!$B$52/(1-CS15-G15)</f>
        <v>193575.947677233</v>
      </c>
      <c r="CU15" s="15" t="n">
        <f aca="false">CT15/Inputs!$B$34</f>
        <v>322.626579462054</v>
      </c>
      <c r="CV15" s="15" t="n">
        <f aca="false">B15^2/CU15</f>
        <v>10.4269152455111</v>
      </c>
      <c r="CW15" s="15" t="n">
        <f aca="false">Inputs!$B$54*H15/(Inputs!$B$35*F15+E15*H15^2/(PI()*CV15*Inputs!$B$36))</f>
        <v>19.2409931986088</v>
      </c>
      <c r="CX15" s="15" t="n">
        <f aca="false">EXP(-Inputs!$B$11*Inputs!$B$14*Inputs!$B$17/(Inputs!$B$51*CW15*Inputs!$B$16))</f>
        <v>0.752611820499115</v>
      </c>
      <c r="CY15" s="15" t="n">
        <f aca="false">Inputs!$B$50*Inputs!$B$18*CX15*Inputs!$B$19</f>
        <v>0.735395245137261</v>
      </c>
      <c r="CZ15" s="15" t="n">
        <f aca="false">1-CY15</f>
        <v>0.264604754862739</v>
      </c>
      <c r="DA15" s="15" t="n">
        <f aca="false">Inputs!$B$20*CZ15</f>
        <v>0.00793814264588218</v>
      </c>
      <c r="DB15" s="15" t="n">
        <f aca="false">0.8*(1-Inputs!$B$50)*(CY15-DA15)</f>
        <v>0.00175215899671756</v>
      </c>
      <c r="DC15" s="15" t="n">
        <f aca="false">CY15-DA15-DB15</f>
        <v>0.725704943494661</v>
      </c>
      <c r="DD15" s="15" t="n">
        <f aca="false">DC15*(1-Inputs!$B$18*EXP(-Inputs!$B$21*Inputs!$B$14*Inputs!$B$17/(Inputs!$B$22*Inputs!$B$23*Inputs!$B$24*CW15*Inputs!$B$16))*Inputs!$B$19)</f>
        <v>0.026302075524494</v>
      </c>
      <c r="DE15" s="15" t="n">
        <f aca="false">(DC15-DD15)*(1-EXP(-Inputs!$B$25*Inputs!$B$14*Inputs!$B$17*Inputs!$B$26/(CW15*Inputs!$B$16/0.866)))</f>
        <v>0.007549340097001</v>
      </c>
      <c r="DF15" s="15" t="n">
        <f aca="false">(DC15-DD15-DE15)*(1-Inputs!$B$19)</f>
        <v>0.00345926763936583</v>
      </c>
      <c r="DG15" s="15" t="n">
        <f aca="false">(CZ15+DA15+DB15+DD15+DE15+DF15)*(1+Inputs!$B$27)</f>
        <v>0.312540556985498</v>
      </c>
      <c r="DH15" s="15" t="n">
        <f aca="false">Inputs!$B$52/(1-DG15-G15)</f>
        <v>193560.509695181</v>
      </c>
      <c r="DI15" s="15" t="n">
        <f aca="false">DH15/Inputs!$B$34</f>
        <v>322.600849491968</v>
      </c>
      <c r="DJ15" s="15" t="n">
        <f aca="false">B15^2/DI15</f>
        <v>10.4277468744972</v>
      </c>
      <c r="DK15" s="15" t="n">
        <f aca="false">Inputs!$B$54*H15/(Inputs!$B$35*F15+E15*H15^2/(PI()*DJ15*Inputs!$B$36))</f>
        <v>19.2414259709362</v>
      </c>
      <c r="DL15" s="15" t="n">
        <f aca="false">EXP(-Inputs!$B$11*Inputs!$B$14*Inputs!$B$17/(Inputs!$B$51*DK15*Inputs!$B$16))</f>
        <v>0.752616631411279</v>
      </c>
      <c r="DM15" s="15" t="n">
        <f aca="false">Inputs!$B$50*Inputs!$B$18*DL15*Inputs!$B$19</f>
        <v>0.735399945996101</v>
      </c>
      <c r="DN15" s="15" t="n">
        <f aca="false">1-DM15</f>
        <v>0.264600054003899</v>
      </c>
      <c r="DO15" s="15" t="n">
        <f aca="false">Inputs!$B$20*DN15</f>
        <v>0.00793800162011696</v>
      </c>
      <c r="DP15" s="15" t="n">
        <f aca="false">0.8*(1-Inputs!$B$50)*(DM15-DO15)</f>
        <v>0.00175217065891955</v>
      </c>
      <c r="DQ15" s="15" t="n">
        <f aca="false">DM15-DO15-DP15</f>
        <v>0.725709773717065</v>
      </c>
      <c r="DR15" s="15" t="n">
        <f aca="false">DQ15*(1-Inputs!$B$18*EXP(-Inputs!$B$21*Inputs!$B$14*Inputs!$B$17/(Inputs!$B$22*Inputs!$B$23*Inputs!$B$24*DK15*Inputs!$B$16))*Inputs!$B$19)</f>
        <v>0.0263019864608518</v>
      </c>
      <c r="DS15" s="15" t="n">
        <f aca="false">(DQ15-DR15)*(1-EXP(-Inputs!$B$25*Inputs!$B$14*Inputs!$B$17*Inputs!$B$26/(DK15*Inputs!$B$16/0.866)))</f>
        <v>0.00754922431670289</v>
      </c>
      <c r="DT15" s="15" t="n">
        <f aca="false">(DQ15-DR15-DS15)*(1-Inputs!$B$19)</f>
        <v>0.00345929281469755</v>
      </c>
      <c r="DU15" s="15" t="n">
        <f aca="false">(DN15+DO15+DP15+DR15+DS15+DT15)*(1+Inputs!$B$27)</f>
        <v>0.312535532064813</v>
      </c>
      <c r="DV15" s="15" t="n">
        <f aca="false">Inputs!$B$52/(1-DU15-G15)</f>
        <v>193554.739383689</v>
      </c>
      <c r="DW15" s="15" t="n">
        <f aca="false">DV15/Inputs!$B$34</f>
        <v>322.591232306149</v>
      </c>
      <c r="DX15" s="15" t="n">
        <f aca="false">B15^2/DW15</f>
        <v>10.4280577495902</v>
      </c>
      <c r="DY15" s="15" t="n">
        <f aca="false">Inputs!$B$54*H15/(Inputs!$B$35*F15+E15*H15^2/(PI()*DX15*Inputs!$B$36))</f>
        <v>19.2415877348435</v>
      </c>
      <c r="DZ15" s="15" t="n">
        <f aca="false">EXP(-Inputs!$B$11*Inputs!$B$14*Inputs!$B$17/(Inputs!$B$51*DY15*Inputs!$B$16))</f>
        <v>0.752618429611558</v>
      </c>
      <c r="EA15" s="15" t="n">
        <f aca="false">Inputs!$B$50*Inputs!$B$18*DZ15*Inputs!$B$19</f>
        <v>0.735401703061163</v>
      </c>
      <c r="EB15" s="15" t="n">
        <f aca="false">1-EA15</f>
        <v>0.264598296938837</v>
      </c>
      <c r="EC15" s="15" t="n">
        <f aca="false">Inputs!$B$20*EB15</f>
        <v>0.0079379489081651</v>
      </c>
      <c r="ED15" s="15" t="n">
        <f aca="false">0.8*(1-Inputs!$B$50)*(EA15-EC15)</f>
        <v>0.00175217501796295</v>
      </c>
      <c r="EE15" s="15" t="n">
        <f aca="false">EA15-EC15-ED15</f>
        <v>0.725711579135035</v>
      </c>
      <c r="EF15" s="15" t="n">
        <f aca="false">EE15*(1-Inputs!$B$18*EXP(-Inputs!$B$21*Inputs!$B$14*Inputs!$B$17/(Inputs!$B$22*Inputs!$B$23*Inputs!$B$24*DY15*Inputs!$B$16))*Inputs!$B$19)</f>
        <v>0.0263019531705647</v>
      </c>
      <c r="EG15" s="15" t="n">
        <f aca="false">(EE15-EF15)*(1-EXP(-Inputs!$B$25*Inputs!$B$14*Inputs!$B$17*Inputs!$B$26/(DY15*Inputs!$B$16/0.866)))</f>
        <v>0.00754918104054588</v>
      </c>
      <c r="EH15" s="15" t="n">
        <f aca="false">(EE15-EF15-EG15)*(1-Inputs!$B$19)</f>
        <v>0.00345930222461963</v>
      </c>
      <c r="EI15" s="15" t="n">
        <f aca="false">(EB15+EC15+ED15+EF15+EG15+EH15)*(1+Inputs!$B$27)</f>
        <v>0.312533653872597</v>
      </c>
      <c r="EJ15" s="15" t="n">
        <f aca="false">Inputs!$B$52/(1-EI15-G15)</f>
        <v>193552.582670985</v>
      </c>
      <c r="EK15" s="15" t="n">
        <f aca="false">EJ15/Inputs!$B$34</f>
        <v>322.587637784975</v>
      </c>
      <c r="EL15" s="15" t="n">
        <f aca="false">B15^2/EK15</f>
        <v>10.428173947082</v>
      </c>
      <c r="EM15" s="15" t="n">
        <f aca="false">Inputs!$B$54*H15/(Inputs!$B$35*F15+E15*H15^2/(PI()*EL15*Inputs!$B$36))</f>
        <v>19.24164819645</v>
      </c>
      <c r="EN15" s="15" t="n">
        <f aca="false">EXP(-Inputs!$B$11*Inputs!$B$14*Inputs!$B$17/(Inputs!$B$51*EM15*Inputs!$B$16))</f>
        <v>0.752619101708334</v>
      </c>
      <c r="EO15" s="15" t="n">
        <f aca="false">Inputs!$B$50*Inputs!$B$18*EN15*Inputs!$B$19</f>
        <v>0.735402359783208</v>
      </c>
      <c r="EP15" s="15" t="n">
        <f aca="false">1-EO15</f>
        <v>0.264597640216792</v>
      </c>
      <c r="EQ15" s="15" t="n">
        <f aca="false">Inputs!$B$20*EP15</f>
        <v>0.00793792920650376</v>
      </c>
      <c r="ER15" s="15" t="n">
        <f aca="false">0.8*(1-Inputs!$B$50)*(EO15-EQ15)</f>
        <v>0.0017521766472025</v>
      </c>
      <c r="ES15" s="15" t="n">
        <f aca="false">EO15-EQ15-ER15</f>
        <v>0.725712253929502</v>
      </c>
      <c r="ET15" s="15" t="n">
        <f aca="false">ES15*(1-Inputs!$B$18*EXP(-Inputs!$B$21*Inputs!$B$14*Inputs!$B$17/(Inputs!$B$22*Inputs!$B$23*Inputs!$B$24*EM15*Inputs!$B$16))*Inputs!$B$19)</f>
        <v>0.0263019407278912</v>
      </c>
      <c r="EU15" s="15" t="n">
        <f aca="false">(ES15-ET15)*(1-EXP(-Inputs!$B$25*Inputs!$B$14*Inputs!$B$17*Inputs!$B$26/(EM15*Inputs!$B$16/0.866)))</f>
        <v>0.00754916486556748</v>
      </c>
      <c r="EV15" s="15" t="n">
        <f aca="false">(ES15-ET15-EU15)*(1-Inputs!$B$19)</f>
        <v>0.00345930574168022</v>
      </c>
      <c r="EW15" s="15" t="n">
        <f aca="false">(EP15+EQ15+ER15+ET15+EU15+EV15)*(1+Inputs!$B$27)</f>
        <v>0.312532951877854</v>
      </c>
      <c r="EX15" s="15" t="n">
        <f aca="false">Inputs!$B$52/(1-EW15-G15)</f>
        <v>193551.776588523</v>
      </c>
      <c r="EY15" s="15" t="n">
        <f aca="false">EX15/Inputs!$B$34</f>
        <v>322.586294314205</v>
      </c>
      <c r="EZ15" s="15" t="n">
        <f aca="false">B15^2/EY15</f>
        <v>10.4282173771568</v>
      </c>
      <c r="FA15" s="15" t="n">
        <f aca="false">Inputs!$B$54*H15/(Inputs!$B$35*F15+E15*H15^2/(PI()*EZ15*Inputs!$B$36))</f>
        <v>19.2416707943839</v>
      </c>
      <c r="FB15" s="15" t="n">
        <f aca="false">EXP(-Inputs!$B$11*Inputs!$B$14*Inputs!$B$17/(Inputs!$B$51*FA15*Inputs!$B$16))</f>
        <v>0.752619352908114</v>
      </c>
      <c r="FC15" s="15" t="n">
        <f aca="false">Inputs!$B$50*Inputs!$B$18*FB15*Inputs!$B$19</f>
        <v>0.735402605236599</v>
      </c>
      <c r="FD15" s="15" t="n">
        <f aca="false">1-FC15</f>
        <v>0.264597394763401</v>
      </c>
      <c r="FE15" s="15" t="n">
        <f aca="false">Inputs!$B$20*FD15</f>
        <v>0.00793792184290203</v>
      </c>
      <c r="FF15" s="15" t="n">
        <f aca="false">0.8*(1-Inputs!$B$50)*(FC15-FE15)</f>
        <v>0.00175217725613953</v>
      </c>
      <c r="FG15" s="15" t="n">
        <f aca="false">FC15-FE15-FF15</f>
        <v>0.725712506137557</v>
      </c>
      <c r="FH15" s="15" t="n">
        <f aca="false">FG15*(1-Inputs!$B$18*EXP(-Inputs!$B$21*Inputs!$B$14*Inputs!$B$17/(Inputs!$B$22*Inputs!$B$23*Inputs!$B$24*FA15*Inputs!$B$16))*Inputs!$B$19)</f>
        <v>0.0263019360773655</v>
      </c>
      <c r="FI15" s="15" t="n">
        <f aca="false">(FG15-FH15)*(1-EXP(-Inputs!$B$25*Inputs!$B$14*Inputs!$B$17*Inputs!$B$26/(FA15*Inputs!$B$16/0.866)))</f>
        <v>0.0075491588200759</v>
      </c>
      <c r="FJ15" s="15" t="n">
        <f aca="false">(FG15-FH15-FI15)*(1-Inputs!$B$19)</f>
        <v>0.00345930705620058</v>
      </c>
      <c r="FK15" s="15" t="n">
        <f aca="false">(FD15+FE15+FF15+FH15+FI15+FJ15)*(1+Inputs!$B$27)</f>
        <v>0.312532689503533</v>
      </c>
      <c r="FL15" s="15" t="n">
        <f aca="false">Inputs!$B$52/(1-FK15-G15)</f>
        <v>193551.475312579</v>
      </c>
      <c r="FM15" s="15" t="n">
        <f aca="false">FL15/Inputs!$B$34</f>
        <v>322.585792187632</v>
      </c>
      <c r="FN15" s="15" t="n">
        <f aca="false">B15^2/FM15</f>
        <v>10.4282336093814</v>
      </c>
      <c r="FO15" s="15" t="n">
        <f aca="false">Inputs!$B$54*H15/(Inputs!$B$35*F15+E15*H15^2/(PI()*FN15*Inputs!$B$36))</f>
        <v>19.2416792404489</v>
      </c>
      <c r="FP15" s="15" t="n">
        <f aca="false">EXP(-Inputs!$B$11*Inputs!$B$14*Inputs!$B$17/(Inputs!$B$51*FO15*Inputs!$B$16))</f>
        <v>0.752619446794871</v>
      </c>
      <c r="FQ15" s="15" t="n">
        <f aca="false">Inputs!$B$50*Inputs!$B$18*FP15*Inputs!$B$19</f>
        <v>0.735402696975624</v>
      </c>
      <c r="FR15" s="15" t="n">
        <f aca="false">1-FQ15</f>
        <v>0.264597303024376</v>
      </c>
      <c r="FS15" s="15" t="n">
        <f aca="false">Inputs!$B$20*FR15</f>
        <v>0.00793791909073128</v>
      </c>
      <c r="FT15" s="15" t="n">
        <f aca="false">0.8*(1-Inputs!$B$50)*(FQ15-FS15)</f>
        <v>0.00175217748373178</v>
      </c>
      <c r="FU15" s="15" t="n">
        <f aca="false">FQ15-FS15-FT15</f>
        <v>0.725712600401161</v>
      </c>
      <c r="FV15" s="15" t="n">
        <f aca="false">FU15*(1-Inputs!$B$18*EXP(-Inputs!$B$21*Inputs!$B$14*Inputs!$B$17/(Inputs!$B$22*Inputs!$B$23*Inputs!$B$24*FO15*Inputs!$B$16))*Inputs!$B$19)</f>
        <v>0.0263019343392147</v>
      </c>
      <c r="FW15" s="15" t="n">
        <f aca="false">(FU15-FV15)*(1-EXP(-Inputs!$B$25*Inputs!$B$14*Inputs!$B$17*Inputs!$B$26/(FO15*Inputs!$B$16/0.866)))</f>
        <v>0.00754915656055227</v>
      </c>
      <c r="FX15" s="15" t="n">
        <f aca="false">(FU15-FV15-FW15)*(1-Inputs!$B$19)</f>
        <v>0.00345930754750697</v>
      </c>
      <c r="FY15" s="15" t="n">
        <f aca="false">(FR15+FS15+FT15+FV15+FW15+FX15)*(1+Inputs!$B$27)</f>
        <v>0.312532591440251</v>
      </c>
      <c r="FZ15" s="15" t="n">
        <f aca="false">Inputs!$B$52/(1-FY15-G15)</f>
        <v>193551.362709927</v>
      </c>
      <c r="GA15" s="15" t="n">
        <f aca="false">FZ15/Inputs!$B$34</f>
        <v>322.585604516545</v>
      </c>
      <c r="GB15" s="15" t="n">
        <f aca="false">B15^2/GA15</f>
        <v>10.4282396762298</v>
      </c>
      <c r="GC15" s="15" t="n">
        <f aca="false">Inputs!$B$54*H15/(Inputs!$B$35*F15+E15*H15^2/(PI()*GB15*Inputs!$B$36))</f>
        <v>19.2416823971891</v>
      </c>
      <c r="GD15" s="15" t="n">
        <f aca="false">EXP(-Inputs!$B$11*Inputs!$B$14*Inputs!$B$17/(Inputs!$B$51*GC15*Inputs!$B$16))</f>
        <v>0.752619481885289</v>
      </c>
      <c r="GE15" s="15" t="n">
        <f aca="false">Inputs!$B$50*Inputs!$B$18*GD15*Inputs!$B$19</f>
        <v>0.735402731263322</v>
      </c>
      <c r="GF15" s="15" t="n">
        <f aca="false">1-GE15</f>
        <v>0.264597268736678</v>
      </c>
      <c r="GG15" s="15" t="n">
        <f aca="false">Inputs!$B$20*GF15</f>
        <v>0.00793791806210035</v>
      </c>
      <c r="GH15" s="15" t="n">
        <f aca="false">0.8*(1-Inputs!$B$50)*(GE15-GG15)</f>
        <v>0.00175217756879497</v>
      </c>
      <c r="GI15" s="15" t="n">
        <f aca="false">GE15-GG15-GH15</f>
        <v>0.725712635632426</v>
      </c>
      <c r="GJ15" s="15" t="n">
        <f aca="false">GI15*(1-Inputs!$B$18*EXP(-Inputs!$B$21*Inputs!$B$14*Inputs!$B$17/(Inputs!$B$22*Inputs!$B$23*Inputs!$B$24*GC15*Inputs!$B$16))*Inputs!$B$19)</f>
        <v>0.0263019336895761</v>
      </c>
      <c r="GK15" s="15" t="n">
        <f aca="false">(GI15-GJ15)*(1-EXP(-Inputs!$B$25*Inputs!$B$14*Inputs!$B$17*Inputs!$B$26/(GC15*Inputs!$B$16/0.866)))</f>
        <v>0.00754915571604939</v>
      </c>
      <c r="GL15" s="15" t="n">
        <f aca="false">(GI15-GJ15-GK15)*(1-Inputs!$B$19)</f>
        <v>0.00345930773113401</v>
      </c>
      <c r="GM15" s="15" t="n">
        <f aca="false">(GF15+GG15+GH15+GJ15+GK15+GL15)*(1+Inputs!$B$27)</f>
        <v>0.312532554788846</v>
      </c>
      <c r="GN15" s="15" t="n">
        <f aca="false">Inputs!$B$52/(1-GM15-G15)</f>
        <v>193551.320624428</v>
      </c>
      <c r="GO15" s="15" t="n">
        <f aca="false">GN15/Inputs!$B$34</f>
        <v>322.585534374046</v>
      </c>
      <c r="GP15" s="15" t="n">
        <f aca="false">B15^2/GO15</f>
        <v>10.42824194373</v>
      </c>
      <c r="GQ15" s="15" t="n">
        <f aca="false">Inputs!$B$54*H15/(Inputs!$B$35*F15+E15*H15^2/(PI()*GP15*Inputs!$B$36))</f>
        <v>19.2416835770282</v>
      </c>
      <c r="GR15" s="15" t="n">
        <f aca="false">EXP(-Inputs!$B$11*Inputs!$B$14*Inputs!$B$17/(Inputs!$B$51*GQ15*Inputs!$B$16))</f>
        <v>0.752619495000413</v>
      </c>
      <c r="GS15" s="15" t="n">
        <f aca="false">Inputs!$B$50*Inputs!$B$18*GR15*Inputs!$B$19</f>
        <v>0.735402744078427</v>
      </c>
      <c r="GT15" s="15" t="n">
        <f aca="false">1-GS15</f>
        <v>0.264597255921573</v>
      </c>
      <c r="GU15" s="15" t="n">
        <f aca="false">Inputs!$B$20*GT15</f>
        <v>0.00793791767764718</v>
      </c>
      <c r="GV15" s="15" t="n">
        <f aca="false">0.8*(1-Inputs!$B$50)*(GS15-GU15)</f>
        <v>0.00175217760058753</v>
      </c>
      <c r="GW15" s="15" t="n">
        <f aca="false">GS15-GU15-GV15</f>
        <v>0.725712648800193</v>
      </c>
      <c r="GX15" s="15" t="n">
        <f aca="false">GW15*(1-Inputs!$B$18*EXP(-Inputs!$B$21*Inputs!$B$14*Inputs!$B$17/(Inputs!$B$22*Inputs!$B$23*Inputs!$B$24*GQ15*Inputs!$B$16))*Inputs!$B$19)</f>
        <v>0.0263019334467721</v>
      </c>
      <c r="GY15" s="15" t="n">
        <f aca="false">(GW15-GX15)*(1-EXP(-Inputs!$B$25*Inputs!$B$14*Inputs!$B$17*Inputs!$B$26/(GQ15*Inputs!$B$16/0.866)))</f>
        <v>0.00754915540041442</v>
      </c>
      <c r="GZ15" s="15" t="n">
        <f aca="false">(GW15-GX15-GY15)*(1-Inputs!$B$19)</f>
        <v>0.00345930779976503</v>
      </c>
      <c r="HA15" s="15" t="n">
        <f aca="false">(GT15+GU15+GV15+GX15+GY15+GZ15)*(1+Inputs!$B$27)</f>
        <v>0.312532541090299</v>
      </c>
      <c r="HB15" s="15" t="n">
        <f aca="false">Inputs!$B$52/(1-HA15-G15)</f>
        <v>193551.304894881</v>
      </c>
      <c r="HC15" s="15" t="n">
        <f aca="false">HB15/Inputs!$B$34</f>
        <v>322.585508158134</v>
      </c>
      <c r="HD15" s="15" t="n">
        <f aca="false">B15^2/HC15</f>
        <v>10.4282427912135</v>
      </c>
      <c r="HE15" s="15" t="n">
        <f aca="false">Inputs!$B$54*H15/(Inputs!$B$35*F15+E15*H15^2/(PI()*HD15*Inputs!$B$36))</f>
        <v>19.2416840179957</v>
      </c>
      <c r="HF15" s="15" t="n">
        <f aca="false">EXP(-Inputs!$B$11*Inputs!$B$14*Inputs!$B$17/(Inputs!$B$51*HE15*Inputs!$B$16))</f>
        <v>0.752619499902219</v>
      </c>
      <c r="HG15" s="15" t="n">
        <f aca="false">Inputs!$B$50*Inputs!$B$18*HF15*Inputs!$B$19</f>
        <v>0.735402748868101</v>
      </c>
      <c r="HH15" s="15" t="n">
        <f aca="false">1-HG15</f>
        <v>0.264597251131899</v>
      </c>
      <c r="HI15" s="15" t="n">
        <f aca="false">Inputs!$B$20*HH15</f>
        <v>0.00793791753395697</v>
      </c>
      <c r="HJ15" s="15" t="n">
        <f aca="false">0.8*(1-Inputs!$B$50)*(HG15-HI15)</f>
        <v>0.00175217761247007</v>
      </c>
      <c r="HK15" s="15" t="n">
        <f aca="false">HG15-HI15-HJ15</f>
        <v>0.725712653721674</v>
      </c>
      <c r="HL15" s="15" t="n">
        <f aca="false">HK15*(1-Inputs!$B$18*EXP(-Inputs!$B$21*Inputs!$B$14*Inputs!$B$17/(Inputs!$B$22*Inputs!$B$23*Inputs!$B$24*HE15*Inputs!$B$16))*Inputs!$B$19)</f>
        <v>0.0263019333560237</v>
      </c>
      <c r="HM15" s="15" t="n">
        <f aca="false">(HK15-HL15)*(1-EXP(-Inputs!$B$25*Inputs!$B$14*Inputs!$B$17*Inputs!$B$26/(HE15*Inputs!$B$16/0.866)))</f>
        <v>0.00754915528244523</v>
      </c>
      <c r="HN15" s="15" t="n">
        <f aca="false">(HK15-HL15-HM15)*(1-Inputs!$B$19)</f>
        <v>0.00345930782541603</v>
      </c>
      <c r="HO15" s="15" t="n">
        <f aca="false">(HH15+HI15+HJ15+HL15+HM15+HN15)*(1+Inputs!$B$27)</f>
        <v>0.312532535970437</v>
      </c>
      <c r="HP15" s="15" t="n">
        <f aca="false">Inputs!$B$52/(1-HO15-G15)</f>
        <v>193551.299015928</v>
      </c>
      <c r="HQ15" s="15" t="n">
        <f aca="false">HP15/Inputs!$B$34</f>
        <v>322.585498359881</v>
      </c>
      <c r="HR15" s="15" t="n">
        <f aca="false">B15^2/HQ15</f>
        <v>10.4282431079623</v>
      </c>
      <c r="HS15" s="15" t="n">
        <f aca="false">Inputs!$B$54*H15/(Inputs!$B$35*F15+E15*H15^2/(PI()*HR15*Inputs!$B$36))</f>
        <v>19.2416841828083</v>
      </c>
      <c r="HT15" s="15" t="n">
        <f aca="false">EXP(-Inputs!$B$11*Inputs!$B$14*Inputs!$B$17/(Inputs!$B$51*HS15*Inputs!$B$16))</f>
        <v>0.75261950173428</v>
      </c>
      <c r="HU15" s="15" t="n">
        <f aca="false">Inputs!$B$50*Inputs!$B$18*HT15*Inputs!$B$19</f>
        <v>0.735402750658252</v>
      </c>
      <c r="HV15" s="15" t="n">
        <f aca="false">1-HU15</f>
        <v>0.264597249341748</v>
      </c>
      <c r="HW15" s="15" t="n">
        <f aca="false">Inputs!$B$20*HV15</f>
        <v>0.00793791748025244</v>
      </c>
      <c r="HX15" s="15" t="n">
        <f aca="false">0.8*(1-Inputs!$B$50)*(HU15-HW15)</f>
        <v>0.0017521776169112</v>
      </c>
      <c r="HY15" s="15" t="n">
        <f aca="false">HU15-HW15-HX15</f>
        <v>0.725712655561089</v>
      </c>
      <c r="HZ15" s="15" t="n">
        <f aca="false">HY15*(1-Inputs!$B$18*EXP(-Inputs!$B$21*Inputs!$B$14*Inputs!$B$17/(Inputs!$B$22*Inputs!$B$23*Inputs!$B$24*HS15*Inputs!$B$16))*Inputs!$B$19)</f>
        <v>0.0263019333221062</v>
      </c>
      <c r="IA15" s="15" t="n">
        <f aca="false">(HY15-HZ15)*(1-EXP(-Inputs!$B$25*Inputs!$B$14*Inputs!$B$17*Inputs!$B$26/(HS15*Inputs!$B$16/0.866)))</f>
        <v>0.00754915523835393</v>
      </c>
      <c r="IB15" s="15" t="n">
        <f aca="false">(HY15-HZ15-IA15)*(1-Inputs!$B$19)</f>
        <v>0.00345930783500314</v>
      </c>
      <c r="IC15" s="15" t="n">
        <f aca="false">(HV15+HW15+HX15+HZ15+IA15+IB15)*(1+Inputs!$B$27)</f>
        <v>0.312532534056878</v>
      </c>
      <c r="ID15" s="15" t="n">
        <f aca="false">Inputs!$B$52/(1-IC15-G15)</f>
        <v>193551.296818657</v>
      </c>
      <c r="IE15" s="15" t="n">
        <f aca="false">ID15/Inputs!$B$34</f>
        <v>322.585494697762</v>
      </c>
      <c r="IF15" s="15" t="n">
        <f aca="false">B15^2/IE15</f>
        <v>10.4282432263478</v>
      </c>
      <c r="IG15" s="15" t="n">
        <f aca="false">Inputs!$B$54*H15/(Inputs!$B$35*F15+E15*H15^2/(PI()*IF15*Inputs!$B$36))</f>
        <v>19.2416842444073</v>
      </c>
      <c r="IH15" s="15" t="n">
        <f aca="false">EXP(-Inputs!$B$11*Inputs!$B$14*Inputs!$B$17/(Inputs!$B$51*IG15*Inputs!$B$16))</f>
        <v>0.752619502419017</v>
      </c>
      <c r="II15" s="15" t="n">
        <f aca="false">Inputs!$B$50*Inputs!$B$18*IH15*Inputs!$B$19</f>
        <v>0.735402751327325</v>
      </c>
      <c r="IJ15" s="15" t="n">
        <f aca="false">1-II15</f>
        <v>0.264597248672675</v>
      </c>
      <c r="IK15" s="15" t="n">
        <f aca="false">Inputs!$B$20*IJ15</f>
        <v>0.00793791746018025</v>
      </c>
      <c r="IL15" s="15" t="n">
        <f aca="false">0.8*(1-Inputs!$B$50)*(II15-IK15)</f>
        <v>0.00175217761857108</v>
      </c>
      <c r="IM15" s="15" t="n">
        <f aca="false">II15-IK15-IL15</f>
        <v>0.725712656248574</v>
      </c>
      <c r="IN15" s="15" t="n">
        <f aca="false">IM15*(1-Inputs!$B$18*EXP(-Inputs!$B$21*Inputs!$B$14*Inputs!$B$17/(Inputs!$B$22*Inputs!$B$23*Inputs!$B$24*IG15*Inputs!$B$16))*Inputs!$B$19)</f>
        <v>0.0263019333094296</v>
      </c>
      <c r="IO15" s="15" t="n">
        <f aca="false">(IM15-IN15)*(1-EXP(-Inputs!$B$25*Inputs!$B$14*Inputs!$B$17*Inputs!$B$26/(IG15*Inputs!$B$16/0.866)))</f>
        <v>0.00754915522187473</v>
      </c>
      <c r="IP15" s="15" t="n">
        <f aca="false">(IM15-IN15-IO15)*(1-Inputs!$B$19)</f>
        <v>0.00345930783858635</v>
      </c>
      <c r="IQ15" s="15" t="n">
        <f aca="false">(IJ15+IK15+IL15+IN15+IO15+IP15)*(1+Inputs!$B$27)</f>
        <v>0.312532533341681</v>
      </c>
      <c r="IR15" s="15" t="n">
        <f aca="false">Inputs!$B$52/(1-IQ15-G15)</f>
        <v>193551.295997423</v>
      </c>
      <c r="IS15" s="15" t="n">
        <f aca="false">IR15/Inputs!$B$34</f>
        <v>322.585493329038</v>
      </c>
      <c r="IT15" s="15" t="n">
        <f aca="false">B15^2/IS15</f>
        <v>10.4282432705947</v>
      </c>
      <c r="IU15" s="15" t="n">
        <f aca="false">Inputs!$B$54*H15/(Inputs!$B$35*F15+E15*H15^2/(PI()*IT15*Inputs!$B$36))</f>
        <v>19.2416842674301</v>
      </c>
      <c r="IV15" s="15" t="n">
        <f aca="false">EXP(-Inputs!$B$11*Inputs!$B$14*Inputs!$B$17/(Inputs!$B$51*IU15*Inputs!$B$16))</f>
        <v>0.752619502674939</v>
      </c>
      <c r="IW15" s="15" t="n">
        <f aca="false">Inputs!$B$50*Inputs!$B$18*IV15*Inputs!$B$19</f>
        <v>0.735402751577392</v>
      </c>
      <c r="IX15" s="15" t="n">
        <f aca="false">1-IW15</f>
        <v>0.264597248422608</v>
      </c>
      <c r="IY15" s="15" t="n">
        <f aca="false">Inputs!$B$20*IX15</f>
        <v>0.00793791745267823</v>
      </c>
      <c r="IZ15" s="15" t="n">
        <f aca="false">0.8*(1-Inputs!$B$50)*(IW15-IY15)</f>
        <v>0.00175217761919146</v>
      </c>
      <c r="JA15" s="15" t="n">
        <f aca="false">IW15-IY15-IZ15</f>
        <v>0.725712656505523</v>
      </c>
      <c r="JB15" s="15" t="n">
        <f aca="false">JA15*(1-Inputs!$B$18*EXP(-Inputs!$B$21*Inputs!$B$14*Inputs!$B$17/(Inputs!$B$22*Inputs!$B$23*Inputs!$B$24*IU15*Inputs!$B$16))*Inputs!$B$19)</f>
        <v>0.0263019333046916</v>
      </c>
      <c r="JC15" s="15" t="n">
        <f aca="false">(JA15-JB15)*(1-EXP(-Inputs!$B$25*Inputs!$B$14*Inputs!$B$17*Inputs!$B$26/(IU15*Inputs!$B$16/0.866)))</f>
        <v>0.00754915521571561</v>
      </c>
      <c r="JD15" s="15" t="n">
        <f aca="false">(JA15-JB15-JC15)*(1-Inputs!$B$19)</f>
        <v>0.00345930783992558</v>
      </c>
      <c r="JE15" s="15" t="n">
        <f aca="false">(IX15+IY15+IZ15+JB15+JC15+JD15)*(1+Inputs!$B$27)</f>
        <v>0.312532533074375</v>
      </c>
      <c r="JF15" s="15" t="n">
        <f aca="false">Inputs!$B$52/(1-JE15-G15)</f>
        <v>193551.295690484</v>
      </c>
      <c r="JG15" s="15" t="n">
        <f aca="false">JF15/Inputs!$B$34</f>
        <v>322.585492817474</v>
      </c>
      <c r="JH15" s="15" t="n">
        <f aca="false">B15^2/JG15</f>
        <v>10.428243287132</v>
      </c>
      <c r="JI15" s="15" t="n">
        <f aca="false">Inputs!$B$54*H15/(Inputs!$B$35*F15+E15*H15^2/(PI()*JH15*Inputs!$B$36))</f>
        <v>19.2416842760349</v>
      </c>
      <c r="JJ15" s="15" t="n">
        <f aca="false">EXP(-Inputs!$B$11*Inputs!$B$14*Inputs!$B$17/(Inputs!$B$51*JI15*Inputs!$B$16))</f>
        <v>0.75261950277059</v>
      </c>
      <c r="JK15" s="15" t="n">
        <f aca="false">Inputs!$B$50*Inputs!$B$18*JJ15*Inputs!$B$19</f>
        <v>0.735402751670855</v>
      </c>
      <c r="JL15" s="15" t="n">
        <f aca="false">1-JK15</f>
        <v>0.264597248329145</v>
      </c>
      <c r="JM15" s="15" t="n">
        <f aca="false">Inputs!$B$20*JL15</f>
        <v>0.00793791744987434</v>
      </c>
      <c r="JN15" s="15" t="n">
        <f aca="false">0.8*(1-Inputs!$B$50)*(JK15-JM15)</f>
        <v>0.00175217761942333</v>
      </c>
      <c r="JO15" s="15" t="n">
        <f aca="false">JK15-JM15-JN15</f>
        <v>0.725712656601558</v>
      </c>
      <c r="JP15" s="15" t="n">
        <f aca="false">JO15*(1-Inputs!$B$18*EXP(-Inputs!$B$21*Inputs!$B$14*Inputs!$B$17/(Inputs!$B$22*Inputs!$B$23*Inputs!$B$24*JI15*Inputs!$B$16))*Inputs!$B$19)</f>
        <v>0.0263019333029207</v>
      </c>
      <c r="JQ15" s="15" t="n">
        <f aca="false">(JO15-JP15)*(1-EXP(-Inputs!$B$25*Inputs!$B$14*Inputs!$B$17*Inputs!$B$26/(JI15*Inputs!$B$16/0.866)))</f>
        <v>0.00754915521341362</v>
      </c>
      <c r="JR15" s="15" t="n">
        <f aca="false">(JO15-JP15-JQ15)*(1-Inputs!$B$19)</f>
        <v>0.00345930784042612</v>
      </c>
      <c r="JS15" s="15" t="n">
        <f aca="false">(JL15+JM15+JN15+JP15+JQ15+JR15)*(1+Inputs!$B$27)</f>
        <v>0.312532532974468</v>
      </c>
      <c r="JT15" s="15" t="n">
        <f aca="false">Inputs!$B$52/(1-JS15-G15)</f>
        <v>193551.295575766</v>
      </c>
      <c r="JU15" s="15" t="n">
        <f aca="false">JT15/Inputs!$B$34</f>
        <v>322.585492626276</v>
      </c>
      <c r="JV15" s="15" t="n">
        <f aca="false">B15^2/JU15</f>
        <v>10.4282432933129</v>
      </c>
      <c r="JW15" s="15" t="n">
        <f aca="false">Inputs!$B$54*H15/(Inputs!$B$35*F15+E15*H15^2/(PI()*JV15*Inputs!$B$36))</f>
        <v>19.241684279251</v>
      </c>
      <c r="JX15" s="15" t="n">
        <f aca="false">EXP(-Inputs!$B$11*Inputs!$B$14*Inputs!$B$17/(Inputs!$B$51*JW15*Inputs!$B$16))</f>
        <v>0.75261950280634</v>
      </c>
      <c r="JY15" s="15" t="n">
        <f aca="false">Inputs!$B$50*Inputs!$B$18*JX15*Inputs!$B$19</f>
        <v>0.735402751705787</v>
      </c>
      <c r="JZ15" s="15" t="n">
        <f aca="false">1-JY15</f>
        <v>0.264597248294213</v>
      </c>
      <c r="KA15" s="15" t="n">
        <f aca="false">Inputs!$B$20*JZ15</f>
        <v>0.00793791744882638</v>
      </c>
      <c r="KB15" s="15" t="n">
        <f aca="false">0.8*(1-Inputs!$B$50)*(JY15-KA15)</f>
        <v>0.00175217761950999</v>
      </c>
      <c r="KC15" s="15" t="n">
        <f aca="false">JY15-KA15-KB15</f>
        <v>0.725712656637451</v>
      </c>
      <c r="KD15" s="15" t="n">
        <f aca="false">KC15*(1-Inputs!$B$18*EXP(-Inputs!$B$21*Inputs!$B$14*Inputs!$B$17/(Inputs!$B$22*Inputs!$B$23*Inputs!$B$24*JW15*Inputs!$B$16))*Inputs!$B$19)</f>
        <v>0.0263019333022589</v>
      </c>
      <c r="KE15" s="15" t="n">
        <f aca="false">(KC15-KD15)*(1-EXP(-Inputs!$B$25*Inputs!$B$14*Inputs!$B$17*Inputs!$B$26/(JW15*Inputs!$B$16/0.866)))</f>
        <v>0.0075491552125532</v>
      </c>
      <c r="KF15" s="15" t="n">
        <f aca="false">(KC15-KD15-KE15)*(1-Inputs!$B$19)</f>
        <v>0.0034593078406132</v>
      </c>
      <c r="KG15" s="15" t="n">
        <f aca="false">(JZ15+KA15+KB15+KD15+KE15+KF15)*(1+Inputs!$B$27)</f>
        <v>0.312532532937128</v>
      </c>
      <c r="KH15" s="15" t="n">
        <f aca="false">Inputs!$B$52/(1-KG15-G15)</f>
        <v>193551.295532889</v>
      </c>
      <c r="KI15" s="15" t="n">
        <f aca="false">KH15/Inputs!$B$34</f>
        <v>322.585492554816</v>
      </c>
      <c r="KJ15" s="15" t="n">
        <f aca="false">B15^2/KI15</f>
        <v>10.428243295623</v>
      </c>
      <c r="KK15" s="15" t="n">
        <f aca="false">Inputs!$B$54*H15/(Inputs!$B$35*F15+E15*H15^2/(PI()*KJ15*Inputs!$B$36))</f>
        <v>19.241684280453</v>
      </c>
      <c r="KL15" s="15" t="n">
        <f aca="false">EXP(-Inputs!$B$11*Inputs!$B$14*Inputs!$B$17/(Inputs!$B$51*KK15*Inputs!$B$16))</f>
        <v>0.752619502819701</v>
      </c>
      <c r="KM15" s="15" t="n">
        <f aca="false">Inputs!$B$50*Inputs!$B$18*KL15*Inputs!$B$19</f>
        <v>0.735402751718843</v>
      </c>
      <c r="KN15" s="15" t="n">
        <f aca="false">1-KM15</f>
        <v>0.264597248281157</v>
      </c>
      <c r="KO15" s="15" t="n">
        <f aca="false">Inputs!$B$20*KN15</f>
        <v>0.0079379174484347</v>
      </c>
      <c r="KP15" s="15" t="n">
        <f aca="false">0.8*(1-Inputs!$B$50)*(KM15-KO15)</f>
        <v>0.00175217761954238</v>
      </c>
      <c r="KQ15" s="15" t="n">
        <f aca="false">KM15-KO15-KP15</f>
        <v>0.725712656650866</v>
      </c>
      <c r="KR15" s="15" t="n">
        <f aca="false">KQ15*(1-Inputs!$B$18*EXP(-Inputs!$B$21*Inputs!$B$14*Inputs!$B$17/(Inputs!$B$22*Inputs!$B$23*Inputs!$B$24*KK15*Inputs!$B$16))*Inputs!$B$19)</f>
        <v>0.0263019333020115</v>
      </c>
      <c r="KS15" s="15" t="n">
        <f aca="false">(KQ15-KR15)*(1-EXP(-Inputs!$B$25*Inputs!$B$14*Inputs!$B$17*Inputs!$B$26/(KK15*Inputs!$B$16/0.866)))</f>
        <v>0.00754915521223166</v>
      </c>
      <c r="KT15" s="15" t="n">
        <f aca="false">(KQ15-KR15-KS15)*(1-Inputs!$B$19)</f>
        <v>0.00345930784068312</v>
      </c>
      <c r="KU15" s="15" t="n">
        <f aca="false">(KN15+KO15+KP15+KR15+KS15+KT15)*(1+Inputs!$B$27)</f>
        <v>0.312532532923172</v>
      </c>
      <c r="KV15" s="15" t="n">
        <f aca="false">Inputs!$B$52/(1-KU15-G15)</f>
        <v>193551.295516864</v>
      </c>
      <c r="KW15" s="15" t="n">
        <f aca="false">KV15/Inputs!$B$34</f>
        <v>322.585492528107</v>
      </c>
      <c r="KX15" s="15" t="n">
        <f aca="false">B15^2/KW15</f>
        <v>10.4282432964864</v>
      </c>
      <c r="KY15" s="15" t="n">
        <f aca="false">Inputs!$B$54*H15/(Inputs!$B$35*F15+E15*H15^2/(PI()*KX15*Inputs!$B$36))</f>
        <v>19.2416842809023</v>
      </c>
      <c r="KZ15" s="15" t="n">
        <f aca="false">EXP(-Inputs!$B$11*Inputs!$B$14*Inputs!$B$17/(Inputs!$B$51*KY15*Inputs!$B$16))</f>
        <v>0.752619502824695</v>
      </c>
      <c r="LA15" s="15" t="n">
        <f aca="false">Inputs!$B$50*Inputs!$B$18*KZ15*Inputs!$B$19</f>
        <v>0.735402751723723</v>
      </c>
      <c r="LB15" s="15" t="n">
        <f aca="false">1-LA15</f>
        <v>0.264597248276277</v>
      </c>
      <c r="LC15" s="15" t="n">
        <f aca="false">Inputs!$B$20*LB15</f>
        <v>0.00793791744828831</v>
      </c>
      <c r="LD15" s="15" t="n">
        <f aca="false">0.8*(1-Inputs!$B$50)*(LA15-LC15)</f>
        <v>0.00175217761955449</v>
      </c>
      <c r="LE15" s="15" t="n">
        <f aca="false">LA15-LC15-LD15</f>
        <v>0.72571265665588</v>
      </c>
      <c r="LF15" s="15" t="n">
        <f aca="false">LE15*(1-Inputs!$B$18*EXP(-Inputs!$B$21*Inputs!$B$14*Inputs!$B$17/(Inputs!$B$22*Inputs!$B$23*Inputs!$B$24*KY15*Inputs!$B$16))*Inputs!$B$19)</f>
        <v>0.026301933301919</v>
      </c>
      <c r="LG15" s="15" t="n">
        <f aca="false">(LE15-LF15)*(1-EXP(-Inputs!$B$25*Inputs!$B$14*Inputs!$B$17*Inputs!$B$26/(KY15*Inputs!$B$16/0.866)))</f>
        <v>0.00754915521211144</v>
      </c>
      <c r="LH15" s="15" t="n">
        <f aca="false">(LE15-LF15-LG15)*(1-Inputs!$B$19)</f>
        <v>0.00345930784070925</v>
      </c>
      <c r="LI15" s="15" t="n">
        <f aca="false">(LB15+LC15+LD15+LF15+LG15+LH15)*(1+Inputs!$B$27)</f>
        <v>0.312532532917956</v>
      </c>
      <c r="LJ15" s="15" t="n">
        <f aca="false">Inputs!$B$52/(1-LI15-G15)</f>
        <v>193551.295510875</v>
      </c>
      <c r="LK15" s="15" t="n">
        <f aca="false">LJ15/Inputs!$B$34</f>
        <v>322.585492518124</v>
      </c>
      <c r="LL15" s="15" t="n">
        <f aca="false">B15^2/LK15</f>
        <v>10.4282432968091</v>
      </c>
      <c r="LM15" s="15" t="n">
        <f aca="false">Inputs!$B$54*H15/(Inputs!$B$35*F15+E15*H15^2/(PI()*LL15*Inputs!$B$36))</f>
        <v>19.2416842810702</v>
      </c>
      <c r="LN15" s="15" t="n">
        <f aca="false">EXP(-Inputs!$B$11*Inputs!$B$14*Inputs!$B$17/(Inputs!$B$51*LM15*Inputs!$B$16))</f>
        <v>0.752619502826562</v>
      </c>
      <c r="LO15" s="15" t="n">
        <f aca="false">Inputs!$B$50*Inputs!$B$18*LN15*Inputs!$B$19</f>
        <v>0.735402751725547</v>
      </c>
      <c r="LP15" s="15" t="n">
        <f aca="false">1-LO15</f>
        <v>0.264597248274453</v>
      </c>
      <c r="LQ15" s="15" t="n">
        <f aca="false">Inputs!$B$20*LP15</f>
        <v>0.00793791744823359</v>
      </c>
      <c r="LR15" s="15" t="n">
        <f aca="false">0.8*(1-Inputs!$B$50)*(LO15-LQ15)</f>
        <v>0.00175217761955901</v>
      </c>
      <c r="LS15" s="15" t="n">
        <f aca="false">LO15-LQ15-LR15</f>
        <v>0.725712656657754</v>
      </c>
      <c r="LT15" s="15" t="n">
        <f aca="false">LS15*(1-Inputs!$B$18*EXP(-Inputs!$B$21*Inputs!$B$14*Inputs!$B$17/(Inputs!$B$22*Inputs!$B$23*Inputs!$B$24*LM15*Inputs!$B$16))*Inputs!$B$19)</f>
        <v>0.0263019333018845</v>
      </c>
      <c r="LU15" s="15" t="n">
        <f aca="false">(LS15-LT15)*(1-EXP(-Inputs!$B$25*Inputs!$B$14*Inputs!$B$17*Inputs!$B$26/(LM15*Inputs!$B$16/0.866)))</f>
        <v>0.00754915521206658</v>
      </c>
      <c r="LV15" s="15" t="n">
        <f aca="false">(LS15-LT15-LU15)*(1-Inputs!$B$19)</f>
        <v>0.00345930784071902</v>
      </c>
      <c r="LW15" s="15" t="n">
        <f aca="false">(LP15+LQ15+LR15+LT15+LU15+LV15)*(1+Inputs!$B$27)</f>
        <v>0.312532532916007</v>
      </c>
      <c r="LX15" s="15" t="n">
        <f aca="false">Inputs!$B$52/(1-LW15-G15)</f>
        <v>193551.295508636</v>
      </c>
      <c r="LY15" s="15" t="n">
        <f aca="false">LX15/Inputs!$B$34</f>
        <v>322.585492514394</v>
      </c>
      <c r="LZ15" s="15" t="n">
        <f aca="false">B15^2/LY15</f>
        <v>10.4282432969297</v>
      </c>
      <c r="MA15" s="15" t="n">
        <f aca="false">Inputs!$B$54*H15/(Inputs!$B$35*F15+E15*H15^2/(PI()*LZ15*Inputs!$B$36))</f>
        <v>19.2416842811329</v>
      </c>
      <c r="MB15" s="15" t="n">
        <f aca="false">EXP(-Inputs!$B$11*Inputs!$B$14*Inputs!$B$17/(Inputs!$B$51*MA15*Inputs!$B$16))</f>
        <v>0.752619502827259</v>
      </c>
      <c r="MC15" s="15" t="n">
        <f aca="false">Inputs!$B$50*Inputs!$B$18*MB15*Inputs!$B$19</f>
        <v>0.735402751726229</v>
      </c>
      <c r="MD15" s="15" t="n">
        <f aca="false">1-MC15</f>
        <v>0.264597248273772</v>
      </c>
      <c r="ME15" s="15" t="n">
        <f aca="false">Inputs!$B$20*MD15</f>
        <v>0.00793791744821315</v>
      </c>
      <c r="MF15" s="15" t="n">
        <f aca="false">0.8*(1-Inputs!$B$50)*(MC15-ME15)</f>
        <v>0.0017521776195607</v>
      </c>
      <c r="MG15" s="15" t="n">
        <f aca="false">MC15-ME15-MF15</f>
        <v>0.725712656658455</v>
      </c>
      <c r="MH15" s="15" t="n">
        <f aca="false">MG15*(1-Inputs!$B$18*EXP(-Inputs!$B$21*Inputs!$B$14*Inputs!$B$17/(Inputs!$B$22*Inputs!$B$23*Inputs!$B$24*MA15*Inputs!$B$16))*Inputs!$B$19)</f>
        <v>0.0263019333018716</v>
      </c>
      <c r="MI15" s="15" t="n">
        <f aca="false">(MG15-MH15)*(1-EXP(-Inputs!$B$25*Inputs!$B$14*Inputs!$B$17*Inputs!$B$26/(MA15*Inputs!$B$16/0.866)))</f>
        <v>0.00754915521204974</v>
      </c>
      <c r="MJ15" s="15" t="n">
        <f aca="false">(MG15-MH15-MI15)*(1-Inputs!$B$19)</f>
        <v>0.00345930784072267</v>
      </c>
      <c r="MK15" s="15" t="n">
        <f aca="false">(MD15+ME15+MF15+MH15+MI15+MJ15)*(1+Inputs!$B$27)</f>
        <v>0.312532532915278</v>
      </c>
      <c r="ML15" s="15" t="n">
        <f aca="false">Inputs!$B$52/(1-MK15-G15)</f>
        <v>193551.2955078</v>
      </c>
      <c r="MM15" s="15" t="n">
        <f aca="false">ML15/Inputs!$B$34</f>
        <v>322.585492512999</v>
      </c>
      <c r="MN15" s="15" t="n">
        <f aca="false">B15^2/MM15</f>
        <v>10.4282432969748</v>
      </c>
      <c r="MO15" s="15" t="n">
        <f aca="false">Inputs!$B$54*H15/(Inputs!$B$35*F15+E15*H15^2/(PI()*MN15*Inputs!$B$36))</f>
        <v>19.2416842811564</v>
      </c>
      <c r="MP15" s="15" t="n">
        <f aca="false">EXP(-Inputs!$B$11*Inputs!$B$14*Inputs!$B$17/(Inputs!$B$51*MO15*Inputs!$B$16))</f>
        <v>0.75261950282752</v>
      </c>
      <c r="MQ15" s="15" t="n">
        <f aca="false">Inputs!$B$50*Inputs!$B$18*MP15*Inputs!$B$19</f>
        <v>0.735402751726483</v>
      </c>
      <c r="MR15" s="15" t="n">
        <f aca="false">1-MQ15</f>
        <v>0.264597248273517</v>
      </c>
      <c r="MS15" s="15" t="n">
        <f aca="false">Inputs!$B$20*MR15</f>
        <v>0.0079379174482055</v>
      </c>
      <c r="MT15" s="15" t="n">
        <f aca="false">0.8*(1-Inputs!$B$50)*(MQ15-MS15)</f>
        <v>0.00175217761956134</v>
      </c>
      <c r="MU15" s="15" t="n">
        <f aca="false">MQ15-MS15-MT15</f>
        <v>0.725712656658716</v>
      </c>
      <c r="MV15" s="15" t="n">
        <f aca="false">MU15*(1-Inputs!$B$18*EXP(-Inputs!$B$21*Inputs!$B$14*Inputs!$B$17/(Inputs!$B$22*Inputs!$B$23*Inputs!$B$24*MO15*Inputs!$B$16))*Inputs!$B$19)</f>
        <v>0.0263019333018667</v>
      </c>
      <c r="MW15" s="15" t="n">
        <f aca="false">(MU15-MV15)*(1-EXP(-Inputs!$B$25*Inputs!$B$14*Inputs!$B$17*Inputs!$B$26/(MO15*Inputs!$B$16/0.866)))</f>
        <v>0.00754915521204346</v>
      </c>
      <c r="MX15" s="15" t="n">
        <f aca="false">(MU15-MV15-MW15)*(1-Inputs!$B$19)</f>
        <v>0.00345930784072403</v>
      </c>
      <c r="MY15" s="15" t="n">
        <f aca="false">(MR15+MS15+MT15+MV15+MW15+MX15)*(1+Inputs!$B$27)</f>
        <v>0.312532532915005</v>
      </c>
      <c r="MZ15" s="15" t="n">
        <f aca="false">Inputs!$B$52/(1-MY15-G15)</f>
        <v>193551.295507487</v>
      </c>
      <c r="NA15" s="15" t="n">
        <f aca="false">MZ15/Inputs!$B$34</f>
        <v>322.585492512478</v>
      </c>
      <c r="NB15" s="15" t="n">
        <f aca="false">B15^2/NA15</f>
        <v>10.4282432969917</v>
      </c>
      <c r="NC15" s="15" t="n">
        <f aca="false">Inputs!$B$54*H15/(Inputs!$B$35*F15+E15*H15^2/(PI()*NB15*Inputs!$B$36))</f>
        <v>19.2416842811652</v>
      </c>
      <c r="ND15" s="15" t="n">
        <f aca="false">EXP(-Inputs!$B$11*Inputs!$B$14*Inputs!$B$17/(Inputs!$B$51*NC15*Inputs!$B$16))</f>
        <v>0.752619502827618</v>
      </c>
      <c r="NE15" s="15" t="n">
        <f aca="false">Inputs!$B$50*Inputs!$B$18*ND15*Inputs!$B$19</f>
        <v>0.735402751726578</v>
      </c>
      <c r="NF15" s="15" t="n">
        <f aca="false">1-NE15</f>
        <v>0.264597248273422</v>
      </c>
      <c r="NG15" s="15" t="n">
        <f aca="false">Inputs!$B$20*NF15</f>
        <v>0.00793791744820265</v>
      </c>
      <c r="NH15" s="15" t="n">
        <f aca="false">0.8*(1-Inputs!$B$50)*(NE15-NG15)</f>
        <v>0.00175217761956157</v>
      </c>
      <c r="NI15" s="15" t="n">
        <f aca="false">NE15-NG15-NH15</f>
        <v>0.725712656658814</v>
      </c>
      <c r="NJ15" s="15" t="n">
        <f aca="false">NI15*(1-Inputs!$B$18*EXP(-Inputs!$B$21*Inputs!$B$14*Inputs!$B$17/(Inputs!$B$22*Inputs!$B$23*Inputs!$B$24*NC15*Inputs!$B$16))*Inputs!$B$19)</f>
        <v>0.026301933301865</v>
      </c>
      <c r="NK15" s="15" t="n">
        <f aca="false">(NI15-NJ15)*(1-EXP(-Inputs!$B$25*Inputs!$B$14*Inputs!$B$17*Inputs!$B$26/(NC15*Inputs!$B$16/0.866)))</f>
        <v>0.00754915521204112</v>
      </c>
      <c r="NL15" s="15" t="n">
        <f aca="false">(NI15-NJ15-NK15)*(1-Inputs!$B$19)</f>
        <v>0.00345930784072454</v>
      </c>
      <c r="NM15" s="15" t="n">
        <f aca="false">(NF15+NG15+NH15+NJ15+NK15+NL15)*(1+Inputs!$B$27)</f>
        <v>0.312532532914904</v>
      </c>
      <c r="NN15" s="15" t="n">
        <f aca="false">Inputs!$B$52/(1-NM15-G15)</f>
        <v>193551.29550737</v>
      </c>
    </row>
    <row r="16" customFormat="false" ht="15" hidden="false" customHeight="false" outlineLevel="0" collapsed="false">
      <c r="A16" s="21" t="s">
        <v>501</v>
      </c>
      <c r="B16" s="21" t="n">
        <v>58</v>
      </c>
      <c r="C16" s="22" t="n">
        <v>0.2</v>
      </c>
      <c r="D16" s="23" t="n">
        <f aca="false">B16*C16</f>
        <v>11.6</v>
      </c>
      <c r="E16" s="24" t="n">
        <f aca="false">IF(C16=0,1,(1+0.45*C16)/(1.04+2.81*C16))</f>
        <v>0.68039950062422</v>
      </c>
      <c r="F16" s="24" t="n">
        <f aca="false">1+Inputs!$B$42*D16</f>
        <v>1.058</v>
      </c>
      <c r="G16" s="25" t="n">
        <f aca="false">Inputs!$B$31+Inputs!$B$43*(B16/Inputs!$B$32-1)+Inputs!$B$44+Inputs!$B$45*D16</f>
        <v>0.5206475</v>
      </c>
      <c r="H16" s="22" t="n">
        <f aca="false">Inputs!$B$38</f>
        <v>0.5</v>
      </c>
      <c r="I16" s="23" t="n">
        <f aca="false">Inputs!$B$40</f>
        <v>2.4</v>
      </c>
      <c r="J16" s="26" t="n">
        <f aca="false">NN16/Inputs!$B$34</f>
        <v>321.567185803282</v>
      </c>
      <c r="K16" s="23" t="n">
        <f aca="false">B16^2/J16</f>
        <v>10.4612664118593</v>
      </c>
      <c r="L16" s="23" t="n">
        <f aca="false">2*K16</f>
        <v>20.9225328237187</v>
      </c>
      <c r="M16" s="22" t="n">
        <f aca="false">NC16</f>
        <v>19.4392182507569</v>
      </c>
      <c r="N16" s="23" t="n">
        <f aca="false">B16/SQRT(E16)</f>
        <v>70.3146793240243</v>
      </c>
      <c r="O16" s="24" t="n">
        <f aca="false">NM16</f>
        <v>0.310258754118653</v>
      </c>
      <c r="P16" s="23" t="n">
        <f aca="false">NN16/1000</f>
        <v>192.940311481969</v>
      </c>
      <c r="Q16" s="23" t="n">
        <f aca="false">G16*NN16/1000</f>
        <v>100.453890822308</v>
      </c>
      <c r="R16" s="23" t="n">
        <f aca="false">NM16*NN16/1000</f>
        <v>59.8614206596605</v>
      </c>
      <c r="S16" s="23" t="n">
        <f aca="false">NM16*NN16/Inputs!$B$28/1000</f>
        <v>79.815227546214</v>
      </c>
      <c r="T16" s="27" t="n">
        <f aca="false">R16/Sweep!$R$5-1</f>
        <v>-0.0421654931865053</v>
      </c>
      <c r="U16" s="27" t="n">
        <f aca="false">R16/SUMIFS(Sweep!$R:$R,Sweep!$A:$A,"Conventional",Sweep!$B:$B,B16)-1</f>
        <v>-0.169982357325244</v>
      </c>
      <c r="V16" s="26" t="n">
        <f aca="false">2*0.54*(J16/2)^1.5/SQRT(L16)*Inputs!$B$46*Inputs!$B$47</f>
        <v>45.0081157087498</v>
      </c>
      <c r="W16" s="28" t="n">
        <f aca="false">MIN(1,V16/S16)</f>
        <v>0.563903870131668</v>
      </c>
      <c r="X16" s="26" t="n">
        <f aca="false">1.23*SQRT(2*Inputs!$B$41*NN16*Inputs!$B$49/(1.225*J16*I16))/0.5144</f>
        <v>133.62967568068</v>
      </c>
      <c r="Y16" s="29" t="n">
        <f aca="false">(11000+6341.6*LN(0.36392/(2*Inputs!$B$50*Inputs!$B$18*(1+ND16)/2*Inputs!$B$34*Inputs!$B$49/((Inputs!$B$12*295.07)^2*H16))))/0.3048</f>
        <v>38603.8935130718</v>
      </c>
      <c r="Z16" s="26" t="n">
        <f aca="false">NN16-MZ16</f>
        <v>-3.73693183064461E-008</v>
      </c>
      <c r="AA16" s="30" t="str">
        <f aca="false">IF(ABS(NN16-MZ16)&lt;10,"Yes","No")</f>
        <v>Yes</v>
      </c>
      <c r="AC16" s="15" t="n">
        <f aca="false">Inputs!$B$52/(1-0.3154-G16)/Inputs!$B$34</f>
        <v>331.650935484363</v>
      </c>
      <c r="AD16" s="15" t="n">
        <f aca="false">B16^2/AC16</f>
        <v>10.1431946666667</v>
      </c>
      <c r="AE16" s="15" t="n">
        <f aca="false">Inputs!$B$54*H16/(Inputs!$B$35*F16+E16*H16^2/(PI()*AD16*Inputs!$B$36))</f>
        <v>19.2792837602637</v>
      </c>
      <c r="AF16" s="15" t="n">
        <f aca="false">EXP(-Inputs!$B$11*Inputs!$B$14*Inputs!$B$17/(Inputs!$B$51*AE16*Inputs!$B$16))</f>
        <v>0.753036760122731</v>
      </c>
      <c r="AG16" s="15" t="n">
        <f aca="false">Inputs!$B$50*Inputs!$B$18*AF16*Inputs!$B$19</f>
        <v>0.735810463939525</v>
      </c>
      <c r="AH16" s="15" t="n">
        <f aca="false">1-AG16</f>
        <v>0.264189536060475</v>
      </c>
      <c r="AI16" s="15" t="n">
        <f aca="false">Inputs!$B$20*AH16</f>
        <v>0.00792568608181426</v>
      </c>
      <c r="AJ16" s="15" t="n">
        <f aca="false">0.8*(1-Inputs!$B$50)*(AG16-AI16)</f>
        <v>0.00175318909902631</v>
      </c>
      <c r="AK16" s="15" t="n">
        <f aca="false">AG16-AI16-AJ16</f>
        <v>0.726131588758684</v>
      </c>
      <c r="AL16" s="15" t="n">
        <f aca="false">AK16*(1-Inputs!$B$18*EXP(-Inputs!$B$21*Inputs!$B$14*Inputs!$B$17/(Inputs!$B$22*Inputs!$B$23*Inputs!$B$24*AE16*Inputs!$B$16))*Inputs!$B$19)</f>
        <v>0.0262942012535801</v>
      </c>
      <c r="AM16" s="15" t="n">
        <f aca="false">(AK16-AL16)*(1-EXP(-Inputs!$B$25*Inputs!$B$14*Inputs!$B$17*Inputs!$B$26/(AE16*Inputs!$B$16/0.866)))</f>
        <v>0.00753910834505579</v>
      </c>
      <c r="AN16" s="15" t="n">
        <f aca="false">(AK16-AL16-AM16)*(1-Inputs!$B$19)</f>
        <v>0.00346149139580024</v>
      </c>
      <c r="AO16" s="15" t="n">
        <f aca="false">(AH16+AI16+AJ16+AL16+AM16+AN16)*(1+Inputs!$B$27)</f>
        <v>0.312096701872459</v>
      </c>
      <c r="AP16" s="15" t="n">
        <f aca="false">Inputs!$B$52/(1-AO16-G16)</f>
        <v>195060.502327829</v>
      </c>
      <c r="AQ16" s="15" t="n">
        <f aca="false">AP16/Inputs!$B$34</f>
        <v>325.100837213048</v>
      </c>
      <c r="AR16" s="15" t="n">
        <f aca="false">B16^2/AQ16</f>
        <v>10.3475587108238</v>
      </c>
      <c r="AS16" s="15" t="n">
        <f aca="false">Inputs!$B$54*H16/(Inputs!$B$35*F16+E16*H16^2/(PI()*AR16*Inputs!$B$36))</f>
        <v>19.3828712253235</v>
      </c>
      <c r="AT16" s="15" t="n">
        <f aca="false">EXP(-Inputs!$B$11*Inputs!$B$14*Inputs!$B$17/(Inputs!$B$51*AS16*Inputs!$B$16))</f>
        <v>0.754179122375931</v>
      </c>
      <c r="AU16" s="15" t="n">
        <f aca="false">Inputs!$B$50*Inputs!$B$18*AT16*Inputs!$B$19</f>
        <v>0.736926693775871</v>
      </c>
      <c r="AV16" s="15" t="n">
        <f aca="false">1-AU16</f>
        <v>0.26307330622413</v>
      </c>
      <c r="AW16" s="15" t="n">
        <f aca="false">Inputs!$B$20*AV16</f>
        <v>0.00789219918672389</v>
      </c>
      <c r="AX16" s="15" t="n">
        <f aca="false">0.8*(1-Inputs!$B$50)*(AU16-AW16)</f>
        <v>0.00175595831594338</v>
      </c>
      <c r="AY16" s="15" t="n">
        <f aca="false">AU16-AW16-AX16</f>
        <v>0.727278536273203</v>
      </c>
      <c r="AZ16" s="15" t="n">
        <f aca="false">AY16*(1-Inputs!$B$18*EXP(-Inputs!$B$21*Inputs!$B$14*Inputs!$B$17/(Inputs!$B$22*Inputs!$B$23*Inputs!$B$24*AS16*Inputs!$B$16))*Inputs!$B$19)</f>
        <v>0.0262729584211787</v>
      </c>
      <c r="BA16" s="15" t="n">
        <f aca="false">(AY16-AZ16)*(1-EXP(-Inputs!$B$25*Inputs!$B$14*Inputs!$B$17*Inputs!$B$26/(AS16*Inputs!$B$16/0.866)))</f>
        <v>0.00751155151474006</v>
      </c>
      <c r="BB16" s="15" t="n">
        <f aca="false">(AY16-AZ16-BA16)*(1-Inputs!$B$19)</f>
        <v>0.00346747013168643</v>
      </c>
      <c r="BC16" s="15" t="n">
        <f aca="false">(AV16+AW16+AX16+AZ16+BA16+BB16)*(1+Inputs!$B$27)</f>
        <v>0.310903364125785</v>
      </c>
      <c r="BD16" s="15" t="n">
        <f aca="false">Inputs!$B$52/(1-BC16-G16)</f>
        <v>193678.642699372</v>
      </c>
      <c r="BE16" s="15" t="n">
        <f aca="false">BD16/Inputs!$B$34</f>
        <v>322.797737832287</v>
      </c>
      <c r="BF16" s="15" t="n">
        <f aca="false">B16^2/BE16</f>
        <v>10.4213865394181</v>
      </c>
      <c r="BG16" s="15" t="n">
        <f aca="false">Inputs!$B$54*H16/(Inputs!$B$35*F16+E16*H16^2/(PI()*BF16*Inputs!$B$36))</f>
        <v>19.419558929396</v>
      </c>
      <c r="BH16" s="15" t="n">
        <f aca="false">EXP(-Inputs!$B$11*Inputs!$B$14*Inputs!$B$17/(Inputs!$B$51*BG16*Inputs!$B$16))</f>
        <v>0.754581203396429</v>
      </c>
      <c r="BI16" s="15" t="n">
        <f aca="false">Inputs!$B$50*Inputs!$B$18*BH16*Inputs!$B$19</f>
        <v>0.737319576883178</v>
      </c>
      <c r="BJ16" s="15" t="n">
        <f aca="false">1-BI16</f>
        <v>0.262680423116822</v>
      </c>
      <c r="BK16" s="15" t="n">
        <f aca="false">Inputs!$B$20*BJ16</f>
        <v>0.00788041269350465</v>
      </c>
      <c r="BL16" s="15" t="n">
        <f aca="false">0.8*(1-Inputs!$B$50)*(BI16-BK16)</f>
        <v>0.00175693300638056</v>
      </c>
      <c r="BM16" s="15" t="n">
        <f aca="false">BI16-BK16-BL16</f>
        <v>0.727682231183293</v>
      </c>
      <c r="BN16" s="15" t="n">
        <f aca="false">BM16*(1-Inputs!$B$18*EXP(-Inputs!$B$21*Inputs!$B$14*Inputs!$B$17/(Inputs!$B$22*Inputs!$B$23*Inputs!$B$24*BG16*Inputs!$B$16))*Inputs!$B$19)</f>
        <v>0.0262654556989939</v>
      </c>
      <c r="BO16" s="15" t="n">
        <f aca="false">(BM16-BN16)*(1-EXP(-Inputs!$B$25*Inputs!$B$14*Inputs!$B$17*Inputs!$B$26/(BG16*Inputs!$B$16/0.866)))</f>
        <v>0.00750183461147229</v>
      </c>
      <c r="BP16" s="15" t="n">
        <f aca="false">(BM16-BN16-BO16)*(1-Inputs!$B$19)</f>
        <v>0.00346957470436414</v>
      </c>
      <c r="BQ16" s="15" t="n">
        <f aca="false">(BJ16+BK16+BL16+BN16+BO16+BP16)*(1+Inputs!$B$27)</f>
        <v>0.310483297733032</v>
      </c>
      <c r="BR16" s="15" t="n">
        <f aca="false">Inputs!$B$52/(1-BQ16-G16)</f>
        <v>193196.862198843</v>
      </c>
      <c r="BS16" s="15" t="n">
        <f aca="false">BR16/Inputs!$B$34</f>
        <v>321.994770331405</v>
      </c>
      <c r="BT16" s="15" t="n">
        <f aca="false">B16^2/BS16</f>
        <v>10.4473746469164</v>
      </c>
      <c r="BU16" s="15" t="n">
        <f aca="false">Inputs!$B$54*H16/(Inputs!$B$35*F16+E16*H16^2/(PI()*BT16*Inputs!$B$36))</f>
        <v>19.4323826417233</v>
      </c>
      <c r="BV16" s="15" t="n">
        <f aca="false">EXP(-Inputs!$B$11*Inputs!$B$14*Inputs!$B$17/(Inputs!$B$51*BU16*Inputs!$B$16))</f>
        <v>0.754721437921745</v>
      </c>
      <c r="BW16" s="15" t="n">
        <f aca="false">Inputs!$B$50*Inputs!$B$18*BV16*Inputs!$B$19</f>
        <v>0.737456603435661</v>
      </c>
      <c r="BX16" s="15" t="n">
        <f aca="false">1-BW16</f>
        <v>0.262543396564339</v>
      </c>
      <c r="BY16" s="15" t="n">
        <f aca="false">Inputs!$B$20*BX16</f>
        <v>0.00787630189693016</v>
      </c>
      <c r="BZ16" s="15" t="n">
        <f aca="false">0.8*(1-Inputs!$B$50)*(BW16-BY16)</f>
        <v>0.0017572729509286</v>
      </c>
      <c r="CA16" s="15" t="n">
        <f aca="false">BW16-BY16-BZ16</f>
        <v>0.727823028587803</v>
      </c>
      <c r="CB16" s="15" t="n">
        <f aca="false">CA16*(1-Inputs!$B$18*EXP(-Inputs!$B$21*Inputs!$B$14*Inputs!$B$17/(Inputs!$B$22*Inputs!$B$23*Inputs!$B$24*BU16*Inputs!$B$16))*Inputs!$B$19)</f>
        <v>0.0262628358021303</v>
      </c>
      <c r="CC16" s="15" t="n">
        <f aca="false">(CA16-CB16)*(1-EXP(-Inputs!$B$25*Inputs!$B$14*Inputs!$B$17*Inputs!$B$26/(BU16*Inputs!$B$16/0.866)))</f>
        <v>0.00749844347127416</v>
      </c>
      <c r="CD16" s="15" t="n">
        <f aca="false">(CA16-CB16-CC16)*(1-Inputs!$B$19)</f>
        <v>0.00347030874657199</v>
      </c>
      <c r="CE16" s="15" t="n">
        <f aca="false">(BX16+BY16+BZ16+CB16+CC16+CD16)*(1+Inputs!$B$27)</f>
        <v>0.31033678511047</v>
      </c>
      <c r="CF16" s="15" t="n">
        <f aca="false">Inputs!$B$52/(1-CE16-G16)</f>
        <v>193029.387955576</v>
      </c>
      <c r="CG16" s="15" t="n">
        <f aca="false">CF16/Inputs!$B$34</f>
        <v>321.715646592626</v>
      </c>
      <c r="CH16" s="15" t="n">
        <f aca="false">B16^2/CG16</f>
        <v>10.4564388944989</v>
      </c>
      <c r="CI16" s="15" t="n">
        <f aca="false">Inputs!$B$54*H16/(Inputs!$B$35*F16+E16*H16^2/(PI()*CH16*Inputs!$B$36))</f>
        <v>19.4368443273595</v>
      </c>
      <c r="CJ16" s="15" t="n">
        <f aca="false">EXP(-Inputs!$B$11*Inputs!$B$14*Inputs!$B$17/(Inputs!$B$51*CI16*Inputs!$B$16))</f>
        <v>0.754770191683705</v>
      </c>
      <c r="CK16" s="15" t="n">
        <f aca="false">Inputs!$B$50*Inputs!$B$18*CJ16*Inputs!$B$19</f>
        <v>0.737504241917747</v>
      </c>
      <c r="CL16" s="15" t="n">
        <f aca="false">1-CK16</f>
        <v>0.262495758082253</v>
      </c>
      <c r="CM16" s="15" t="n">
        <f aca="false">Inputs!$B$20*CL16</f>
        <v>0.0078748727424676</v>
      </c>
      <c r="CN16" s="15" t="n">
        <f aca="false">0.8*(1-Inputs!$B$50)*(CK16-CM16)</f>
        <v>0.00175739113563053</v>
      </c>
      <c r="CO16" s="15" t="n">
        <f aca="false">CK16-CM16-CN16</f>
        <v>0.727871978039649</v>
      </c>
      <c r="CP16" s="15" t="n">
        <f aca="false">CO16*(1-Inputs!$B$18*EXP(-Inputs!$B$21*Inputs!$B$14*Inputs!$B$17/(Inputs!$B$22*Inputs!$B$23*Inputs!$B$24*CI16*Inputs!$B$16))*Inputs!$B$19)</f>
        <v>0.0262619245894103</v>
      </c>
      <c r="CQ16" s="15" t="n">
        <f aca="false">(CO16-CP16)*(1-EXP(-Inputs!$B$25*Inputs!$B$14*Inputs!$B$17*Inputs!$B$26/(CI16*Inputs!$B$16/0.866)))</f>
        <v>0.00749726425023836</v>
      </c>
      <c r="CR16" s="15" t="n">
        <f aca="false">(CO16-CP16-CQ16)*(1-Inputs!$B$19)</f>
        <v>0.003470563946</v>
      </c>
      <c r="CS16" s="15" t="n">
        <f aca="false">(CL16+CM16+CN16+CP16+CQ16+CR16)*(1+Inputs!$B$27)</f>
        <v>0.310285848070238</v>
      </c>
      <c r="CT16" s="15" t="n">
        <f aca="false">Inputs!$B$52/(1-CS16-G16)</f>
        <v>192971.231331617</v>
      </c>
      <c r="CU16" s="15" t="n">
        <f aca="false">CT16/Inputs!$B$34</f>
        <v>321.618718886028</v>
      </c>
      <c r="CV16" s="15" t="n">
        <f aca="false">B16^2/CU16</f>
        <v>10.4595901993879</v>
      </c>
      <c r="CW16" s="15" t="n">
        <f aca="false">Inputs!$B$54*H16/(Inputs!$B$35*F16+E16*H16^2/(PI()*CV16*Inputs!$B$36))</f>
        <v>19.4383941587798</v>
      </c>
      <c r="CX16" s="15" t="n">
        <f aca="false">EXP(-Inputs!$B$11*Inputs!$B$14*Inputs!$B$17/(Inputs!$B$51*CW16*Inputs!$B$16))</f>
        <v>0.754787122511545</v>
      </c>
      <c r="CY16" s="15" t="n">
        <f aca="false">Inputs!$B$50*Inputs!$B$18*CX16*Inputs!$B$19</f>
        <v>0.737520785439853</v>
      </c>
      <c r="CZ16" s="15" t="n">
        <f aca="false">1-CY16</f>
        <v>0.262479214560147</v>
      </c>
      <c r="DA16" s="15" t="n">
        <f aca="false">Inputs!$B$20*CZ16</f>
        <v>0.00787437643680441</v>
      </c>
      <c r="DB16" s="15" t="n">
        <f aca="false">0.8*(1-Inputs!$B$50)*(CY16-DA16)</f>
        <v>0.00175743217789602</v>
      </c>
      <c r="DC16" s="15" t="n">
        <f aca="false">CY16-DA16-DB16</f>
        <v>0.727888976825153</v>
      </c>
      <c r="DD16" s="15" t="n">
        <f aca="false">DC16*(1-Inputs!$B$18*EXP(-Inputs!$B$21*Inputs!$B$14*Inputs!$B$17/(Inputs!$B$22*Inputs!$B$23*Inputs!$B$24*CW16*Inputs!$B$16))*Inputs!$B$19)</f>
        <v>0.0262616081043572</v>
      </c>
      <c r="DE16" s="15" t="n">
        <f aca="false">(DC16-DD16)*(1-EXP(-Inputs!$B$25*Inputs!$B$14*Inputs!$B$17*Inputs!$B$26/(CW16*Inputs!$B$16/0.866)))</f>
        <v>0.00749685470796426</v>
      </c>
      <c r="DF16" s="15" t="n">
        <f aca="false">(DC16-DD16-DE16)*(1-Inputs!$B$19)</f>
        <v>0.00347065257006416</v>
      </c>
      <c r="DG16" s="15" t="n">
        <f aca="false">(CZ16+DA16+DB16+DD16+DE16+DF16)*(1+Inputs!$B$27)</f>
        <v>0.310268158972905</v>
      </c>
      <c r="DH16" s="15" t="n">
        <f aca="false">Inputs!$B$52/(1-DG16-G16)</f>
        <v>192951.043259363</v>
      </c>
      <c r="DI16" s="15" t="n">
        <f aca="false">DH16/Inputs!$B$34</f>
        <v>321.585072098939</v>
      </c>
      <c r="DJ16" s="15" t="n">
        <f aca="false">B16^2/DI16</f>
        <v>10.4606845648763</v>
      </c>
      <c r="DK16" s="15" t="n">
        <f aca="false">Inputs!$B$54*H16/(Inputs!$B$35*F16+E16*H16^2/(PI()*DJ16*Inputs!$B$36))</f>
        <v>19.4389322139057</v>
      </c>
      <c r="DL16" s="15" t="n">
        <f aca="false">EXP(-Inputs!$B$11*Inputs!$B$14*Inputs!$B$17/(Inputs!$B$51*DK16*Inputs!$B$16))</f>
        <v>0.754792999846177</v>
      </c>
      <c r="DM16" s="15" t="n">
        <f aca="false">Inputs!$B$50*Inputs!$B$18*DL16*Inputs!$B$19</f>
        <v>0.737526528325927</v>
      </c>
      <c r="DN16" s="15" t="n">
        <f aca="false">1-DM16</f>
        <v>0.262473471674073</v>
      </c>
      <c r="DO16" s="15" t="n">
        <f aca="false">Inputs!$B$20*DN16</f>
        <v>0.0078742041502222</v>
      </c>
      <c r="DP16" s="15" t="n">
        <f aca="false">0.8*(1-Inputs!$B$50)*(DM16-DO16)</f>
        <v>0.0017574464252282</v>
      </c>
      <c r="DQ16" s="15" t="n">
        <f aca="false">DM16-DO16-DP16</f>
        <v>0.727894877750476</v>
      </c>
      <c r="DR16" s="15" t="n">
        <f aca="false">DQ16*(1-Inputs!$B$18*EXP(-Inputs!$B$21*Inputs!$B$14*Inputs!$B$17/(Inputs!$B$22*Inputs!$B$23*Inputs!$B$24*DK16*Inputs!$B$16))*Inputs!$B$19)</f>
        <v>0.0262614982347858</v>
      </c>
      <c r="DS16" s="15" t="n">
        <f aca="false">(DQ16-DR16)*(1-EXP(-Inputs!$B$25*Inputs!$B$14*Inputs!$B$17*Inputs!$B$26/(DK16*Inputs!$B$16/0.866)))</f>
        <v>0.00749671253645324</v>
      </c>
      <c r="DT16" s="15" t="n">
        <f aca="false">(DQ16-DR16-DS16)*(1-Inputs!$B$19)</f>
        <v>0.00347068333489619</v>
      </c>
      <c r="DU16" s="15" t="n">
        <f aca="false">(DN16+DO16+DP16+DR16+DS16+DT16)*(1+Inputs!$B$27)</f>
        <v>0.310262018404726</v>
      </c>
      <c r="DV16" s="15" t="n">
        <f aca="false">Inputs!$B$52/(1-DU16-G16)</f>
        <v>192944.036188208</v>
      </c>
      <c r="DW16" s="15" t="n">
        <f aca="false">DV16/Inputs!$B$34</f>
        <v>321.573393647013</v>
      </c>
      <c r="DX16" s="15" t="n">
        <f aca="false">B16^2/DW16</f>
        <v>10.4610644613609</v>
      </c>
      <c r="DY16" s="15" t="n">
        <f aca="false">Inputs!$B$54*H16/(Inputs!$B$35*F16+E16*H16^2/(PI()*DX16*Inputs!$B$36))</f>
        <v>19.4391189742407</v>
      </c>
      <c r="DZ16" s="15" t="n">
        <f aca="false">EXP(-Inputs!$B$11*Inputs!$B$14*Inputs!$B$17/(Inputs!$B$51*DY16*Inputs!$B$16))</f>
        <v>0.754795039818962</v>
      </c>
      <c r="EA16" s="15" t="n">
        <f aca="false">Inputs!$B$50*Inputs!$B$18*DZ16*Inputs!$B$19</f>
        <v>0.737528521632762</v>
      </c>
      <c r="EB16" s="15" t="n">
        <f aca="false">1-EA16</f>
        <v>0.262471478367239</v>
      </c>
      <c r="EC16" s="15" t="n">
        <f aca="false">Inputs!$B$20*EB16</f>
        <v>0.00787414435101715</v>
      </c>
      <c r="ED16" s="15" t="n">
        <f aca="false">0.8*(1-Inputs!$B$50)*(EA16-EC16)</f>
        <v>0.00175745137035583</v>
      </c>
      <c r="EE16" s="15" t="n">
        <f aca="false">EA16-EC16-ED16</f>
        <v>0.727896925911388</v>
      </c>
      <c r="EF16" s="15" t="n">
        <f aca="false">EE16*(1-Inputs!$B$18*EXP(-Inputs!$B$21*Inputs!$B$14*Inputs!$B$17/(Inputs!$B$22*Inputs!$B$23*Inputs!$B$24*DY16*Inputs!$B$16))*Inputs!$B$19)</f>
        <v>0.026261460099323</v>
      </c>
      <c r="EG16" s="15" t="n">
        <f aca="false">(EE16-EF16)*(1-EXP(-Inputs!$B$25*Inputs!$B$14*Inputs!$B$17*Inputs!$B$26/(DY16*Inputs!$B$16/0.866)))</f>
        <v>0.00749666318947462</v>
      </c>
      <c r="EH16" s="15" t="n">
        <f aca="false">(EE16-EF16-EG16)*(1-Inputs!$B$19)</f>
        <v>0.00347069401311296</v>
      </c>
      <c r="EI16" s="15" t="n">
        <f aca="false">(EB16+EC16+ED16+EF16+EG16+EH16)*(1+Inputs!$B$27)</f>
        <v>0.310259887064694</v>
      </c>
      <c r="EJ16" s="15" t="n">
        <f aca="false">Inputs!$B$52/(1-EI16-G16)</f>
        <v>192941.604211191</v>
      </c>
      <c r="EK16" s="15" t="n">
        <f aca="false">EJ16/Inputs!$B$34</f>
        <v>321.569340351985</v>
      </c>
      <c r="EL16" s="15" t="n">
        <f aca="false">B16^2/EK16</f>
        <v>10.4611963202643</v>
      </c>
      <c r="EM16" s="15" t="n">
        <f aca="false">Inputs!$B$54*H16/(Inputs!$B$35*F16+E16*H16^2/(PI()*EL16*Inputs!$B$36))</f>
        <v>19.4391837948641</v>
      </c>
      <c r="EN16" s="15" t="n">
        <f aca="false">EXP(-Inputs!$B$11*Inputs!$B$14*Inputs!$B$17/(Inputs!$B$51*EM16*Inputs!$B$16))</f>
        <v>0.754795747843163</v>
      </c>
      <c r="EO16" s="15" t="n">
        <f aca="false">Inputs!$B$50*Inputs!$B$18*EN16*Inputs!$B$19</f>
        <v>0.737529213460364</v>
      </c>
      <c r="EP16" s="15" t="n">
        <f aca="false">1-EO16</f>
        <v>0.262470786539637</v>
      </c>
      <c r="EQ16" s="15" t="n">
        <f aca="false">Inputs!$B$20*EP16</f>
        <v>0.0078741235961891</v>
      </c>
      <c r="ER16" s="15" t="n">
        <f aca="false">0.8*(1-Inputs!$B$50)*(EO16-EQ16)</f>
        <v>0.00175745308668757</v>
      </c>
      <c r="ES16" s="15" t="n">
        <f aca="false">EO16-EQ16-ER16</f>
        <v>0.727897636777487</v>
      </c>
      <c r="ET16" s="15" t="n">
        <f aca="false">ES16*(1-Inputs!$B$18*EXP(-Inputs!$B$21*Inputs!$B$14*Inputs!$B$17/(Inputs!$B$22*Inputs!$B$23*Inputs!$B$24*EM16*Inputs!$B$16))*Inputs!$B$19)</f>
        <v>0.0262614468633642</v>
      </c>
      <c r="EU16" s="15" t="n">
        <f aca="false">(ES16-ET16)*(1-EXP(-Inputs!$B$25*Inputs!$B$14*Inputs!$B$17*Inputs!$B$26/(EM16*Inputs!$B$16/0.866)))</f>
        <v>0.00749664606230122</v>
      </c>
      <c r="EV16" s="15" t="n">
        <f aca="false">(ES16-ET16-EU16)*(1-Inputs!$B$19)</f>
        <v>0.00347069771925911</v>
      </c>
      <c r="EW16" s="15" t="n">
        <f aca="false">(EP16+EQ16+ER16+ET16+EU16+EV16)*(1+Inputs!$B$27)</f>
        <v>0.31025914732904</v>
      </c>
      <c r="EX16" s="15" t="n">
        <f aca="false">Inputs!$B$52/(1-EW16-G16)</f>
        <v>192940.760146173</v>
      </c>
      <c r="EY16" s="15" t="n">
        <f aca="false">EX16/Inputs!$B$34</f>
        <v>321.567933576956</v>
      </c>
      <c r="EZ16" s="15" t="n">
        <f aca="false">B16^2/EY16</f>
        <v>10.4612420852434</v>
      </c>
      <c r="FA16" s="15" t="n">
        <f aca="false">Inputs!$B$54*H16/(Inputs!$B$35*F16+E16*H16^2/(PI()*EZ16*Inputs!$B$36))</f>
        <v>19.4392062922257</v>
      </c>
      <c r="FB16" s="15" t="n">
        <f aca="false">EXP(-Inputs!$B$11*Inputs!$B$14*Inputs!$B$17/(Inputs!$B$51*FA16*Inputs!$B$16))</f>
        <v>0.754795993576915</v>
      </c>
      <c r="FC16" s="15" t="n">
        <f aca="false">Inputs!$B$50*Inputs!$B$18*FB16*Inputs!$B$19</f>
        <v>0.737529453572767</v>
      </c>
      <c r="FD16" s="15" t="n">
        <f aca="false">1-FC16</f>
        <v>0.262470546427233</v>
      </c>
      <c r="FE16" s="15" t="n">
        <f aca="false">Inputs!$B$20*FD16</f>
        <v>0.007874116392817</v>
      </c>
      <c r="FF16" s="15" t="n">
        <f aca="false">0.8*(1-Inputs!$B$50)*(FC16-FE16)</f>
        <v>0.00175745368237433</v>
      </c>
      <c r="FG16" s="15" t="n">
        <f aca="false">FC16-FE16-FF16</f>
        <v>0.727897883497575</v>
      </c>
      <c r="FH16" s="15" t="n">
        <f aca="false">FG16*(1-Inputs!$B$18*EXP(-Inputs!$B$21*Inputs!$B$14*Inputs!$B$17/(Inputs!$B$22*Inputs!$B$23*Inputs!$B$24*FA16*Inputs!$B$16))*Inputs!$B$19)</f>
        <v>0.0262614422695543</v>
      </c>
      <c r="FI16" s="15" t="n">
        <f aca="false">(FG16-FH16)*(1-EXP(-Inputs!$B$25*Inputs!$B$14*Inputs!$B$17*Inputs!$B$26/(FA16*Inputs!$B$16/0.866)))</f>
        <v>0.00749664011797145</v>
      </c>
      <c r="FJ16" s="15" t="n">
        <f aca="false">(FG16-FH16-FI16)*(1-Inputs!$B$19)</f>
        <v>0.00347069900555025</v>
      </c>
      <c r="FK16" s="15" t="n">
        <f aca="false">(FD16+FE16+FF16+FH16+FI16+FJ16)*(1+Inputs!$B$27)</f>
        <v>0.310258890589187</v>
      </c>
      <c r="FL16" s="15" t="n">
        <f aca="false">Inputs!$B$52/(1-FK16-G16)</f>
        <v>192940.467198483</v>
      </c>
      <c r="FM16" s="15" t="n">
        <f aca="false">FL16/Inputs!$B$34</f>
        <v>321.567445330805</v>
      </c>
      <c r="FN16" s="15" t="n">
        <f aca="false">B16^2/FM16</f>
        <v>10.4612579688823</v>
      </c>
      <c r="FO16" s="15" t="n">
        <f aca="false">Inputs!$B$54*H16/(Inputs!$B$35*F16+E16*H16^2/(PI()*FN16*Inputs!$B$36))</f>
        <v>19.439214100345</v>
      </c>
      <c r="FP16" s="15" t="n">
        <f aca="false">EXP(-Inputs!$B$11*Inputs!$B$14*Inputs!$B$17/(Inputs!$B$51*FO16*Inputs!$B$16))</f>
        <v>0.754796078863178</v>
      </c>
      <c r="FQ16" s="15" t="n">
        <f aca="false">Inputs!$B$50*Inputs!$B$18*FP16*Inputs!$B$19</f>
        <v>0.73752953690804</v>
      </c>
      <c r="FR16" s="15" t="n">
        <f aca="false">1-FQ16</f>
        <v>0.26247046309196</v>
      </c>
      <c r="FS16" s="15" t="n">
        <f aca="false">Inputs!$B$20*FR16</f>
        <v>0.00787411389275879</v>
      </c>
      <c r="FT16" s="15" t="n">
        <f aca="false">0.8*(1-Inputs!$B$50)*(FQ16-FS16)</f>
        <v>0.00175745388911799</v>
      </c>
      <c r="FU16" s="15" t="n">
        <f aca="false">FQ16-FS16-FT16</f>
        <v>0.727897969126164</v>
      </c>
      <c r="FV16" s="15" t="n">
        <f aca="false">FU16*(1-Inputs!$B$18*EXP(-Inputs!$B$21*Inputs!$B$14*Inputs!$B$17/(Inputs!$B$22*Inputs!$B$23*Inputs!$B$24*FO16*Inputs!$B$16))*Inputs!$B$19)</f>
        <v>0.0262614406751897</v>
      </c>
      <c r="FW16" s="15" t="n">
        <f aca="false">(FU16-FV16)*(1-EXP(-Inputs!$B$25*Inputs!$B$14*Inputs!$B$17*Inputs!$B$26/(FO16*Inputs!$B$16/0.866)))</f>
        <v>0.00749663805488551</v>
      </c>
      <c r="FX16" s="15" t="n">
        <f aca="false">(FU16-FV16-FW16)*(1-Inputs!$B$19)</f>
        <v>0.00347069945198045</v>
      </c>
      <c r="FY16" s="15" t="n">
        <f aca="false">(FR16+FS16+FT16+FV16+FW16+FX16)*(1+Inputs!$B$27)</f>
        <v>0.31025880148306</v>
      </c>
      <c r="FZ16" s="15" t="n">
        <f aca="false">Inputs!$B$52/(1-FY16-G16)</f>
        <v>192940.36552599</v>
      </c>
      <c r="GA16" s="15" t="n">
        <f aca="false">FZ16/Inputs!$B$34</f>
        <v>321.56727587665</v>
      </c>
      <c r="GB16" s="15" t="n">
        <f aca="false">B16^2/GA16</f>
        <v>10.4612634815814</v>
      </c>
      <c r="GC16" s="15" t="n">
        <f aca="false">Inputs!$B$54*H16/(Inputs!$B$35*F16+E16*H16^2/(PI()*GB16*Inputs!$B$36))</f>
        <v>19.4392168102875</v>
      </c>
      <c r="GD16" s="15" t="n">
        <f aca="false">EXP(-Inputs!$B$11*Inputs!$B$14*Inputs!$B$17/(Inputs!$B$51*GC16*Inputs!$B$16))</f>
        <v>0.754796108463232</v>
      </c>
      <c r="GE16" s="15" t="n">
        <f aca="false">Inputs!$B$50*Inputs!$B$18*GD16*Inputs!$B$19</f>
        <v>0.737529565830971</v>
      </c>
      <c r="GF16" s="15" t="n">
        <f aca="false">1-GE16</f>
        <v>0.262470434169029</v>
      </c>
      <c r="GG16" s="15" t="n">
        <f aca="false">Inputs!$B$20*GF16</f>
        <v>0.00787411302507087</v>
      </c>
      <c r="GH16" s="15" t="n">
        <f aca="false">0.8*(1-Inputs!$B$50)*(GE16-GG16)</f>
        <v>0.00175745396087191</v>
      </c>
      <c r="GI16" s="15" t="n">
        <f aca="false">GE16-GG16-GH16</f>
        <v>0.727897998845028</v>
      </c>
      <c r="GJ16" s="15" t="n">
        <f aca="false">GI16*(1-Inputs!$B$18*EXP(-Inputs!$B$21*Inputs!$B$14*Inputs!$B$17/(Inputs!$B$22*Inputs!$B$23*Inputs!$B$24*GC16*Inputs!$B$16))*Inputs!$B$19)</f>
        <v>0.0262614401218381</v>
      </c>
      <c r="GK16" s="15" t="n">
        <f aca="false">(GI16-GJ16)*(1-EXP(-Inputs!$B$25*Inputs!$B$14*Inputs!$B$17*Inputs!$B$26/(GC16*Inputs!$B$16/0.866)))</f>
        <v>0.00749663733885616</v>
      </c>
      <c r="GL16" s="15" t="n">
        <f aca="false">(GI16-GJ16-GK16)*(1-Inputs!$B$19)</f>
        <v>0.00347069960692167</v>
      </c>
      <c r="GM16" s="15" t="n">
        <f aca="false">(GF16+GG16+GH16+GJ16+GK16+GL16)*(1+Inputs!$B$27)</f>
        <v>0.310258770557255</v>
      </c>
      <c r="GN16" s="15" t="n">
        <f aca="false">Inputs!$B$52/(1-GM16-G16)</f>
        <v>192940.330238839</v>
      </c>
      <c r="GO16" s="15" t="n">
        <f aca="false">GN16/Inputs!$B$34</f>
        <v>321.567217064732</v>
      </c>
      <c r="GP16" s="15" t="n">
        <f aca="false">B16^2/GO16</f>
        <v>10.4612653948578</v>
      </c>
      <c r="GQ16" s="15" t="n">
        <f aca="false">Inputs!$B$54*H16/(Inputs!$B$35*F16+E16*H16^2/(PI()*GP16*Inputs!$B$36))</f>
        <v>19.4392177508189</v>
      </c>
      <c r="GR16" s="15" t="n">
        <f aca="false">EXP(-Inputs!$B$11*Inputs!$B$14*Inputs!$B$17/(Inputs!$B$51*GQ16*Inputs!$B$16))</f>
        <v>0.75479611873643</v>
      </c>
      <c r="GS16" s="15" t="n">
        <f aca="false">Inputs!$B$50*Inputs!$B$18*GR16*Inputs!$B$19</f>
        <v>0.737529575869161</v>
      </c>
      <c r="GT16" s="15" t="n">
        <f aca="false">1-GS16</f>
        <v>0.262470424130839</v>
      </c>
      <c r="GU16" s="15" t="n">
        <f aca="false">Inputs!$B$20*GT16</f>
        <v>0.00787411272392516</v>
      </c>
      <c r="GV16" s="15" t="n">
        <f aca="false">0.8*(1-Inputs!$B$50)*(GS16-GU16)</f>
        <v>0.00175745398577532</v>
      </c>
      <c r="GW16" s="15" t="n">
        <f aca="false">GS16-GU16-GV16</f>
        <v>0.727898009159461</v>
      </c>
      <c r="GX16" s="15" t="n">
        <f aca="false">GW16*(1-Inputs!$B$18*EXP(-Inputs!$B$21*Inputs!$B$14*Inputs!$B$17/(Inputs!$B$22*Inputs!$B$23*Inputs!$B$24*GQ16*Inputs!$B$16))*Inputs!$B$19)</f>
        <v>0.0262614399297881</v>
      </c>
      <c r="GY16" s="15" t="n">
        <f aca="false">(GW16-GX16)*(1-EXP(-Inputs!$B$25*Inputs!$B$14*Inputs!$B$17*Inputs!$B$26/(GQ16*Inputs!$B$16/0.866)))</f>
        <v>0.00749663709034612</v>
      </c>
      <c r="GZ16" s="15" t="n">
        <f aca="false">(GW16-GX16-GY16)*(1-Inputs!$B$19)</f>
        <v>0.00347069966069664</v>
      </c>
      <c r="HA16" s="15" t="n">
        <f aca="false">(GT16+GU16+GV16+GX16+GY16+GZ16)*(1+Inputs!$B$27)</f>
        <v>0.310258759823934</v>
      </c>
      <c r="HB16" s="15" t="n">
        <f aca="false">Inputs!$B$52/(1-HA16-G16)</f>
        <v>192940.317991842</v>
      </c>
      <c r="HC16" s="15" t="n">
        <f aca="false">HB16/Inputs!$B$34</f>
        <v>321.56719665307</v>
      </c>
      <c r="HD16" s="15" t="n">
        <f aca="false">B16^2/HC16</f>
        <v>10.4612660588926</v>
      </c>
      <c r="HE16" s="15" t="n">
        <f aca="false">Inputs!$B$54*H16/(Inputs!$B$35*F16+E16*H16^2/(PI()*HD16*Inputs!$B$36))</f>
        <v>19.439218077246</v>
      </c>
      <c r="HF16" s="15" t="n">
        <f aca="false">EXP(-Inputs!$B$11*Inputs!$B$14*Inputs!$B$17/(Inputs!$B$51*HE16*Inputs!$B$16))</f>
        <v>0.754796122301915</v>
      </c>
      <c r="HG16" s="15" t="n">
        <f aca="false">Inputs!$B$50*Inputs!$B$18*HF16*Inputs!$B$19</f>
        <v>0.737529579353084</v>
      </c>
      <c r="HH16" s="15" t="n">
        <f aca="false">1-HG16</f>
        <v>0.262470420646916</v>
      </c>
      <c r="HI16" s="15" t="n">
        <f aca="false">Inputs!$B$20*HH16</f>
        <v>0.00787411261940749</v>
      </c>
      <c r="HJ16" s="15" t="n">
        <f aca="false">0.8*(1-Inputs!$B$50)*(HG16-HI16)</f>
        <v>0.00175745399441847</v>
      </c>
      <c r="HK16" s="15" t="n">
        <f aca="false">HG16-HI16-HJ16</f>
        <v>0.727898012739258</v>
      </c>
      <c r="HL16" s="15" t="n">
        <f aca="false">HK16*(1-Inputs!$B$18*EXP(-Inputs!$B$21*Inputs!$B$14*Inputs!$B$17/(Inputs!$B$22*Inputs!$B$23*Inputs!$B$24*HE16*Inputs!$B$16))*Inputs!$B$19)</f>
        <v>0.026261439863134</v>
      </c>
      <c r="HM16" s="15" t="n">
        <f aca="false">(HK16-HL16)*(1-EXP(-Inputs!$B$25*Inputs!$B$14*Inputs!$B$17*Inputs!$B$26/(HE16*Inputs!$B$16/0.866)))</f>
        <v>0.00749663700409652</v>
      </c>
      <c r="HN16" s="15" t="n">
        <f aca="false">(HK16-HL16-HM16)*(1-Inputs!$B$19)</f>
        <v>0.00347069967936014</v>
      </c>
      <c r="HO16" s="15" t="n">
        <f aca="false">(HH16+HI16+HJ16+HL16+HM16+HN16)*(1+Inputs!$B$27)</f>
        <v>0.310258756098755</v>
      </c>
      <c r="HP16" s="15" t="n">
        <f aca="false">Inputs!$B$52/(1-HO16-G16)</f>
        <v>192940.313741316</v>
      </c>
      <c r="HQ16" s="15" t="n">
        <f aca="false">HP16/Inputs!$B$34</f>
        <v>321.567189568861</v>
      </c>
      <c r="HR16" s="15" t="n">
        <f aca="false">B16^2/HQ16</f>
        <v>10.461266289357</v>
      </c>
      <c r="HS16" s="15" t="n">
        <f aca="false">Inputs!$B$54*H16/(Inputs!$B$35*F16+E16*H16^2/(PI()*HR16*Inputs!$B$36))</f>
        <v>19.4392181905381</v>
      </c>
      <c r="HT16" s="15" t="n">
        <f aca="false">EXP(-Inputs!$B$11*Inputs!$B$14*Inputs!$B$17/(Inputs!$B$51*HS16*Inputs!$B$16))</f>
        <v>0.754796123539377</v>
      </c>
      <c r="HU16" s="15" t="n">
        <f aca="false">Inputs!$B$50*Inputs!$B$18*HT16*Inputs!$B$19</f>
        <v>0.737529580562237</v>
      </c>
      <c r="HV16" s="15" t="n">
        <f aca="false">1-HU16</f>
        <v>0.262470419437763</v>
      </c>
      <c r="HW16" s="15" t="n">
        <f aca="false">Inputs!$B$20*HV16</f>
        <v>0.00787411258313289</v>
      </c>
      <c r="HX16" s="15" t="n">
        <f aca="false">0.8*(1-Inputs!$B$50)*(HU16-HW16)</f>
        <v>0.00175745399741822</v>
      </c>
      <c r="HY16" s="15" t="n">
        <f aca="false">HU16-HW16-HX16</f>
        <v>0.727898013981686</v>
      </c>
      <c r="HZ16" s="15" t="n">
        <f aca="false">HY16*(1-Inputs!$B$18*EXP(-Inputs!$B$21*Inputs!$B$14*Inputs!$B$17/(Inputs!$B$22*Inputs!$B$23*Inputs!$B$24*HS16*Inputs!$B$16))*Inputs!$B$19)</f>
        <v>0.0262614398400005</v>
      </c>
      <c r="IA16" s="15" t="n">
        <f aca="false">(HY16-HZ16)*(1-EXP(-Inputs!$B$25*Inputs!$B$14*Inputs!$B$17*Inputs!$B$26/(HS16*Inputs!$B$16/0.866)))</f>
        <v>0.00749663697416216</v>
      </c>
      <c r="IB16" s="15" t="n">
        <f aca="false">(HY16-HZ16-IA16)*(1-Inputs!$B$19)</f>
        <v>0.00347069968583762</v>
      </c>
      <c r="IC16" s="15" t="n">
        <f aca="false">(HV16+HW16+HX16+HZ16+IA16+IB16)*(1+Inputs!$B$27)</f>
        <v>0.310258754805869</v>
      </c>
      <c r="ID16" s="15" t="n">
        <f aca="false">Inputs!$B$52/(1-IC16-G16)</f>
        <v>192940.3122661</v>
      </c>
      <c r="IE16" s="15" t="n">
        <f aca="false">ID16/Inputs!$B$34</f>
        <v>321.567187110167</v>
      </c>
      <c r="IF16" s="15" t="n">
        <f aca="false">B16^2/IE16</f>
        <v>10.4612663693436</v>
      </c>
      <c r="IG16" s="15" t="n">
        <f aca="false">Inputs!$B$54*H16/(Inputs!$B$35*F16+E16*H16^2/(PI()*IF16*Inputs!$B$36))</f>
        <v>19.439218229858</v>
      </c>
      <c r="IH16" s="15" t="n">
        <f aca="false">EXP(-Inputs!$B$11*Inputs!$B$14*Inputs!$B$17/(Inputs!$B$51*IG16*Inputs!$B$16))</f>
        <v>0.754796123968859</v>
      </c>
      <c r="II16" s="15" t="n">
        <f aca="false">Inputs!$B$50*Inputs!$B$18*IH16*Inputs!$B$19</f>
        <v>0.737529580981894</v>
      </c>
      <c r="IJ16" s="15" t="n">
        <f aca="false">1-II16</f>
        <v>0.262470419018106</v>
      </c>
      <c r="IK16" s="15" t="n">
        <f aca="false">Inputs!$B$20*IJ16</f>
        <v>0.00787411257054318</v>
      </c>
      <c r="IL16" s="15" t="n">
        <f aca="false">0.8*(1-Inputs!$B$50)*(II16-IK16)</f>
        <v>0.00175745399845933</v>
      </c>
      <c r="IM16" s="15" t="n">
        <f aca="false">II16-IK16-IL16</f>
        <v>0.727898014412892</v>
      </c>
      <c r="IN16" s="15" t="n">
        <f aca="false">IM16*(1-Inputs!$B$18*EXP(-Inputs!$B$21*Inputs!$B$14*Inputs!$B$17/(Inputs!$B$22*Inputs!$B$23*Inputs!$B$24*IG16*Inputs!$B$16))*Inputs!$B$19)</f>
        <v>0.0262614398319716</v>
      </c>
      <c r="IO16" s="15" t="n">
        <f aca="false">(IM16-IN16)*(1-EXP(-Inputs!$B$25*Inputs!$B$14*Inputs!$B$17*Inputs!$B$26/(IG16*Inputs!$B$16/0.866)))</f>
        <v>0.00749663696377292</v>
      </c>
      <c r="IP16" s="15" t="n">
        <f aca="false">(IM16-IN16-IO16)*(1-Inputs!$B$19)</f>
        <v>0.00347069968808574</v>
      </c>
      <c r="IQ16" s="15" t="n">
        <f aca="false">(IJ16+IK16+IL16+IN16+IO16+IP16)*(1+Inputs!$B$27)</f>
        <v>0.310258754357151</v>
      </c>
      <c r="IR16" s="15" t="n">
        <f aca="false">Inputs!$B$52/(1-IQ16-G16)</f>
        <v>192940.311754102</v>
      </c>
      <c r="IS16" s="15" t="n">
        <f aca="false">IR16/Inputs!$B$34</f>
        <v>321.567186256836</v>
      </c>
      <c r="IT16" s="15" t="n">
        <f aca="false">B16^2/IS16</f>
        <v>10.4612663971042</v>
      </c>
      <c r="IU16" s="15" t="n">
        <f aca="false">Inputs!$B$54*H16/(Inputs!$B$35*F16+E16*H16^2/(PI()*IT16*Inputs!$B$36))</f>
        <v>19.4392182435046</v>
      </c>
      <c r="IV16" s="15" t="n">
        <f aca="false">EXP(-Inputs!$B$11*Inputs!$B$14*Inputs!$B$17/(Inputs!$B$51*IU16*Inputs!$B$16))</f>
        <v>0.754796124117917</v>
      </c>
      <c r="IW16" s="15" t="n">
        <f aca="false">Inputs!$B$50*Inputs!$B$18*IV16*Inputs!$B$19</f>
        <v>0.737529581127543</v>
      </c>
      <c r="IX16" s="15" t="n">
        <f aca="false">1-IW16</f>
        <v>0.262470418872457</v>
      </c>
      <c r="IY16" s="15" t="n">
        <f aca="false">Inputs!$B$20*IX16</f>
        <v>0.0078741125661737</v>
      </c>
      <c r="IZ16" s="15" t="n">
        <f aca="false">0.8*(1-Inputs!$B$50)*(IW16-IY16)</f>
        <v>0.00175745399882066</v>
      </c>
      <c r="JA16" s="15" t="n">
        <f aca="false">IW16-IY16-IZ16</f>
        <v>0.727898014562549</v>
      </c>
      <c r="JB16" s="15" t="n">
        <f aca="false">JA16*(1-Inputs!$B$18*EXP(-Inputs!$B$21*Inputs!$B$14*Inputs!$B$17/(Inputs!$B$22*Inputs!$B$23*Inputs!$B$24*IU16*Inputs!$B$16))*Inputs!$B$19)</f>
        <v>0.0262614398291851</v>
      </c>
      <c r="JC16" s="15" t="n">
        <f aca="false">(JA16-JB16)*(1-EXP(-Inputs!$B$25*Inputs!$B$14*Inputs!$B$17*Inputs!$B$26/(IU16*Inputs!$B$16/0.866)))</f>
        <v>0.00749663696016716</v>
      </c>
      <c r="JD16" s="15" t="n">
        <f aca="false">(JA16-JB16-JC16)*(1-Inputs!$B$19)</f>
        <v>0.00347069968886599</v>
      </c>
      <c r="JE16" s="15" t="n">
        <f aca="false">(IX16+IY16+IZ16+JB16+JC16+JD16)*(1+Inputs!$B$27)</f>
        <v>0.310258754201416</v>
      </c>
      <c r="JF16" s="15" t="n">
        <f aca="false">Inputs!$B$52/(1-JE16-G16)</f>
        <v>192940.311576404</v>
      </c>
      <c r="JG16" s="15" t="n">
        <f aca="false">JF16/Inputs!$B$34</f>
        <v>321.567185960674</v>
      </c>
      <c r="JH16" s="15" t="n">
        <f aca="false">B16^2/JG16</f>
        <v>10.461266406739</v>
      </c>
      <c r="JI16" s="15" t="n">
        <f aca="false">Inputs!$B$54*H16/(Inputs!$B$35*F16+E16*H16^2/(PI()*JH16*Inputs!$B$36))</f>
        <v>19.4392182482409</v>
      </c>
      <c r="JJ16" s="15" t="n">
        <f aca="false">EXP(-Inputs!$B$11*Inputs!$B$14*Inputs!$B$17/(Inputs!$B$51*JI16*Inputs!$B$16))</f>
        <v>0.754796124169651</v>
      </c>
      <c r="JK16" s="15" t="n">
        <f aca="false">Inputs!$B$50*Inputs!$B$18*JJ16*Inputs!$B$19</f>
        <v>0.737529581178093</v>
      </c>
      <c r="JL16" s="15" t="n">
        <f aca="false">1-JK16</f>
        <v>0.262470418821907</v>
      </c>
      <c r="JM16" s="15" t="n">
        <f aca="false">Inputs!$B$20*JL16</f>
        <v>0.0078741125646572</v>
      </c>
      <c r="JN16" s="15" t="n">
        <f aca="false">0.8*(1-Inputs!$B$50)*(JK16-JM16)</f>
        <v>0.00175745399894607</v>
      </c>
      <c r="JO16" s="15" t="n">
        <f aca="false">JK16-JM16-JN16</f>
        <v>0.72789801461449</v>
      </c>
      <c r="JP16" s="15" t="n">
        <f aca="false">JO16*(1-Inputs!$B$18*EXP(-Inputs!$B$21*Inputs!$B$14*Inputs!$B$17/(Inputs!$B$22*Inputs!$B$23*Inputs!$B$24*JI16*Inputs!$B$16))*Inputs!$B$19)</f>
        <v>0.0262614398282179</v>
      </c>
      <c r="JQ16" s="15" t="n">
        <f aca="false">(JO16-JP16)*(1-EXP(-Inputs!$B$25*Inputs!$B$14*Inputs!$B$17*Inputs!$B$26/(JI16*Inputs!$B$16/0.866)))</f>
        <v>0.00749663695891574</v>
      </c>
      <c r="JR16" s="15" t="n">
        <f aca="false">(JO16-JP16-JQ16)*(1-Inputs!$B$19)</f>
        <v>0.00347069968913678</v>
      </c>
      <c r="JS16" s="15" t="n">
        <f aca="false">(JL16+JM16+JN16+JP16+JQ16+JR16)*(1+Inputs!$B$27)</f>
        <v>0.310258754147366</v>
      </c>
      <c r="JT16" s="15" t="n">
        <f aca="false">Inputs!$B$52/(1-JS16-G16)</f>
        <v>192940.311514731</v>
      </c>
      <c r="JU16" s="15" t="n">
        <f aca="false">JT16/Inputs!$B$34</f>
        <v>321.567185857885</v>
      </c>
      <c r="JV16" s="15" t="n">
        <f aca="false">B16^2/JU16</f>
        <v>10.461266410083</v>
      </c>
      <c r="JW16" s="15" t="n">
        <f aca="false">Inputs!$B$54*H16/(Inputs!$B$35*F16+E16*H16^2/(PI()*JV16*Inputs!$B$36))</f>
        <v>19.4392182498847</v>
      </c>
      <c r="JX16" s="15" t="n">
        <f aca="false">EXP(-Inputs!$B$11*Inputs!$B$14*Inputs!$B$17/(Inputs!$B$51*JW16*Inputs!$B$16))</f>
        <v>0.754796124187606</v>
      </c>
      <c r="JY16" s="15" t="n">
        <f aca="false">Inputs!$B$50*Inputs!$B$18*JX16*Inputs!$B$19</f>
        <v>0.737529581195637</v>
      </c>
      <c r="JZ16" s="15" t="n">
        <f aca="false">1-JY16</f>
        <v>0.262470418804363</v>
      </c>
      <c r="KA16" s="15" t="n">
        <f aca="false">Inputs!$B$20*JZ16</f>
        <v>0.00787411256413088</v>
      </c>
      <c r="KB16" s="15" t="n">
        <f aca="false">0.8*(1-Inputs!$B$50)*(JY16-KA16)</f>
        <v>0.0017574539989896</v>
      </c>
      <c r="KC16" s="15" t="n">
        <f aca="false">JY16-KA16-KB16</f>
        <v>0.727898014632517</v>
      </c>
      <c r="KD16" s="15" t="n">
        <f aca="false">KC16*(1-Inputs!$B$18*EXP(-Inputs!$B$21*Inputs!$B$14*Inputs!$B$17/(Inputs!$B$22*Inputs!$B$23*Inputs!$B$24*JW16*Inputs!$B$16))*Inputs!$B$19)</f>
        <v>0.0262614398278823</v>
      </c>
      <c r="KE16" s="15" t="n">
        <f aca="false">(KC16-KD16)*(1-EXP(-Inputs!$B$25*Inputs!$B$14*Inputs!$B$17*Inputs!$B$26/(JW16*Inputs!$B$16/0.866)))</f>
        <v>0.00749663695848136</v>
      </c>
      <c r="KF16" s="15" t="n">
        <f aca="false">(KC16-KD16-KE16)*(1-Inputs!$B$19)</f>
        <v>0.00347069968923077</v>
      </c>
      <c r="KG16" s="15" t="n">
        <f aca="false">(JZ16+KA16+KB16+KD16+KE16+KF16)*(1+Inputs!$B$27)</f>
        <v>0.310258754128607</v>
      </c>
      <c r="KH16" s="15" t="n">
        <f aca="false">Inputs!$B$52/(1-KG16-G16)</f>
        <v>192940.311493326</v>
      </c>
      <c r="KI16" s="15" t="n">
        <f aca="false">KH16/Inputs!$B$34</f>
        <v>321.567185822211</v>
      </c>
      <c r="KJ16" s="15" t="n">
        <f aca="false">B16^2/KI16</f>
        <v>10.4612664112435</v>
      </c>
      <c r="KK16" s="15" t="n">
        <f aca="false">Inputs!$B$54*H16/(Inputs!$B$35*F16+E16*H16^2/(PI()*KJ16*Inputs!$B$36))</f>
        <v>19.4392182504552</v>
      </c>
      <c r="KL16" s="15" t="n">
        <f aca="false">EXP(-Inputs!$B$11*Inputs!$B$14*Inputs!$B$17/(Inputs!$B$51*KK16*Inputs!$B$16))</f>
        <v>0.754796124193837</v>
      </c>
      <c r="KM16" s="15" t="n">
        <f aca="false">Inputs!$B$50*Inputs!$B$18*KL16*Inputs!$B$19</f>
        <v>0.737529581201726</v>
      </c>
      <c r="KN16" s="15" t="n">
        <f aca="false">1-KM16</f>
        <v>0.262470418798274</v>
      </c>
      <c r="KO16" s="15" t="n">
        <f aca="false">Inputs!$B$20*KN16</f>
        <v>0.00787411256394821</v>
      </c>
      <c r="KP16" s="15" t="n">
        <f aca="false">0.8*(1-Inputs!$B$50)*(KM16-KO16)</f>
        <v>0.0017574539990047</v>
      </c>
      <c r="KQ16" s="15" t="n">
        <f aca="false">KM16-KO16-KP16</f>
        <v>0.727898014638773</v>
      </c>
      <c r="KR16" s="15" t="n">
        <f aca="false">KQ16*(1-Inputs!$B$18*EXP(-Inputs!$B$21*Inputs!$B$14*Inputs!$B$17/(Inputs!$B$22*Inputs!$B$23*Inputs!$B$24*KK16*Inputs!$B$16))*Inputs!$B$19)</f>
        <v>0.0262614398277659</v>
      </c>
      <c r="KS16" s="15" t="n">
        <f aca="false">(KQ16-KR16)*(1-EXP(-Inputs!$B$25*Inputs!$B$14*Inputs!$B$17*Inputs!$B$26/(KK16*Inputs!$B$16/0.866)))</f>
        <v>0.00749663695833063</v>
      </c>
      <c r="KT16" s="15" t="n">
        <f aca="false">(KQ16-KR16-KS16)*(1-Inputs!$B$19)</f>
        <v>0.00347069968926339</v>
      </c>
      <c r="KU16" s="15" t="n">
        <f aca="false">(KN16+KO16+KP16+KR16+KS16+KT16)*(1+Inputs!$B$27)</f>
        <v>0.310258754122096</v>
      </c>
      <c r="KV16" s="15" t="n">
        <f aca="false">Inputs!$B$52/(1-KU16-G16)</f>
        <v>192940.311485898</v>
      </c>
      <c r="KW16" s="15" t="n">
        <f aca="false">KV16/Inputs!$B$34</f>
        <v>321.56718580983</v>
      </c>
      <c r="KX16" s="15" t="n">
        <f aca="false">B16^2/KW16</f>
        <v>10.4612664116463</v>
      </c>
      <c r="KY16" s="15" t="n">
        <f aca="false">Inputs!$B$54*H16/(Inputs!$B$35*F16+E16*H16^2/(PI()*KX16*Inputs!$B$36))</f>
        <v>19.4392182506532</v>
      </c>
      <c r="KZ16" s="15" t="n">
        <f aca="false">EXP(-Inputs!$B$11*Inputs!$B$14*Inputs!$B$17/(Inputs!$B$51*KY16*Inputs!$B$16))</f>
        <v>0.754796124196</v>
      </c>
      <c r="LA16" s="15" t="n">
        <f aca="false">Inputs!$B$50*Inputs!$B$18*KZ16*Inputs!$B$19</f>
        <v>0.73752958120384</v>
      </c>
      <c r="LB16" s="15" t="n">
        <f aca="false">1-LA16</f>
        <v>0.262470418796161</v>
      </c>
      <c r="LC16" s="15" t="n">
        <f aca="false">Inputs!$B$20*LB16</f>
        <v>0.00787411256388482</v>
      </c>
      <c r="LD16" s="15" t="n">
        <f aca="false">0.8*(1-Inputs!$B$50)*(LA16-LC16)</f>
        <v>0.00175745399900994</v>
      </c>
      <c r="LE16" s="15" t="n">
        <f aca="false">LA16-LC16-LD16</f>
        <v>0.727898014640945</v>
      </c>
      <c r="LF16" s="15" t="n">
        <f aca="false">LE16*(1-Inputs!$B$18*EXP(-Inputs!$B$21*Inputs!$B$14*Inputs!$B$17/(Inputs!$B$22*Inputs!$B$23*Inputs!$B$24*KY16*Inputs!$B$16))*Inputs!$B$19)</f>
        <v>0.0262614398277254</v>
      </c>
      <c r="LG16" s="15" t="n">
        <f aca="false">(LE16-LF16)*(1-EXP(-Inputs!$B$25*Inputs!$B$14*Inputs!$B$17*Inputs!$B$26/(KY16*Inputs!$B$16/0.866)))</f>
        <v>0.00749663695827832</v>
      </c>
      <c r="LH16" s="15" t="n">
        <f aca="false">(LE16-LF16-LG16)*(1-Inputs!$B$19)</f>
        <v>0.00347069968927471</v>
      </c>
      <c r="LI16" s="15" t="n">
        <f aca="false">(LB16+LC16+LD16+LF16+LG16+LH16)*(1+Inputs!$B$27)</f>
        <v>0.310258754119837</v>
      </c>
      <c r="LJ16" s="15" t="n">
        <f aca="false">Inputs!$B$52/(1-LI16-G16)</f>
        <v>192940.311483319</v>
      </c>
      <c r="LK16" s="15" t="n">
        <f aca="false">LJ16/Inputs!$B$34</f>
        <v>321.567185805532</v>
      </c>
      <c r="LL16" s="15" t="n">
        <f aca="false">B16^2/LK16</f>
        <v>10.4612664117861</v>
      </c>
      <c r="LM16" s="15" t="n">
        <f aca="false">Inputs!$B$54*H16/(Inputs!$B$35*F16+E16*H16^2/(PI()*LL16*Inputs!$B$36))</f>
        <v>19.4392182507219</v>
      </c>
      <c r="LN16" s="15" t="n">
        <f aca="false">EXP(-Inputs!$B$11*Inputs!$B$14*Inputs!$B$17/(Inputs!$B$51*LM16*Inputs!$B$16))</f>
        <v>0.754796124196751</v>
      </c>
      <c r="LO16" s="15" t="n">
        <f aca="false">Inputs!$B$50*Inputs!$B$18*LN16*Inputs!$B$19</f>
        <v>0.737529581204573</v>
      </c>
      <c r="LP16" s="15" t="n">
        <f aca="false">1-LO16</f>
        <v>0.262470418795427</v>
      </c>
      <c r="LQ16" s="15" t="n">
        <f aca="false">Inputs!$B$20*LP16</f>
        <v>0.00787411256386281</v>
      </c>
      <c r="LR16" s="15" t="n">
        <f aca="false">0.8*(1-Inputs!$B$50)*(LO16-LQ16)</f>
        <v>0.00175745399901176</v>
      </c>
      <c r="LS16" s="15" t="n">
        <f aca="false">LO16-LQ16-LR16</f>
        <v>0.727898014641699</v>
      </c>
      <c r="LT16" s="15" t="n">
        <f aca="false">LS16*(1-Inputs!$B$18*EXP(-Inputs!$B$21*Inputs!$B$14*Inputs!$B$17/(Inputs!$B$22*Inputs!$B$23*Inputs!$B$24*LM16*Inputs!$B$16))*Inputs!$B$19)</f>
        <v>0.0262614398277114</v>
      </c>
      <c r="LU16" s="15" t="n">
        <f aca="false">(LS16-LT16)*(1-EXP(-Inputs!$B$25*Inputs!$B$14*Inputs!$B$17*Inputs!$B$26/(LM16*Inputs!$B$16/0.866)))</f>
        <v>0.00749663695826019</v>
      </c>
      <c r="LV16" s="15" t="n">
        <f aca="false">(LS16-LT16-LU16)*(1-Inputs!$B$19)</f>
        <v>0.00347069968927864</v>
      </c>
      <c r="LW16" s="15" t="n">
        <f aca="false">(LP16+LQ16+LR16+LT16+LU16+LV16)*(1+Inputs!$B$27)</f>
        <v>0.310258754119052</v>
      </c>
      <c r="LX16" s="15" t="n">
        <f aca="false">Inputs!$B$52/(1-LW16-G16)</f>
        <v>192940.311482425</v>
      </c>
      <c r="LY16" s="15" t="n">
        <f aca="false">LX16/Inputs!$B$34</f>
        <v>321.567185804041</v>
      </c>
      <c r="LZ16" s="15" t="n">
        <f aca="false">B16^2/LY16</f>
        <v>10.4612664118346</v>
      </c>
      <c r="MA16" s="15" t="n">
        <f aca="false">Inputs!$B$54*H16/(Inputs!$B$35*F16+E16*H16^2/(PI()*LZ16*Inputs!$B$36))</f>
        <v>19.4392182507458</v>
      </c>
      <c r="MB16" s="15" t="n">
        <f aca="false">EXP(-Inputs!$B$11*Inputs!$B$14*Inputs!$B$17/(Inputs!$B$51*MA16*Inputs!$B$16))</f>
        <v>0.754796124197011</v>
      </c>
      <c r="MC16" s="15" t="n">
        <f aca="false">Inputs!$B$50*Inputs!$B$18*MB16*Inputs!$B$19</f>
        <v>0.737529581204828</v>
      </c>
      <c r="MD16" s="15" t="n">
        <f aca="false">1-MC16</f>
        <v>0.262470418795172</v>
      </c>
      <c r="ME16" s="15" t="n">
        <f aca="false">Inputs!$B$20*MD16</f>
        <v>0.00787411256385517</v>
      </c>
      <c r="MF16" s="15" t="n">
        <f aca="false">0.8*(1-Inputs!$B$50)*(MC16-ME16)</f>
        <v>0.0017574539990124</v>
      </c>
      <c r="MG16" s="15" t="n">
        <f aca="false">MC16-ME16-MF16</f>
        <v>0.72789801464196</v>
      </c>
      <c r="MH16" s="15" t="n">
        <f aca="false">MG16*(1-Inputs!$B$18*EXP(-Inputs!$B$21*Inputs!$B$14*Inputs!$B$17/(Inputs!$B$22*Inputs!$B$23*Inputs!$B$24*MA16*Inputs!$B$16))*Inputs!$B$19)</f>
        <v>0.0262614398277065</v>
      </c>
      <c r="MI16" s="15" t="n">
        <f aca="false">(MG16-MH16)*(1-EXP(-Inputs!$B$25*Inputs!$B$14*Inputs!$B$17*Inputs!$B$26/(MA16*Inputs!$B$16/0.866)))</f>
        <v>0.00749663695825384</v>
      </c>
      <c r="MJ16" s="15" t="n">
        <f aca="false">(MG16-MH16-MI16)*(1-Inputs!$B$19)</f>
        <v>0.00347069968928</v>
      </c>
      <c r="MK16" s="15" t="n">
        <f aca="false">(MD16+ME16+MF16+MH16+MI16+MJ16)*(1+Inputs!$B$27)</f>
        <v>0.31025875411878</v>
      </c>
      <c r="ML16" s="15" t="n">
        <f aca="false">Inputs!$B$52/(1-MK16-G16)</f>
        <v>192940.311482114</v>
      </c>
      <c r="MM16" s="15" t="n">
        <f aca="false">ML16/Inputs!$B$34</f>
        <v>321.567185803523</v>
      </c>
      <c r="MN16" s="15" t="n">
        <f aca="false">B16^2/MM16</f>
        <v>10.4612664118515</v>
      </c>
      <c r="MO16" s="15" t="n">
        <f aca="false">Inputs!$B$54*H16/(Inputs!$B$35*F16+E16*H16^2/(PI()*MN16*Inputs!$B$36))</f>
        <v>19.4392182507541</v>
      </c>
      <c r="MP16" s="15" t="n">
        <f aca="false">EXP(-Inputs!$B$11*Inputs!$B$14*Inputs!$B$17/(Inputs!$B$51*MO16*Inputs!$B$16))</f>
        <v>0.754796124197102</v>
      </c>
      <c r="MQ16" s="15" t="n">
        <f aca="false">Inputs!$B$50*Inputs!$B$18*MP16*Inputs!$B$19</f>
        <v>0.737529581204916</v>
      </c>
      <c r="MR16" s="15" t="n">
        <f aca="false">1-MQ16</f>
        <v>0.262470418795084</v>
      </c>
      <c r="MS16" s="15" t="n">
        <f aca="false">Inputs!$B$20*MR16</f>
        <v>0.00787411256385252</v>
      </c>
      <c r="MT16" s="15" t="n">
        <f aca="false">0.8*(1-Inputs!$B$50)*(MQ16-MS16)</f>
        <v>0.00175745399901262</v>
      </c>
      <c r="MU16" s="15" t="n">
        <f aca="false">MQ16-MS16-MT16</f>
        <v>0.727898014642051</v>
      </c>
      <c r="MV16" s="15" t="n">
        <f aca="false">MU16*(1-Inputs!$B$18*EXP(-Inputs!$B$21*Inputs!$B$14*Inputs!$B$17/(Inputs!$B$22*Inputs!$B$23*Inputs!$B$24*MO16*Inputs!$B$16))*Inputs!$B$19)</f>
        <v>0.0262614398277048</v>
      </c>
      <c r="MW16" s="15" t="n">
        <f aca="false">(MU16-MV16)*(1-EXP(-Inputs!$B$25*Inputs!$B$14*Inputs!$B$17*Inputs!$B$26/(MO16*Inputs!$B$16/0.866)))</f>
        <v>0.00749663695825172</v>
      </c>
      <c r="MX16" s="15" t="n">
        <f aca="false">(MU16-MV16-MW16)*(1-Inputs!$B$19)</f>
        <v>0.00347069968928047</v>
      </c>
      <c r="MY16" s="15" t="n">
        <f aca="false">(MR16+MS16+MT16+MV16+MW16+MX16)*(1+Inputs!$B$27)</f>
        <v>0.310258754118686</v>
      </c>
      <c r="MZ16" s="15" t="n">
        <f aca="false">Inputs!$B$52/(1-MY16-G16)</f>
        <v>192940.311482006</v>
      </c>
      <c r="NA16" s="15" t="n">
        <f aca="false">MZ16/Inputs!$B$34</f>
        <v>321.567185803344</v>
      </c>
      <c r="NB16" s="15" t="n">
        <f aca="false">B16^2/NA16</f>
        <v>10.4612664118573</v>
      </c>
      <c r="NC16" s="15" t="n">
        <f aca="false">Inputs!$B$54*H16/(Inputs!$B$35*F16+E16*H16^2/(PI()*NB16*Inputs!$B$36))</f>
        <v>19.4392182507569</v>
      </c>
      <c r="ND16" s="15" t="n">
        <f aca="false">EXP(-Inputs!$B$11*Inputs!$B$14*Inputs!$B$17/(Inputs!$B$51*NC16*Inputs!$B$16))</f>
        <v>0.754796124197133</v>
      </c>
      <c r="NE16" s="15" t="n">
        <f aca="false">Inputs!$B$50*Inputs!$B$18*ND16*Inputs!$B$19</f>
        <v>0.737529581204947</v>
      </c>
      <c r="NF16" s="15" t="n">
        <f aca="false">1-NE16</f>
        <v>0.262470418795053</v>
      </c>
      <c r="NG16" s="15" t="n">
        <f aca="false">Inputs!$B$20*NF16</f>
        <v>0.0078741125638516</v>
      </c>
      <c r="NH16" s="15" t="n">
        <f aca="false">0.8*(1-Inputs!$B$50)*(NE16-NG16)</f>
        <v>0.00175745399901269</v>
      </c>
      <c r="NI16" s="15" t="n">
        <f aca="false">NE16-NG16-NH16</f>
        <v>0.727898014642082</v>
      </c>
      <c r="NJ16" s="15" t="n">
        <f aca="false">NI16*(1-Inputs!$B$18*EXP(-Inputs!$B$21*Inputs!$B$14*Inputs!$B$17/(Inputs!$B$22*Inputs!$B$23*Inputs!$B$24*NC16*Inputs!$B$16))*Inputs!$B$19)</f>
        <v>0.0262614398277043</v>
      </c>
      <c r="NK16" s="15" t="n">
        <f aca="false">(NI16-NJ16)*(1-EXP(-Inputs!$B$25*Inputs!$B$14*Inputs!$B$17*Inputs!$B$26/(NC16*Inputs!$B$16/0.866)))</f>
        <v>0.00749663695825089</v>
      </c>
      <c r="NL16" s="15" t="n">
        <f aca="false">(NI16-NJ16-NK16)*(1-Inputs!$B$19)</f>
        <v>0.00347069968928064</v>
      </c>
      <c r="NM16" s="15" t="n">
        <f aca="false">(NF16+NG16+NH16+NJ16+NK16+NL16)*(1+Inputs!$B$27)</f>
        <v>0.310258754118653</v>
      </c>
      <c r="NN16" s="15" t="n">
        <f aca="false">Inputs!$B$52/(1-NM16-G16)</f>
        <v>192940.311481969</v>
      </c>
    </row>
    <row r="17" customFormat="false" ht="15" hidden="false" customHeight="false" outlineLevel="0" collapsed="false">
      <c r="A17" s="21" t="s">
        <v>501</v>
      </c>
      <c r="B17" s="21" t="n">
        <v>58</v>
      </c>
      <c r="C17" s="22" t="n">
        <v>0.25</v>
      </c>
      <c r="D17" s="23" t="n">
        <f aca="false">B17*C17</f>
        <v>14.5</v>
      </c>
      <c r="E17" s="24" t="n">
        <f aca="false">IF(C17=0,1,(1+0.45*C17)/(1.04+2.81*C17))</f>
        <v>0.63845050215208</v>
      </c>
      <c r="F17" s="24" t="n">
        <f aca="false">1+Inputs!$B$42*D17</f>
        <v>1.0725</v>
      </c>
      <c r="G17" s="25" t="n">
        <f aca="false">Inputs!$B$31+Inputs!$B$43*(B17/Inputs!$B$32-1)+Inputs!$B$44+Inputs!$B$45*D17</f>
        <v>0.5223875</v>
      </c>
      <c r="H17" s="22" t="n">
        <f aca="false">Inputs!$B$38</f>
        <v>0.5</v>
      </c>
      <c r="I17" s="23" t="n">
        <f aca="false">Inputs!$B$40</f>
        <v>2.4</v>
      </c>
      <c r="J17" s="26" t="n">
        <f aca="false">NN17/Inputs!$B$34</f>
        <v>322.578003754565</v>
      </c>
      <c r="K17" s="23" t="n">
        <f aca="false">B17^2/J17</f>
        <v>10.4284853922015</v>
      </c>
      <c r="L17" s="23" t="n">
        <f aca="false">2*K17</f>
        <v>20.856970784403</v>
      </c>
      <c r="M17" s="22" t="n">
        <f aca="false">NC17</f>
        <v>19.5457501779139</v>
      </c>
      <c r="N17" s="23" t="n">
        <f aca="false">B17/SQRT(E17)</f>
        <v>72.5879242131433</v>
      </c>
      <c r="O17" s="24" t="n">
        <f aca="false">NM17</f>
        <v>0.309048619738122</v>
      </c>
      <c r="P17" s="23" t="n">
        <f aca="false">NN17/1000</f>
        <v>193.546802252739</v>
      </c>
      <c r="Q17" s="23" t="n">
        <f aca="false">G17*NN17/1000</f>
        <v>101.106430161803</v>
      </c>
      <c r="R17" s="23" t="n">
        <f aca="false">NM17*NN17/1000</f>
        <v>59.8153720909364</v>
      </c>
      <c r="S17" s="23" t="n">
        <f aca="false">NM17*NN17/Inputs!$B$28/1000</f>
        <v>79.7538294545818</v>
      </c>
      <c r="T17" s="27" t="n">
        <f aca="false">R17/Sweep!$R$5-1</f>
        <v>-0.0429023101151266</v>
      </c>
      <c r="U17" s="27" t="n">
        <f aca="false">R17/SUMIFS(Sweep!$R:$R,Sweep!$A:$A,"Conventional",Sweep!$B:$B,B17)-1</f>
        <v>-0.170620850766257</v>
      </c>
      <c r="V17" s="26" t="n">
        <f aca="false">2*0.54*(J17/2)^1.5/SQRT(L17)*Inputs!$B$46*Inputs!$B$47</f>
        <v>45.2915184817422</v>
      </c>
      <c r="W17" s="28" t="n">
        <f aca="false">MIN(1,V17/S17)</f>
        <v>0.567891457895884</v>
      </c>
      <c r="X17" s="26" t="n">
        <f aca="false">1.23*SQRT(2*Inputs!$B$41*NN17*Inputs!$B$49/(1.225*J17*I17))/0.5144</f>
        <v>133.62967568068</v>
      </c>
      <c r="Y17" s="29" t="n">
        <f aca="false">(11000+6341.6*LN(0.36392/(2*Inputs!$B$50*Inputs!$B$18*(1+ND17)/2*Inputs!$B$34*Inputs!$B$49/((Inputs!$B$12*295.07)^2*H17))))/0.3048</f>
        <v>38590.1662016679</v>
      </c>
      <c r="Z17" s="26" t="n">
        <f aca="false">NN17-MZ17</f>
        <v>-1.24855432659388E-008</v>
      </c>
      <c r="AA17" s="30" t="str">
        <f aca="false">IF(ABS(NN17-MZ17)&lt;10,"Yes","No")</f>
        <v>Yes</v>
      </c>
      <c r="AC17" s="15" t="n">
        <f aca="false">Inputs!$B$52/(1-0.3154-G17)/Inputs!$B$34</f>
        <v>335.208445711644</v>
      </c>
      <c r="AD17" s="15" t="n">
        <f aca="false">B17^2/AC17</f>
        <v>10.0355466666667</v>
      </c>
      <c r="AE17" s="15" t="n">
        <f aca="false">Inputs!$B$54*H17/(Inputs!$B$35*F17+E17*H17^2/(PI()*AD17*Inputs!$B$36))</f>
        <v>19.3559922363719</v>
      </c>
      <c r="AF17" s="15" t="n">
        <f aca="false">EXP(-Inputs!$B$11*Inputs!$B$14*Inputs!$B$17/(Inputs!$B$51*AE17*Inputs!$B$16))</f>
        <v>0.753883709734323</v>
      </c>
      <c r="AG17" s="15" t="n">
        <f aca="false">Inputs!$B$50*Inputs!$B$18*AF17*Inputs!$B$19</f>
        <v>0.736638038926086</v>
      </c>
      <c r="AH17" s="15" t="n">
        <f aca="false">1-AG17</f>
        <v>0.263361961073914</v>
      </c>
      <c r="AI17" s="15" t="n">
        <f aca="false">Inputs!$B$20*AH17</f>
        <v>0.00790085883221742</v>
      </c>
      <c r="AJ17" s="15" t="n">
        <f aca="false">0.8*(1-Inputs!$B$50)*(AG17-AI17)</f>
        <v>0.00175524220187153</v>
      </c>
      <c r="AK17" s="15" t="n">
        <f aca="false">AG17-AI17-AJ17</f>
        <v>0.726981937891997</v>
      </c>
      <c r="AL17" s="15" t="n">
        <f aca="false">AK17*(1-Inputs!$B$18*EXP(-Inputs!$B$21*Inputs!$B$14*Inputs!$B$17/(Inputs!$B$22*Inputs!$B$23*Inputs!$B$24*AE17*Inputs!$B$16))*Inputs!$B$19)</f>
        <v>0.0262784621789948</v>
      </c>
      <c r="AM17" s="15" t="n">
        <f aca="false">(AK17-AL17)*(1-EXP(-Inputs!$B$25*Inputs!$B$14*Inputs!$B$17*Inputs!$B$26/(AE17*Inputs!$B$16/0.866)))</f>
        <v>0.00751868476403967</v>
      </c>
      <c r="AN17" s="15" t="n">
        <f aca="false">(AK17-AL17-AM17)*(1-Inputs!$B$19)</f>
        <v>0.00346592395474482</v>
      </c>
      <c r="AO17" s="15" t="n">
        <f aca="false">(AH17+AI17+AJ17+AL17+AM17+AN17)*(1+Inputs!$B$27)</f>
        <v>0.3112119764048</v>
      </c>
      <c r="AP17" s="15" t="n">
        <f aca="false">Inputs!$B$52/(1-AO17-G17)</f>
        <v>196063.084989842</v>
      </c>
      <c r="AQ17" s="15" t="n">
        <f aca="false">AP17/Inputs!$B$34</f>
        <v>326.771808316404</v>
      </c>
      <c r="AR17" s="15" t="n">
        <f aca="false">B17^2/AQ17</f>
        <v>10.2946457264231</v>
      </c>
      <c r="AS17" s="15" t="n">
        <f aca="false">Inputs!$B$54*H17/(Inputs!$B$35*F17+E17*H17^2/(PI()*AR17*Inputs!$B$36))</f>
        <v>19.4823318047303</v>
      </c>
      <c r="AT17" s="15" t="n">
        <f aca="false">EXP(-Inputs!$B$11*Inputs!$B$14*Inputs!$B$17/(Inputs!$B$51*AS17*Inputs!$B$16))</f>
        <v>0.755266147296867</v>
      </c>
      <c r="AU17" s="15" t="n">
        <f aca="false">Inputs!$B$50*Inputs!$B$18*AT17*Inputs!$B$19</f>
        <v>0.737988852164071</v>
      </c>
      <c r="AV17" s="15" t="n">
        <f aca="false">1-AU17</f>
        <v>0.262011147835929</v>
      </c>
      <c r="AW17" s="15" t="n">
        <f aca="false">Inputs!$B$20*AV17</f>
        <v>0.00786033443507788</v>
      </c>
      <c r="AX17" s="15" t="n">
        <f aca="false">0.8*(1-Inputs!$B$50)*(AU17-AW17)</f>
        <v>0.0017585933888302</v>
      </c>
      <c r="AY17" s="15" t="n">
        <f aca="false">AU17-AW17-AX17</f>
        <v>0.728369924340163</v>
      </c>
      <c r="AZ17" s="15" t="n">
        <f aca="false">AY17*(1-Inputs!$B$18*EXP(-Inputs!$B$21*Inputs!$B$14*Inputs!$B$17/(Inputs!$B$22*Inputs!$B$23*Inputs!$B$24*AS17*Inputs!$B$16))*Inputs!$B$19)</f>
        <v>0.026252643914217</v>
      </c>
      <c r="BA17" s="15" t="n">
        <f aca="false">(AY17-AZ17)*(1-EXP(-Inputs!$B$25*Inputs!$B$14*Inputs!$B$17*Inputs!$B$26/(AS17*Inputs!$B$16/0.866)))</f>
        <v>0.00748526076864832</v>
      </c>
      <c r="BB17" s="15" t="n">
        <f aca="false">(AY17-AZ17-BA17)*(1-Inputs!$B$19)</f>
        <v>0.00347316009828649</v>
      </c>
      <c r="BC17" s="15" t="n">
        <f aca="false">(AV17+AW17+AX17+AZ17+BA17+BB17)*(1+Inputs!$B$27)</f>
        <v>0.309767663862312</v>
      </c>
      <c r="BD17" s="15" t="n">
        <f aca="false">Inputs!$B$52/(1-BC17-G17)</f>
        <v>194375.953116823</v>
      </c>
      <c r="BE17" s="15" t="n">
        <f aca="false">BD17/Inputs!$B$34</f>
        <v>323.959921861371</v>
      </c>
      <c r="BF17" s="15" t="n">
        <f aca="false">B17^2/BE17</f>
        <v>10.3840005290516</v>
      </c>
      <c r="BG17" s="15" t="n">
        <f aca="false">Inputs!$B$54*H17/(Inputs!$B$35*F17+E17*H17^2/(PI()*BF17*Inputs!$B$36))</f>
        <v>19.5248073637554</v>
      </c>
      <c r="BH17" s="15" t="n">
        <f aca="false">EXP(-Inputs!$B$11*Inputs!$B$14*Inputs!$B$17/(Inputs!$B$51*BG17*Inputs!$B$16))</f>
        <v>0.755727469430971</v>
      </c>
      <c r="BI17" s="15" t="n">
        <f aca="false">Inputs!$B$50*Inputs!$B$18*BH17*Inputs!$B$19</f>
        <v>0.73843962119886</v>
      </c>
      <c r="BJ17" s="15" t="n">
        <f aca="false">1-BI17</f>
        <v>0.26156037880114</v>
      </c>
      <c r="BK17" s="15" t="n">
        <f aca="false">Inputs!$B$20*BJ17</f>
        <v>0.0078468113640342</v>
      </c>
      <c r="BL17" s="15" t="n">
        <f aca="false">0.8*(1-Inputs!$B$50)*(BI17-BK17)</f>
        <v>0.00175971168651064</v>
      </c>
      <c r="BM17" s="15" t="n">
        <f aca="false">BI17-BK17-BL17</f>
        <v>0.728833098148315</v>
      </c>
      <c r="BN17" s="15" t="n">
        <f aca="false">BM17*(1-Inputs!$B$18*EXP(-Inputs!$B$21*Inputs!$B$14*Inputs!$B$17/(Inputs!$B$22*Inputs!$B$23*Inputs!$B$24*BG17*Inputs!$B$16))*Inputs!$B$19)</f>
        <v>0.0262439930005574</v>
      </c>
      <c r="BO17" s="15" t="n">
        <f aca="false">(BM17-BN17)*(1-EXP(-Inputs!$B$25*Inputs!$B$14*Inputs!$B$17*Inputs!$B$26/(BG17*Inputs!$B$16/0.866)))</f>
        <v>0.00747408299044741</v>
      </c>
      <c r="BP17" s="15" t="n">
        <f aca="false">(BM17-BN17-BO17)*(1-Inputs!$B$19)</f>
        <v>0.00347557511078655</v>
      </c>
      <c r="BQ17" s="15" t="n">
        <f aca="false">(BJ17+BK17+BL17+BN17+BO17+BP17)*(1+Inputs!$B$27)</f>
        <v>0.309285634612337</v>
      </c>
      <c r="BR17" s="15" t="n">
        <f aca="false">Inputs!$B$52/(1-BQ17-G17)</f>
        <v>193819.328393381</v>
      </c>
      <c r="BS17" s="15" t="n">
        <f aca="false">BR17/Inputs!$B$34</f>
        <v>323.032213988969</v>
      </c>
      <c r="BT17" s="15" t="n">
        <f aca="false">B17^2/BS17</f>
        <v>10.4138220719834</v>
      </c>
      <c r="BU17" s="15" t="n">
        <f aca="false">Inputs!$B$54*H17/(Inputs!$B$35*F17+E17*H17^2/(PI()*BT17*Inputs!$B$36))</f>
        <v>19.5388617177879</v>
      </c>
      <c r="BV17" s="15" t="n">
        <f aca="false">EXP(-Inputs!$B$11*Inputs!$B$14*Inputs!$B$17/(Inputs!$B$51*BU17*Inputs!$B$16))</f>
        <v>0.755879732328274</v>
      </c>
      <c r="BW17" s="15" t="n">
        <f aca="false">Inputs!$B$50*Inputs!$B$18*BV17*Inputs!$B$19</f>
        <v>0.738588400965052</v>
      </c>
      <c r="BX17" s="15" t="n">
        <f aca="false">1-BW17</f>
        <v>0.261411599034948</v>
      </c>
      <c r="BY17" s="15" t="n">
        <f aca="false">Inputs!$B$20*BX17</f>
        <v>0.00784234797104845</v>
      </c>
      <c r="BZ17" s="15" t="n">
        <f aca="false">0.8*(1-Inputs!$B$50)*(BW17-BY17)</f>
        <v>0.00176008078920978</v>
      </c>
      <c r="CA17" s="15" t="n">
        <f aca="false">BW17-BY17-BZ17</f>
        <v>0.728985972204794</v>
      </c>
      <c r="CB17" s="15" t="n">
        <f aca="false">CA17*(1-Inputs!$B$18*EXP(-Inputs!$B$21*Inputs!$B$14*Inputs!$B$17/(Inputs!$B$22*Inputs!$B$23*Inputs!$B$24*BU17*Inputs!$B$16))*Inputs!$B$19)</f>
        <v>0.0262411338254763</v>
      </c>
      <c r="CC17" s="15" t="n">
        <f aca="false">(CA17-CB17)*(1-EXP(-Inputs!$B$25*Inputs!$B$14*Inputs!$B$17*Inputs!$B$26/(BU17*Inputs!$B$16/0.866)))</f>
        <v>0.00747039103142755</v>
      </c>
      <c r="CD17" s="15" t="n">
        <f aca="false">(CA17-CB17-CC17)*(1-Inputs!$B$19)</f>
        <v>0.00347637223673945</v>
      </c>
      <c r="CE17" s="15" t="n">
        <f aca="false">(BX17+BY17+BZ17+CB17+CC17+CD17)*(1+Inputs!$B$27)</f>
        <v>0.309126530663516</v>
      </c>
      <c r="CF17" s="15" t="n">
        <f aca="false">Inputs!$B$52/(1-CE17-G17)</f>
        <v>193636.301755457</v>
      </c>
      <c r="CG17" s="15" t="n">
        <f aca="false">CF17/Inputs!$B$34</f>
        <v>322.727169592428</v>
      </c>
      <c r="CH17" s="15" t="n">
        <f aca="false">B17^2/CG17</f>
        <v>10.4236653029505</v>
      </c>
      <c r="CI17" s="15" t="n">
        <f aca="false">Inputs!$B$54*H17/(Inputs!$B$35*F17+E17*H17^2/(PI()*CH17*Inputs!$B$36))</f>
        <v>19.543487423559</v>
      </c>
      <c r="CJ17" s="15" t="n">
        <f aca="false">EXP(-Inputs!$B$11*Inputs!$B$14*Inputs!$B$17/(Inputs!$B$51*CI17*Inputs!$B$16))</f>
        <v>0.755929805376368</v>
      </c>
      <c r="CK17" s="15" t="n">
        <f aca="false">Inputs!$B$50*Inputs!$B$18*CJ17*Inputs!$B$19</f>
        <v>0.738637328553584</v>
      </c>
      <c r="CL17" s="15" t="n">
        <f aca="false">1-CK17</f>
        <v>0.261362671446416</v>
      </c>
      <c r="CM17" s="15" t="n">
        <f aca="false">Inputs!$B$20*CL17</f>
        <v>0.00784088014339249</v>
      </c>
      <c r="CN17" s="15" t="n">
        <f aca="false">0.8*(1-Inputs!$B$50)*(CK17-CM17)</f>
        <v>0.00176020217201237</v>
      </c>
      <c r="CO17" s="15" t="n">
        <f aca="false">CK17-CM17-CN17</f>
        <v>0.729036246238179</v>
      </c>
      <c r="CP17" s="15" t="n">
        <f aca="false">CO17*(1-Inputs!$B$18*EXP(-Inputs!$B$21*Inputs!$B$14*Inputs!$B$17/(Inputs!$B$22*Inputs!$B$23*Inputs!$B$24*CI17*Inputs!$B$16))*Inputs!$B$19)</f>
        <v>0.0262401931394773</v>
      </c>
      <c r="CQ17" s="15" t="n">
        <f aca="false">(CO17-CP17)*(1-EXP(-Inputs!$B$25*Inputs!$B$14*Inputs!$B$17*Inputs!$B$26/(CI17*Inputs!$B$16/0.866)))</f>
        <v>0.007469176609822</v>
      </c>
      <c r="CR17" s="15" t="n">
        <f aca="false">(CO17-CP17-CQ17)*(1-Inputs!$B$19)</f>
        <v>0.0034766343824444</v>
      </c>
      <c r="CS17" s="15" t="n">
        <f aca="false">(CL17+CM17+CN17+CP17+CQ17+CR17)*(1+Inputs!$B$27)</f>
        <v>0.309074207167246</v>
      </c>
      <c r="CT17" s="15" t="n">
        <f aca="false">Inputs!$B$52/(1-CS17-G17)</f>
        <v>193576.186465676</v>
      </c>
      <c r="CU17" s="15" t="n">
        <f aca="false">CT17/Inputs!$B$34</f>
        <v>322.626977442794</v>
      </c>
      <c r="CV17" s="15" t="n">
        <f aca="false">B17^2/CU17</f>
        <v>10.4269023832531</v>
      </c>
      <c r="CW17" s="15" t="n">
        <f aca="false">Inputs!$B$54*H17/(Inputs!$B$35*F17+E17*H17^2/(PI()*CV17*Inputs!$B$36))</f>
        <v>19.5450072193021</v>
      </c>
      <c r="CX17" s="15" t="n">
        <f aca="false">EXP(-Inputs!$B$11*Inputs!$B$14*Inputs!$B$17/(Inputs!$B$51*CW17*Inputs!$B$16))</f>
        <v>0.755946252644807</v>
      </c>
      <c r="CY17" s="15" t="n">
        <f aca="false">Inputs!$B$50*Inputs!$B$18*CX17*Inputs!$B$19</f>
        <v>0.738653399578084</v>
      </c>
      <c r="CZ17" s="15" t="n">
        <f aca="false">1-CY17</f>
        <v>0.261346600421917</v>
      </c>
      <c r="DA17" s="15" t="n">
        <f aca="false">Inputs!$B$20*CZ17</f>
        <v>0.0078403980126575</v>
      </c>
      <c r="DB17" s="15" t="n">
        <f aca="false">0.8*(1-Inputs!$B$50)*(CY17-DA17)</f>
        <v>0.0017602420420745</v>
      </c>
      <c r="DC17" s="15" t="n">
        <f aca="false">CY17-DA17-DB17</f>
        <v>0.729052759523352</v>
      </c>
      <c r="DD17" s="15" t="n">
        <f aca="false">DC17*(1-Inputs!$B$18*EXP(-Inputs!$B$21*Inputs!$B$14*Inputs!$B$17/(Inputs!$B$22*Inputs!$B$23*Inputs!$B$24*CW17*Inputs!$B$16))*Inputs!$B$19)</f>
        <v>0.0262398841112266</v>
      </c>
      <c r="DE17" s="15" t="n">
        <f aca="false">(DC17-DD17)*(1-EXP(-Inputs!$B$25*Inputs!$B$14*Inputs!$B$17*Inputs!$B$26/(CW17*Inputs!$B$16/0.866)))</f>
        <v>0.00746877768323272</v>
      </c>
      <c r="DF17" s="15" t="n">
        <f aca="false">(DC17-DD17-DE17)*(1-Inputs!$B$19)</f>
        <v>0.00347672048864446</v>
      </c>
      <c r="DG17" s="15" t="n">
        <f aca="false">(CZ17+DA17+DB17+DD17+DE17+DF17)*(1+Inputs!$B$27)</f>
        <v>0.309057020628032</v>
      </c>
      <c r="DH17" s="15" t="n">
        <f aca="false">Inputs!$B$52/(1-DG17-G17)</f>
        <v>193556.448722756</v>
      </c>
      <c r="DI17" s="15" t="n">
        <f aca="false">DH17/Inputs!$B$34</f>
        <v>322.594081204594</v>
      </c>
      <c r="DJ17" s="15" t="n">
        <f aca="false">B17^2/DI17</f>
        <v>10.4279656571458</v>
      </c>
      <c r="DK17" s="15" t="n">
        <f aca="false">Inputs!$B$54*H17/(Inputs!$B$35*F17+E17*H17^2/(PI()*DJ17*Inputs!$B$36))</f>
        <v>19.5455062676558</v>
      </c>
      <c r="DL17" s="15" t="n">
        <f aca="false">EXP(-Inputs!$B$11*Inputs!$B$14*Inputs!$B$17/(Inputs!$B$51*DK17*Inputs!$B$16))</f>
        <v>0.755951652879066</v>
      </c>
      <c r="DM17" s="15" t="n">
        <f aca="false">Inputs!$B$50*Inputs!$B$18*DL17*Inputs!$B$19</f>
        <v>0.738658676277822</v>
      </c>
      <c r="DN17" s="15" t="n">
        <f aca="false">1-DM17</f>
        <v>0.261341323722178</v>
      </c>
      <c r="DO17" s="15" t="n">
        <f aca="false">Inputs!$B$20*DN17</f>
        <v>0.00784023971166534</v>
      </c>
      <c r="DP17" s="15" t="n">
        <f aca="false">0.8*(1-Inputs!$B$50)*(DM17-DO17)</f>
        <v>0.00176025513286074</v>
      </c>
      <c r="DQ17" s="15" t="n">
        <f aca="false">DM17-DO17-DP17</f>
        <v>0.729058181433296</v>
      </c>
      <c r="DR17" s="15" t="n">
        <f aca="false">DQ17*(1-Inputs!$B$18*EXP(-Inputs!$B$21*Inputs!$B$14*Inputs!$B$17/(Inputs!$B$22*Inputs!$B$23*Inputs!$B$24*DK17*Inputs!$B$16))*Inputs!$B$19)</f>
        <v>0.0262397826411618</v>
      </c>
      <c r="DS17" s="15" t="n">
        <f aca="false">(DQ17-DR17)*(1-EXP(-Inputs!$B$25*Inputs!$B$14*Inputs!$B$17*Inputs!$B$26/(DK17*Inputs!$B$16/0.866)))</f>
        <v>0.00746864669783429</v>
      </c>
      <c r="DT17" s="15" t="n">
        <f aca="false">(DQ17-DR17-DS17)*(1-Inputs!$B$19)</f>
        <v>0.0034767487604715</v>
      </c>
      <c r="DU17" s="15" t="n">
        <f aca="false">(DN17+DO17+DP17+DR17+DS17+DT17)*(1+Inputs!$B$27)</f>
        <v>0.30905137765617</v>
      </c>
      <c r="DV17" s="15" t="n">
        <f aca="false">Inputs!$B$52/(1-DU17-G17)</f>
        <v>193549.968974766</v>
      </c>
      <c r="DW17" s="15" t="n">
        <f aca="false">DV17/Inputs!$B$34</f>
        <v>322.58328162461</v>
      </c>
      <c r="DX17" s="15" t="n">
        <f aca="false">B17^2/DW17</f>
        <v>10.4283147690049</v>
      </c>
      <c r="DY17" s="15" t="n">
        <f aca="false">Inputs!$B$54*H17/(Inputs!$B$35*F17+E17*H17^2/(PI()*DX17*Inputs!$B$36))</f>
        <v>19.5456701069182</v>
      </c>
      <c r="DZ17" s="15" t="n">
        <f aca="false">EXP(-Inputs!$B$11*Inputs!$B$14*Inputs!$B$17/(Inputs!$B$51*DY17*Inputs!$B$16))</f>
        <v>0.755953425742521</v>
      </c>
      <c r="EA17" s="15" t="n">
        <f aca="false">Inputs!$B$50*Inputs!$B$18*DZ17*Inputs!$B$19</f>
        <v>0.738660408585659</v>
      </c>
      <c r="EB17" s="15" t="n">
        <f aca="false">1-EA17</f>
        <v>0.261339591414341</v>
      </c>
      <c r="EC17" s="15" t="n">
        <f aca="false">Inputs!$B$20*EB17</f>
        <v>0.00784018774243023</v>
      </c>
      <c r="ED17" s="15" t="n">
        <f aca="false">0.8*(1-Inputs!$B$50)*(EA17-EC17)</f>
        <v>0.00176025943048477</v>
      </c>
      <c r="EE17" s="15" t="n">
        <f aca="false">EA17-EC17-ED17</f>
        <v>0.729059961412744</v>
      </c>
      <c r="EF17" s="15" t="n">
        <f aca="false">EE17*(1-Inputs!$B$18*EXP(-Inputs!$B$21*Inputs!$B$14*Inputs!$B$17/(Inputs!$B$22*Inputs!$B$23*Inputs!$B$24*DY17*Inputs!$B$16))*Inputs!$B$19)</f>
        <v>0.0262397493286409</v>
      </c>
      <c r="EG17" s="15" t="n">
        <f aca="false">(EE17-EF17)*(1-EXP(-Inputs!$B$25*Inputs!$B$14*Inputs!$B$17*Inputs!$B$26/(DY17*Inputs!$B$16/0.866)))</f>
        <v>0.00746860369577904</v>
      </c>
      <c r="EH17" s="15" t="n">
        <f aca="false">(EE17-EF17-EG17)*(1-Inputs!$B$19)</f>
        <v>0.00347675804194162</v>
      </c>
      <c r="EI17" s="15" t="n">
        <f aca="false">(EB17+EC17+ED17+EF17+EG17+EH17)*(1+Inputs!$B$27)</f>
        <v>0.309049525102578</v>
      </c>
      <c r="EJ17" s="15" t="n">
        <f aca="false">Inputs!$B$52/(1-EI17-G17)</f>
        <v>193547.841807217</v>
      </c>
      <c r="EK17" s="15" t="n">
        <f aca="false">EJ17/Inputs!$B$34</f>
        <v>322.579736345362</v>
      </c>
      <c r="EL17" s="15" t="n">
        <f aca="false">B17^2/EK17</f>
        <v>10.4284293803205</v>
      </c>
      <c r="EM17" s="15" t="n">
        <f aca="false">Inputs!$B$54*H17/(Inputs!$B$35*F17+E17*H17^2/(PI()*EL17*Inputs!$B$36))</f>
        <v>19.5457238925659</v>
      </c>
      <c r="EN17" s="15" t="n">
        <f aca="false">EXP(-Inputs!$B$11*Inputs!$B$14*Inputs!$B$17/(Inputs!$B$51*EM17*Inputs!$B$16))</f>
        <v>0.755954007737915</v>
      </c>
      <c r="EO17" s="15" t="n">
        <f aca="false">Inputs!$B$50*Inputs!$B$18*EN17*Inputs!$B$19</f>
        <v>0.73866097726746</v>
      </c>
      <c r="EP17" s="15" t="n">
        <f aca="false">1-EO17</f>
        <v>0.26133902273254</v>
      </c>
      <c r="EQ17" s="15" t="n">
        <f aca="false">Inputs!$B$20*EP17</f>
        <v>0.00784017068197621</v>
      </c>
      <c r="ER17" s="15" t="n">
        <f aca="false">0.8*(1-Inputs!$B$50)*(EO17-EQ17)</f>
        <v>0.00176026084130825</v>
      </c>
      <c r="ES17" s="15" t="n">
        <f aca="false">EO17-EQ17-ER17</f>
        <v>0.729060545744175</v>
      </c>
      <c r="ET17" s="15" t="n">
        <f aca="false">ES17*(1-Inputs!$B$18*EXP(-Inputs!$B$21*Inputs!$B$14*Inputs!$B$17/(Inputs!$B$22*Inputs!$B$23*Inputs!$B$24*EM17*Inputs!$B$16))*Inputs!$B$19)</f>
        <v>0.0262397383927537</v>
      </c>
      <c r="EU17" s="15" t="n">
        <f aca="false">(ES17-ET17)*(1-EXP(-Inputs!$B$25*Inputs!$B$14*Inputs!$B$17*Inputs!$B$26/(EM17*Inputs!$B$16/0.866)))</f>
        <v>0.00746858957903094</v>
      </c>
      <c r="EV17" s="15" t="n">
        <f aca="false">(ES17-ET17-EU17)*(1-Inputs!$B$19)</f>
        <v>0.00347676108886196</v>
      </c>
      <c r="EW17" s="15" t="n">
        <f aca="false">(EP17+EQ17+ER17+ET17+EU17+EV17)*(1+Inputs!$B$27)</f>
        <v>0.309048916946421</v>
      </c>
      <c r="EX17" s="15" t="n">
        <f aca="false">Inputs!$B$52/(1-EW17-G17)</f>
        <v>193547.143511003</v>
      </c>
      <c r="EY17" s="15" t="n">
        <f aca="false">EX17/Inputs!$B$34</f>
        <v>322.578572518339</v>
      </c>
      <c r="EZ17" s="15" t="n">
        <f aca="false">B17^2/EY17</f>
        <v>10.4284670049148</v>
      </c>
      <c r="FA17" s="15" t="n">
        <f aca="false">Inputs!$B$54*H17/(Inputs!$B$35*F17+E17*H17^2/(PI()*EZ17*Inputs!$B$36))</f>
        <v>19.5457415491212</v>
      </c>
      <c r="FB17" s="15" t="n">
        <f aca="false">EXP(-Inputs!$B$11*Inputs!$B$14*Inputs!$B$17/(Inputs!$B$51*FA17*Inputs!$B$16))</f>
        <v>0.755954198792629</v>
      </c>
      <c r="FC17" s="15" t="n">
        <f aca="false">Inputs!$B$50*Inputs!$B$18*FB17*Inputs!$B$19</f>
        <v>0.73866116395165</v>
      </c>
      <c r="FD17" s="15" t="n">
        <f aca="false">1-FC17</f>
        <v>0.26133883604835</v>
      </c>
      <c r="FE17" s="15" t="n">
        <f aca="false">Inputs!$B$20*FD17</f>
        <v>0.00784016508145051</v>
      </c>
      <c r="FF17" s="15" t="n">
        <f aca="false">0.8*(1-Inputs!$B$50)*(FC17-FE17)</f>
        <v>0.00176026130444675</v>
      </c>
      <c r="FG17" s="15" t="n">
        <f aca="false">FC17-FE17-FF17</f>
        <v>0.729060737565753</v>
      </c>
      <c r="FH17" s="15" t="n">
        <f aca="false">FG17*(1-Inputs!$B$18*EXP(-Inputs!$B$21*Inputs!$B$14*Inputs!$B$17/(Inputs!$B$22*Inputs!$B$23*Inputs!$B$24*FA17*Inputs!$B$16))*Inputs!$B$19)</f>
        <v>0.0262397348027661</v>
      </c>
      <c r="FI17" s="15" t="n">
        <f aca="false">(FG17-FH17)*(1-EXP(-Inputs!$B$25*Inputs!$B$14*Inputs!$B$17*Inputs!$B$26/(FA17*Inputs!$B$16/0.866)))</f>
        <v>0.00746858494484696</v>
      </c>
      <c r="FJ17" s="15" t="n">
        <f aca="false">(FG17-FH17-FI17)*(1-Inputs!$B$19)</f>
        <v>0.0034767620890907</v>
      </c>
      <c r="FK17" s="15" t="n">
        <f aca="false">(FD17+FE17+FF17+FH17+FI17+FJ17)*(1+Inputs!$B$27)</f>
        <v>0.309048717303764</v>
      </c>
      <c r="FL17" s="15" t="n">
        <f aca="false">Inputs!$B$52/(1-FK17-G17)</f>
        <v>193546.91427869</v>
      </c>
      <c r="FM17" s="15" t="n">
        <f aca="false">FL17/Inputs!$B$34</f>
        <v>322.578190464483</v>
      </c>
      <c r="FN17" s="15" t="n">
        <f aca="false">B17^2/FM17</f>
        <v>10.4284793561405</v>
      </c>
      <c r="FO17" s="15" t="n">
        <f aca="false">Inputs!$B$54*H17/(Inputs!$B$35*F17+E17*H17^2/(PI()*FN17*Inputs!$B$36))</f>
        <v>19.5457473453117</v>
      </c>
      <c r="FP17" s="15" t="n">
        <f aca="false">EXP(-Inputs!$B$11*Inputs!$B$14*Inputs!$B$17/(Inputs!$B$51*FO17*Inputs!$B$16))</f>
        <v>0.755954261510886</v>
      </c>
      <c r="FQ17" s="15" t="n">
        <f aca="false">Inputs!$B$50*Inputs!$B$18*FP17*Inputs!$B$19</f>
        <v>0.738661225235179</v>
      </c>
      <c r="FR17" s="15" t="n">
        <f aca="false">1-FQ17</f>
        <v>0.261338774764822</v>
      </c>
      <c r="FS17" s="15" t="n">
        <f aca="false">Inputs!$B$20*FR17</f>
        <v>0.00784016324294464</v>
      </c>
      <c r="FT17" s="15" t="n">
        <f aca="false">0.8*(1-Inputs!$B$50)*(FQ17-FS17)</f>
        <v>0.00176026145648299</v>
      </c>
      <c r="FU17" s="15" t="n">
        <f aca="false">FQ17-FS17-FT17</f>
        <v>0.729060800535751</v>
      </c>
      <c r="FV17" s="15" t="n">
        <f aca="false">FU17*(1-Inputs!$B$18*EXP(-Inputs!$B$21*Inputs!$B$14*Inputs!$B$17/(Inputs!$B$22*Inputs!$B$23*Inputs!$B$24*FO17*Inputs!$B$16))*Inputs!$B$19)</f>
        <v>0.0262397336242665</v>
      </c>
      <c r="FW17" s="15" t="n">
        <f aca="false">(FU17-FV17)*(1-EXP(-Inputs!$B$25*Inputs!$B$14*Inputs!$B$17*Inputs!$B$26/(FO17*Inputs!$B$16/0.866)))</f>
        <v>0.00746858342356536</v>
      </c>
      <c r="FX17" s="15" t="n">
        <f aca="false">(FU17-FV17-FW17)*(1-Inputs!$B$19)</f>
        <v>0.0034767624174396</v>
      </c>
      <c r="FY17" s="15" t="n">
        <f aca="false">(FR17+FS17+FT17+FV17+FW17+FX17)*(1+Inputs!$B$27)</f>
        <v>0.309048651766309</v>
      </c>
      <c r="FZ17" s="15" t="n">
        <f aca="false">Inputs!$B$52/(1-FY17-G17)</f>
        <v>193546.839027844</v>
      </c>
      <c r="GA17" s="15" t="n">
        <f aca="false">FZ17/Inputs!$B$34</f>
        <v>322.578065046406</v>
      </c>
      <c r="GB17" s="15" t="n">
        <f aca="false">B17^2/GA17</f>
        <v>10.4284834107243</v>
      </c>
      <c r="GC17" s="15" t="n">
        <f aca="false">Inputs!$B$54*H17/(Inputs!$B$35*F17+E17*H17^2/(PI()*GB17*Inputs!$B$36))</f>
        <v>19.5457492480469</v>
      </c>
      <c r="GD17" s="15" t="n">
        <f aca="false">EXP(-Inputs!$B$11*Inputs!$B$14*Inputs!$B$17/(Inputs!$B$51*GC17*Inputs!$B$16))</f>
        <v>0.755954282099616</v>
      </c>
      <c r="GE17" s="15" t="n">
        <f aca="false">Inputs!$B$50*Inputs!$B$18*GD17*Inputs!$B$19</f>
        <v>0.738661245352925</v>
      </c>
      <c r="GF17" s="15" t="n">
        <f aca="false">1-GE17</f>
        <v>0.261338754647075</v>
      </c>
      <c r="GG17" s="15" t="n">
        <f aca="false">Inputs!$B$20*GF17</f>
        <v>0.00784016263941224</v>
      </c>
      <c r="GH17" s="15" t="n">
        <f aca="false">0.8*(1-Inputs!$B$50)*(GE17-GG17)</f>
        <v>0.00176026150639243</v>
      </c>
      <c r="GI17" s="15" t="n">
        <f aca="false">GE17-GG17-GH17</f>
        <v>0.729060821207121</v>
      </c>
      <c r="GJ17" s="15" t="n">
        <f aca="false">GI17*(1-Inputs!$B$18*EXP(-Inputs!$B$21*Inputs!$B$14*Inputs!$B$17/(Inputs!$B$22*Inputs!$B$23*Inputs!$B$24*GC17*Inputs!$B$16))*Inputs!$B$19)</f>
        <v>0.0262397332373965</v>
      </c>
      <c r="GK17" s="15" t="n">
        <f aca="false">(GI17-GJ17)*(1-EXP(-Inputs!$B$25*Inputs!$B$14*Inputs!$B$17*Inputs!$B$26/(GC17*Inputs!$B$16/0.866)))</f>
        <v>0.00746858292416916</v>
      </c>
      <c r="GL17" s="15" t="n">
        <f aca="false">(GI17-GJ17-GK17)*(1-Inputs!$B$19)</f>
        <v>0.00347676252522778</v>
      </c>
      <c r="GM17" s="15" t="n">
        <f aca="false">(GF17+GG17+GH17+GJ17+GK17+GL17)*(1+Inputs!$B$27)</f>
        <v>0.309048630252112</v>
      </c>
      <c r="GN17" s="15" t="n">
        <f aca="false">Inputs!$B$52/(1-GM17-G17)</f>
        <v>193546.814325012</v>
      </c>
      <c r="GO17" s="15" t="n">
        <f aca="false">GN17/Inputs!$B$34</f>
        <v>322.57802387502</v>
      </c>
      <c r="GP17" s="15" t="n">
        <f aca="false">B17^2/GO17</f>
        <v>10.428484741736</v>
      </c>
      <c r="GQ17" s="15" t="n">
        <f aca="false">Inputs!$B$54*H17/(Inputs!$B$35*F17+E17*H17^2/(PI()*GP17*Inputs!$B$36))</f>
        <v>19.5457498726639</v>
      </c>
      <c r="GR17" s="15" t="n">
        <f aca="false">EXP(-Inputs!$B$11*Inputs!$B$14*Inputs!$B$17/(Inputs!$B$51*GQ17*Inputs!$B$16))</f>
        <v>0.755954288858343</v>
      </c>
      <c r="GS17" s="15" t="n">
        <f aca="false">Inputs!$B$50*Inputs!$B$18*GR17*Inputs!$B$19</f>
        <v>0.738661251957041</v>
      </c>
      <c r="GT17" s="15" t="n">
        <f aca="false">1-GS17</f>
        <v>0.261338748042959</v>
      </c>
      <c r="GU17" s="15" t="n">
        <f aca="false">Inputs!$B$20*GT17</f>
        <v>0.00784016244128876</v>
      </c>
      <c r="GV17" s="15" t="n">
        <f aca="false">0.8*(1-Inputs!$B$50)*(GS17-GU17)</f>
        <v>0.00176026152277636</v>
      </c>
      <c r="GW17" s="15" t="n">
        <f aca="false">GS17-GU17-GV17</f>
        <v>0.729060827992976</v>
      </c>
      <c r="GX17" s="15" t="n">
        <f aca="false">GW17*(1-Inputs!$B$18*EXP(-Inputs!$B$21*Inputs!$B$14*Inputs!$B$17/(Inputs!$B$22*Inputs!$B$23*Inputs!$B$24*GQ17*Inputs!$B$16))*Inputs!$B$19)</f>
        <v>0.0262397331103974</v>
      </c>
      <c r="GY17" s="15" t="n">
        <f aca="false">(GW17-GX17)*(1-EXP(-Inputs!$B$25*Inputs!$B$14*Inputs!$B$17*Inputs!$B$26/(GQ17*Inputs!$B$16/0.866)))</f>
        <v>0.00746858276023076</v>
      </c>
      <c r="GZ17" s="15" t="n">
        <f aca="false">(GW17-GX17-GY17)*(1-Inputs!$B$19)</f>
        <v>0.00347676256061174</v>
      </c>
      <c r="HA17" s="15" t="n">
        <f aca="false">(GT17+GU17+GV17+GX17+GY17+GZ17)*(1+Inputs!$B$27)</f>
        <v>0.309048623189579</v>
      </c>
      <c r="HB17" s="15" t="n">
        <f aca="false">Inputs!$B$52/(1-HA17-G17)</f>
        <v>193546.806215737</v>
      </c>
      <c r="HC17" s="15" t="n">
        <f aca="false">HB17/Inputs!$B$34</f>
        <v>322.578010359562</v>
      </c>
      <c r="HD17" s="15" t="n">
        <f aca="false">B17^2/HC17</f>
        <v>10.4284851786714</v>
      </c>
      <c r="HE17" s="15" t="n">
        <f aca="false">Inputs!$B$54*H17/(Inputs!$B$35*F17+E17*H17^2/(PI()*HD17*Inputs!$B$36))</f>
        <v>19.5457500777089</v>
      </c>
      <c r="HF17" s="15" t="n">
        <f aca="false">EXP(-Inputs!$B$11*Inputs!$B$14*Inputs!$B$17/(Inputs!$B$51*HE17*Inputs!$B$16))</f>
        <v>0.755954291077051</v>
      </c>
      <c r="HG17" s="15" t="n">
        <f aca="false">Inputs!$B$50*Inputs!$B$18*HF17*Inputs!$B$19</f>
        <v>0.738661254124995</v>
      </c>
      <c r="HH17" s="15" t="n">
        <f aca="false">1-HG17</f>
        <v>0.261338745875005</v>
      </c>
      <c r="HI17" s="15" t="n">
        <f aca="false">Inputs!$B$20*HH17</f>
        <v>0.00784016237625015</v>
      </c>
      <c r="HJ17" s="15" t="n">
        <f aca="false">0.8*(1-Inputs!$B$50)*(HG17-HI17)</f>
        <v>0.00176026152815476</v>
      </c>
      <c r="HK17" s="15" t="n">
        <f aca="false">HG17-HI17-HJ17</f>
        <v>0.72906083022059</v>
      </c>
      <c r="HL17" s="15" t="n">
        <f aca="false">HK17*(1-Inputs!$B$18*EXP(-Inputs!$B$21*Inputs!$B$14*Inputs!$B$17/(Inputs!$B$22*Inputs!$B$23*Inputs!$B$24*HE17*Inputs!$B$16))*Inputs!$B$19)</f>
        <v>0.0262397330687071</v>
      </c>
      <c r="HM17" s="15" t="n">
        <f aca="false">(HK17-HL17)*(1-EXP(-Inputs!$B$25*Inputs!$B$14*Inputs!$B$17*Inputs!$B$26/(HE17*Inputs!$B$16/0.866)))</f>
        <v>0.00746858270641418</v>
      </c>
      <c r="HN17" s="15" t="n">
        <f aca="false">(HK17-HL17-HM17)*(1-Inputs!$B$19)</f>
        <v>0.00347676257222735</v>
      </c>
      <c r="HO17" s="15" t="n">
        <f aca="false">(HH17+HI17+HJ17+HL17+HM17+HN17)*(1+Inputs!$B$27)</f>
        <v>0.309048620871139</v>
      </c>
      <c r="HP17" s="15" t="n">
        <f aca="false">Inputs!$B$52/(1-HO17-G17)</f>
        <v>193546.80355368</v>
      </c>
      <c r="HQ17" s="15" t="n">
        <f aca="false">HP17/Inputs!$B$34</f>
        <v>322.578005922801</v>
      </c>
      <c r="HR17" s="15" t="n">
        <f aca="false">B17^2/HQ17</f>
        <v>10.4284853221055</v>
      </c>
      <c r="HS17" s="15" t="n">
        <f aca="false">Inputs!$B$54*H17/(Inputs!$B$35*F17+E17*H17^2/(PI()*HR17*Inputs!$B$36))</f>
        <v>19.5457501450196</v>
      </c>
      <c r="HT17" s="15" t="n">
        <f aca="false">EXP(-Inputs!$B$11*Inputs!$B$14*Inputs!$B$17/(Inputs!$B$51*HS17*Inputs!$B$16))</f>
        <v>0.755954291805393</v>
      </c>
      <c r="HU17" s="15" t="n">
        <f aca="false">Inputs!$B$50*Inputs!$B$18*HT17*Inputs!$B$19</f>
        <v>0.738661254836676</v>
      </c>
      <c r="HV17" s="15" t="n">
        <f aca="false">1-HU17</f>
        <v>0.261338745163324</v>
      </c>
      <c r="HW17" s="15" t="n">
        <f aca="false">Inputs!$B$20*HV17</f>
        <v>0.00784016235489973</v>
      </c>
      <c r="HX17" s="15" t="n">
        <f aca="false">0.8*(1-Inputs!$B$50)*(HU17-HW17)</f>
        <v>0.00176026152992035</v>
      </c>
      <c r="HY17" s="15" t="n">
        <f aca="false">HU17-HW17-HX17</f>
        <v>0.729060830951856</v>
      </c>
      <c r="HZ17" s="15" t="n">
        <f aca="false">HY17*(1-Inputs!$B$18*EXP(-Inputs!$B$21*Inputs!$B$14*Inputs!$B$17/(Inputs!$B$22*Inputs!$B$23*Inputs!$B$24*HS17*Inputs!$B$16))*Inputs!$B$19)</f>
        <v>0.0262397330550211</v>
      </c>
      <c r="IA17" s="15" t="n">
        <f aca="false">(HY17-HZ17)*(1-EXP(-Inputs!$B$25*Inputs!$B$14*Inputs!$B$17*Inputs!$B$26/(HS17*Inputs!$B$16/0.866)))</f>
        <v>0.00746858268874771</v>
      </c>
      <c r="IB17" s="15" t="n">
        <f aca="false">(HY17-HZ17-IA17)*(1-Inputs!$B$19)</f>
        <v>0.00347676257604044</v>
      </c>
      <c r="IC17" s="15" t="n">
        <f aca="false">(HV17+HW17+HX17+HZ17+IA17+IB17)*(1+Inputs!$B$27)</f>
        <v>0.309048620110057</v>
      </c>
      <c r="ID17" s="15" t="n">
        <f aca="false">Inputs!$B$52/(1-IC17-G17)</f>
        <v>193546.802679799</v>
      </c>
      <c r="IE17" s="15" t="n">
        <f aca="false">ID17/Inputs!$B$34</f>
        <v>322.578004466332</v>
      </c>
      <c r="IF17" s="15" t="n">
        <f aca="false">B17^2/IE17</f>
        <v>10.4284853691911</v>
      </c>
      <c r="IG17" s="15" t="n">
        <f aca="false">Inputs!$B$54*H17/(Inputs!$B$35*F17+E17*H17^2/(PI()*IF17*Inputs!$B$36))</f>
        <v>19.5457501671159</v>
      </c>
      <c r="IH17" s="15" t="n">
        <f aca="false">EXP(-Inputs!$B$11*Inputs!$B$14*Inputs!$B$17/(Inputs!$B$51*IG17*Inputs!$B$16))</f>
        <v>0.755954292044488</v>
      </c>
      <c r="II17" s="15" t="n">
        <f aca="false">Inputs!$B$50*Inputs!$B$18*IH17*Inputs!$B$19</f>
        <v>0.738661255070301</v>
      </c>
      <c r="IJ17" s="15" t="n">
        <f aca="false">1-II17</f>
        <v>0.261338744929699</v>
      </c>
      <c r="IK17" s="15" t="n">
        <f aca="false">Inputs!$B$20*IJ17</f>
        <v>0.00784016234789096</v>
      </c>
      <c r="IL17" s="15" t="n">
        <f aca="false">0.8*(1-Inputs!$B$50)*(II17-IK17)</f>
        <v>0.00176026153049994</v>
      </c>
      <c r="IM17" s="15" t="n">
        <f aca="false">II17-IK17-IL17</f>
        <v>0.729060831191911</v>
      </c>
      <c r="IN17" s="15" t="n">
        <f aca="false">IM17*(1-Inputs!$B$18*EXP(-Inputs!$B$21*Inputs!$B$14*Inputs!$B$17/(Inputs!$B$22*Inputs!$B$23*Inputs!$B$24*IG17*Inputs!$B$16))*Inputs!$B$19)</f>
        <v>0.0262397330505286</v>
      </c>
      <c r="IO17" s="15" t="n">
        <f aca="false">(IM17-IN17)*(1-EXP(-Inputs!$B$25*Inputs!$B$14*Inputs!$B$17*Inputs!$B$26/(IG17*Inputs!$B$16/0.866)))</f>
        <v>0.00746858268294824</v>
      </c>
      <c r="IP17" s="15" t="n">
        <f aca="false">(IM17-IN17-IO17)*(1-Inputs!$B$19)</f>
        <v>0.00347676257729217</v>
      </c>
      <c r="IQ17" s="15" t="n">
        <f aca="false">(IJ17+IK17+IL17+IN17+IO17+IP17)*(1+Inputs!$B$27)</f>
        <v>0.309048619860215</v>
      </c>
      <c r="IR17" s="15" t="n">
        <f aca="false">Inputs!$B$52/(1-IQ17-G17)</f>
        <v>193546.802392927</v>
      </c>
      <c r="IS17" s="15" t="n">
        <f aca="false">IR17/Inputs!$B$34</f>
        <v>322.578003988212</v>
      </c>
      <c r="IT17" s="15" t="n">
        <f aca="false">B17^2/IS17</f>
        <v>10.428485384648</v>
      </c>
      <c r="IU17" s="15" t="n">
        <f aca="false">Inputs!$B$54*H17/(Inputs!$B$35*F17+E17*H17^2/(PI()*IT17*Inputs!$B$36))</f>
        <v>19.5457501743695</v>
      </c>
      <c r="IV17" s="15" t="n">
        <f aca="false">EXP(-Inputs!$B$11*Inputs!$B$14*Inputs!$B$17/(Inputs!$B$51*IU17*Inputs!$B$16))</f>
        <v>0.755954292122977</v>
      </c>
      <c r="IW17" s="15" t="n">
        <f aca="false">Inputs!$B$50*Inputs!$B$18*IV17*Inputs!$B$19</f>
        <v>0.738661255146994</v>
      </c>
      <c r="IX17" s="15" t="n">
        <f aca="false">1-IW17</f>
        <v>0.261338744853006</v>
      </c>
      <c r="IY17" s="15" t="n">
        <f aca="false">Inputs!$B$20*IX17</f>
        <v>0.00784016234559017</v>
      </c>
      <c r="IZ17" s="15" t="n">
        <f aca="false">0.8*(1-Inputs!$B$50)*(IW17-IY17)</f>
        <v>0.00176026153069021</v>
      </c>
      <c r="JA17" s="15" t="n">
        <f aca="false">IW17-IY17-IZ17</f>
        <v>0.729060831270714</v>
      </c>
      <c r="JB17" s="15" t="n">
        <f aca="false">JA17*(1-Inputs!$B$18*EXP(-Inputs!$B$21*Inputs!$B$14*Inputs!$B$17/(Inputs!$B$22*Inputs!$B$23*Inputs!$B$24*IU17*Inputs!$B$16))*Inputs!$B$19)</f>
        <v>0.0262397330490537</v>
      </c>
      <c r="JC17" s="15" t="n">
        <f aca="false">(JA17-JB17)*(1-EXP(-Inputs!$B$25*Inputs!$B$14*Inputs!$B$17*Inputs!$B$26/(IU17*Inputs!$B$16/0.866)))</f>
        <v>0.00746858268104442</v>
      </c>
      <c r="JD17" s="15" t="n">
        <f aca="false">(JA17-JB17-JC17)*(1-Inputs!$B$19)</f>
        <v>0.00347676257770308</v>
      </c>
      <c r="JE17" s="15" t="n">
        <f aca="false">(IX17+IY17+IZ17+JB17+JC17+JD17)*(1+Inputs!$B$27)</f>
        <v>0.309048619778198</v>
      </c>
      <c r="JF17" s="15" t="n">
        <f aca="false">Inputs!$B$52/(1-JE17-G17)</f>
        <v>193546.802298755</v>
      </c>
      <c r="JG17" s="15" t="n">
        <f aca="false">JF17/Inputs!$B$34</f>
        <v>322.578003831258</v>
      </c>
      <c r="JH17" s="15" t="n">
        <f aca="false">B17^2/JG17</f>
        <v>10.4284853897221</v>
      </c>
      <c r="JI17" s="15" t="n">
        <f aca="false">Inputs!$B$54*H17/(Inputs!$B$35*F17+E17*H17^2/(PI()*JH17*Inputs!$B$36))</f>
        <v>19.5457501767507</v>
      </c>
      <c r="JJ17" s="15" t="n">
        <f aca="false">EXP(-Inputs!$B$11*Inputs!$B$14*Inputs!$B$17/(Inputs!$B$51*JI17*Inputs!$B$16))</f>
        <v>0.755954292148742</v>
      </c>
      <c r="JK17" s="15" t="n">
        <f aca="false">Inputs!$B$50*Inputs!$B$18*JJ17*Inputs!$B$19</f>
        <v>0.738661255172171</v>
      </c>
      <c r="JL17" s="15" t="n">
        <f aca="false">1-JK17</f>
        <v>0.261338744827829</v>
      </c>
      <c r="JM17" s="15" t="n">
        <f aca="false">Inputs!$B$20*JL17</f>
        <v>0.00784016234483488</v>
      </c>
      <c r="JN17" s="15" t="n">
        <f aca="false">0.8*(1-Inputs!$B$50)*(JK17-JM17)</f>
        <v>0.00176026153075266</v>
      </c>
      <c r="JO17" s="15" t="n">
        <f aca="false">JK17-JM17-JN17</f>
        <v>0.729060831296583</v>
      </c>
      <c r="JP17" s="15" t="n">
        <f aca="false">JO17*(1-Inputs!$B$18*EXP(-Inputs!$B$21*Inputs!$B$14*Inputs!$B$17/(Inputs!$B$22*Inputs!$B$23*Inputs!$B$24*JI17*Inputs!$B$16))*Inputs!$B$19)</f>
        <v>0.0262397330485695</v>
      </c>
      <c r="JQ17" s="15" t="n">
        <f aca="false">(JO17-JP17)*(1-EXP(-Inputs!$B$25*Inputs!$B$14*Inputs!$B$17*Inputs!$B$26/(JI17*Inputs!$B$16/0.866)))</f>
        <v>0.00746858268041948</v>
      </c>
      <c r="JR17" s="15" t="n">
        <f aca="false">(JO17-JP17-JQ17)*(1-Inputs!$B$19)</f>
        <v>0.00347676257783797</v>
      </c>
      <c r="JS17" s="15" t="n">
        <f aca="false">(JL17+JM17+JN17+JP17+JQ17+JR17)*(1+Inputs!$B$27)</f>
        <v>0.309048619751274</v>
      </c>
      <c r="JT17" s="15" t="n">
        <f aca="false">Inputs!$B$52/(1-JS17-G17)</f>
        <v>193546.802267841</v>
      </c>
      <c r="JU17" s="15" t="n">
        <f aca="false">JT17/Inputs!$B$34</f>
        <v>322.578003779734</v>
      </c>
      <c r="JV17" s="15" t="n">
        <f aca="false">B17^2/JU17</f>
        <v>10.4284853913878</v>
      </c>
      <c r="JW17" s="15" t="n">
        <f aca="false">Inputs!$B$54*H17/(Inputs!$B$35*F17+E17*H17^2/(PI()*JV17*Inputs!$B$36))</f>
        <v>19.5457501775324</v>
      </c>
      <c r="JX17" s="15" t="n">
        <f aca="false">EXP(-Inputs!$B$11*Inputs!$B$14*Inputs!$B$17/(Inputs!$B$51*JW17*Inputs!$B$16))</f>
        <v>0.755954292157201</v>
      </c>
      <c r="JY17" s="15" t="n">
        <f aca="false">Inputs!$B$50*Inputs!$B$18*JX17*Inputs!$B$19</f>
        <v>0.738661255180435</v>
      </c>
      <c r="JZ17" s="15" t="n">
        <f aca="false">1-JY17</f>
        <v>0.261338744819565</v>
      </c>
      <c r="KA17" s="15" t="n">
        <f aca="false">Inputs!$B$20*JZ17</f>
        <v>0.00784016234458694</v>
      </c>
      <c r="KB17" s="15" t="n">
        <f aca="false">0.8*(1-Inputs!$B$50)*(JY17-KA17)</f>
        <v>0.00176026153077317</v>
      </c>
      <c r="KC17" s="15" t="n">
        <f aca="false">JY17-KA17-KB17</f>
        <v>0.729060831305075</v>
      </c>
      <c r="KD17" s="15" t="n">
        <f aca="false">KC17*(1-Inputs!$B$18*EXP(-Inputs!$B$21*Inputs!$B$14*Inputs!$B$17/(Inputs!$B$22*Inputs!$B$23*Inputs!$B$24*JW17*Inputs!$B$16))*Inputs!$B$19)</f>
        <v>0.0262397330484106</v>
      </c>
      <c r="KE17" s="15" t="n">
        <f aca="false">(KC17-KD17)*(1-EXP(-Inputs!$B$25*Inputs!$B$14*Inputs!$B$17*Inputs!$B$26/(JW17*Inputs!$B$16/0.866)))</f>
        <v>0.00746858268021428</v>
      </c>
      <c r="KF17" s="15" t="n">
        <f aca="false">(KC17-KD17-KE17)*(1-Inputs!$B$19)</f>
        <v>0.00347676257788225</v>
      </c>
      <c r="KG17" s="15" t="n">
        <f aca="false">(JZ17+KA17+KB17+KD17+KE17+KF17)*(1+Inputs!$B$27)</f>
        <v>0.309048619742436</v>
      </c>
      <c r="KH17" s="15" t="n">
        <f aca="false">Inputs!$B$52/(1-KG17-G17)</f>
        <v>193546.802257692</v>
      </c>
      <c r="KI17" s="15" t="n">
        <f aca="false">KH17/Inputs!$B$34</f>
        <v>322.578003762821</v>
      </c>
      <c r="KJ17" s="15" t="n">
        <f aca="false">B17^2/KI17</f>
        <v>10.4284853919346</v>
      </c>
      <c r="KK17" s="15" t="n">
        <f aca="false">Inputs!$B$54*H17/(Inputs!$B$35*F17+E17*H17^2/(PI()*KJ17*Inputs!$B$36))</f>
        <v>19.545750177789</v>
      </c>
      <c r="KL17" s="15" t="n">
        <f aca="false">EXP(-Inputs!$B$11*Inputs!$B$14*Inputs!$B$17/(Inputs!$B$51*KK17*Inputs!$B$16))</f>
        <v>0.755954292159977</v>
      </c>
      <c r="KM17" s="15" t="n">
        <f aca="false">Inputs!$B$50*Inputs!$B$18*KL17*Inputs!$B$19</f>
        <v>0.738661255183148</v>
      </c>
      <c r="KN17" s="15" t="n">
        <f aca="false">1-KM17</f>
        <v>0.261338744816852</v>
      </c>
      <c r="KO17" s="15" t="n">
        <f aca="false">Inputs!$B$20*KN17</f>
        <v>0.00784016234450555</v>
      </c>
      <c r="KP17" s="15" t="n">
        <f aca="false">0.8*(1-Inputs!$B$50)*(KM17-KO17)</f>
        <v>0.0017602615307799</v>
      </c>
      <c r="KQ17" s="15" t="n">
        <f aca="false">KM17-KO17-KP17</f>
        <v>0.729060831307863</v>
      </c>
      <c r="KR17" s="15" t="n">
        <f aca="false">KQ17*(1-Inputs!$B$18*EXP(-Inputs!$B$21*Inputs!$B$14*Inputs!$B$17/(Inputs!$B$22*Inputs!$B$23*Inputs!$B$24*KK17*Inputs!$B$16))*Inputs!$B$19)</f>
        <v>0.0262397330483584</v>
      </c>
      <c r="KS17" s="15" t="n">
        <f aca="false">(KQ17-KR17)*(1-EXP(-Inputs!$B$25*Inputs!$B$14*Inputs!$B$17*Inputs!$B$26/(KK17*Inputs!$B$16/0.866)))</f>
        <v>0.007468582680147</v>
      </c>
      <c r="KT17" s="15" t="n">
        <f aca="false">(KQ17-KR17-KS17)*(1-Inputs!$B$19)</f>
        <v>0.00347676257789679</v>
      </c>
      <c r="KU17" s="15" t="n">
        <f aca="false">(KN17+KO17+KP17+KR17+KS17+KT17)*(1+Inputs!$B$27)</f>
        <v>0.309048619739535</v>
      </c>
      <c r="KV17" s="15" t="n">
        <f aca="false">Inputs!$B$52/(1-KU17-G17)</f>
        <v>193546.802254361</v>
      </c>
      <c r="KW17" s="15" t="n">
        <f aca="false">KV17/Inputs!$B$34</f>
        <v>322.578003757268</v>
      </c>
      <c r="KX17" s="15" t="n">
        <f aca="false">B17^2/KW17</f>
        <v>10.4284853921141</v>
      </c>
      <c r="KY17" s="15" t="n">
        <f aca="false">Inputs!$B$54*H17/(Inputs!$B$35*F17+E17*H17^2/(PI()*KX17*Inputs!$B$36))</f>
        <v>19.5457501778732</v>
      </c>
      <c r="KZ17" s="15" t="n">
        <f aca="false">EXP(-Inputs!$B$11*Inputs!$B$14*Inputs!$B$17/(Inputs!$B$51*KY17*Inputs!$B$16))</f>
        <v>0.755954292160889</v>
      </c>
      <c r="LA17" s="15" t="n">
        <f aca="false">Inputs!$B$50*Inputs!$B$18*KZ17*Inputs!$B$19</f>
        <v>0.738661255184039</v>
      </c>
      <c r="LB17" s="15" t="n">
        <f aca="false">1-LA17</f>
        <v>0.261338744815961</v>
      </c>
      <c r="LC17" s="15" t="n">
        <f aca="false">Inputs!$B$20*LB17</f>
        <v>0.00784016234447883</v>
      </c>
      <c r="LD17" s="15" t="n">
        <f aca="false">0.8*(1-Inputs!$B$50)*(LA17-LC17)</f>
        <v>0.00176026153078211</v>
      </c>
      <c r="LE17" s="15" t="n">
        <f aca="false">LA17-LC17-LD17</f>
        <v>0.729060831308778</v>
      </c>
      <c r="LF17" s="15" t="n">
        <f aca="false">LE17*(1-Inputs!$B$18*EXP(-Inputs!$B$21*Inputs!$B$14*Inputs!$B$17/(Inputs!$B$22*Inputs!$B$23*Inputs!$B$24*KY17*Inputs!$B$16))*Inputs!$B$19)</f>
        <v>0.0262397330483413</v>
      </c>
      <c r="LG17" s="15" t="n">
        <f aca="false">(LE17-LF17)*(1-EXP(-Inputs!$B$25*Inputs!$B$14*Inputs!$B$17*Inputs!$B$26/(KY17*Inputs!$B$16/0.866)))</f>
        <v>0.00746858268012484</v>
      </c>
      <c r="LH17" s="15" t="n">
        <f aca="false">(LE17-LF17-LG17)*(1-Inputs!$B$19)</f>
        <v>0.00347676257790156</v>
      </c>
      <c r="LI17" s="15" t="n">
        <f aca="false">(LB17+LC17+LD17+LF17+LG17+LH17)*(1+Inputs!$B$27)</f>
        <v>0.309048619738582</v>
      </c>
      <c r="LJ17" s="15" t="n">
        <f aca="false">Inputs!$B$52/(1-LI17-G17)</f>
        <v>193546.802253267</v>
      </c>
      <c r="LK17" s="15" t="n">
        <f aca="false">LJ17/Inputs!$B$34</f>
        <v>322.578003755446</v>
      </c>
      <c r="LL17" s="15" t="n">
        <f aca="false">B17^2/LK17</f>
        <v>10.428485392173</v>
      </c>
      <c r="LM17" s="15" t="n">
        <f aca="false">Inputs!$B$54*H17/(Inputs!$B$35*F17+E17*H17^2/(PI()*LL17*Inputs!$B$36))</f>
        <v>19.5457501779009</v>
      </c>
      <c r="LN17" s="15" t="n">
        <f aca="false">EXP(-Inputs!$B$11*Inputs!$B$14*Inputs!$B$17/(Inputs!$B$51*LM17*Inputs!$B$16))</f>
        <v>0.755954292161188</v>
      </c>
      <c r="LO17" s="15" t="n">
        <f aca="false">Inputs!$B$50*Inputs!$B$18*LN17*Inputs!$B$19</f>
        <v>0.738661255184332</v>
      </c>
      <c r="LP17" s="15" t="n">
        <f aca="false">1-LO17</f>
        <v>0.261338744815669</v>
      </c>
      <c r="LQ17" s="15" t="n">
        <f aca="false">Inputs!$B$20*LP17</f>
        <v>0.00784016234447006</v>
      </c>
      <c r="LR17" s="15" t="n">
        <f aca="false">0.8*(1-Inputs!$B$50)*(LO17-LQ17)</f>
        <v>0.00176026153078283</v>
      </c>
      <c r="LS17" s="15" t="n">
        <f aca="false">LO17-LQ17-LR17</f>
        <v>0.729060831309079</v>
      </c>
      <c r="LT17" s="15" t="n">
        <f aca="false">LS17*(1-Inputs!$B$18*EXP(-Inputs!$B$21*Inputs!$B$14*Inputs!$B$17/(Inputs!$B$22*Inputs!$B$23*Inputs!$B$24*LM17*Inputs!$B$16))*Inputs!$B$19)</f>
        <v>0.0262397330483357</v>
      </c>
      <c r="LU17" s="15" t="n">
        <f aca="false">(LS17-LT17)*(1-EXP(-Inputs!$B$25*Inputs!$B$14*Inputs!$B$17*Inputs!$B$26/(LM17*Inputs!$B$16/0.866)))</f>
        <v>0.00746858268011763</v>
      </c>
      <c r="LV17" s="15" t="n">
        <f aca="false">(LS17-LT17-LU17)*(1-Inputs!$B$19)</f>
        <v>0.00347676257790313</v>
      </c>
      <c r="LW17" s="15" t="n">
        <f aca="false">(LP17+LQ17+LR17+LT17+LU17+LV17)*(1+Inputs!$B$27)</f>
        <v>0.30904861973827</v>
      </c>
      <c r="LX17" s="15" t="n">
        <f aca="false">Inputs!$B$52/(1-LW17-G17)</f>
        <v>193546.802252908</v>
      </c>
      <c r="LY17" s="15" t="n">
        <f aca="false">LX17/Inputs!$B$34</f>
        <v>322.578003754847</v>
      </c>
      <c r="LZ17" s="15" t="n">
        <f aca="false">B17^2/LY17</f>
        <v>10.4284853921924</v>
      </c>
      <c r="MA17" s="15" t="n">
        <f aca="false">Inputs!$B$54*H17/(Inputs!$B$35*F17+E17*H17^2/(PI()*LZ17*Inputs!$B$36))</f>
        <v>19.5457501779099</v>
      </c>
      <c r="MB17" s="15" t="n">
        <f aca="false">EXP(-Inputs!$B$11*Inputs!$B$14*Inputs!$B$17/(Inputs!$B$51*MA17*Inputs!$B$16))</f>
        <v>0.755954292161286</v>
      </c>
      <c r="MC17" s="15" t="n">
        <f aca="false">Inputs!$B$50*Inputs!$B$18*MB17*Inputs!$B$19</f>
        <v>0.738661255184427</v>
      </c>
      <c r="MD17" s="15" t="n">
        <f aca="false">1-MC17</f>
        <v>0.261338744815573</v>
      </c>
      <c r="ME17" s="15" t="n">
        <f aca="false">Inputs!$B$20*MD17</f>
        <v>0.00784016234446718</v>
      </c>
      <c r="MF17" s="15" t="n">
        <f aca="false">0.8*(1-Inputs!$B$50)*(MC17-ME17)</f>
        <v>0.00176026153078307</v>
      </c>
      <c r="MG17" s="15" t="n">
        <f aca="false">MC17-ME17-MF17</f>
        <v>0.729060831309177</v>
      </c>
      <c r="MH17" s="15" t="n">
        <f aca="false">MG17*(1-Inputs!$B$18*EXP(-Inputs!$B$21*Inputs!$B$14*Inputs!$B$17/(Inputs!$B$22*Inputs!$B$23*Inputs!$B$24*MA17*Inputs!$B$16))*Inputs!$B$19)</f>
        <v>0.0262397330483338</v>
      </c>
      <c r="MI17" s="15" t="n">
        <f aca="false">(MG17-MH17)*(1-EXP(-Inputs!$B$25*Inputs!$B$14*Inputs!$B$17*Inputs!$B$26/(MA17*Inputs!$B$16/0.866)))</f>
        <v>0.00746858268011519</v>
      </c>
      <c r="MJ17" s="15" t="n">
        <f aca="false">(MG17-MH17-MI17)*(1-Inputs!$B$19)</f>
        <v>0.00347676257790364</v>
      </c>
      <c r="MK17" s="15" t="n">
        <f aca="false">(MD17+ME17+MF17+MH17+MI17+MJ17)*(1+Inputs!$B$27)</f>
        <v>0.309048619738167</v>
      </c>
      <c r="ML17" s="15" t="n">
        <f aca="false">Inputs!$B$52/(1-MK17-G17)</f>
        <v>193546.80225279</v>
      </c>
      <c r="MM17" s="15" t="n">
        <f aca="false">ML17/Inputs!$B$34</f>
        <v>322.578003754651</v>
      </c>
      <c r="MN17" s="15" t="n">
        <f aca="false">B17^2/MM17</f>
        <v>10.4284853921987</v>
      </c>
      <c r="MO17" s="15" t="n">
        <f aca="false">Inputs!$B$54*H17/(Inputs!$B$35*F17+E17*H17^2/(PI()*MN17*Inputs!$B$36))</f>
        <v>19.5457501779129</v>
      </c>
      <c r="MP17" s="15" t="n">
        <f aca="false">EXP(-Inputs!$B$11*Inputs!$B$14*Inputs!$B$17/(Inputs!$B$51*MO17*Inputs!$B$16))</f>
        <v>0.755954292161318</v>
      </c>
      <c r="MQ17" s="15" t="n">
        <f aca="false">Inputs!$B$50*Inputs!$B$18*MP17*Inputs!$B$19</f>
        <v>0.738661255184459</v>
      </c>
      <c r="MR17" s="15" t="n">
        <f aca="false">1-MQ17</f>
        <v>0.261338744815541</v>
      </c>
      <c r="MS17" s="15" t="n">
        <f aca="false">Inputs!$B$20*MR17</f>
        <v>0.00784016234446623</v>
      </c>
      <c r="MT17" s="15" t="n">
        <f aca="false">0.8*(1-Inputs!$B$50)*(MQ17-MS17)</f>
        <v>0.00176026153078315</v>
      </c>
      <c r="MU17" s="15" t="n">
        <f aca="false">MQ17-MS17-MT17</f>
        <v>0.72906083130921</v>
      </c>
      <c r="MV17" s="15" t="n">
        <f aca="false">MU17*(1-Inputs!$B$18*EXP(-Inputs!$B$21*Inputs!$B$14*Inputs!$B$17/(Inputs!$B$22*Inputs!$B$23*Inputs!$B$24*MO17*Inputs!$B$16))*Inputs!$B$19)</f>
        <v>0.0262397330483332</v>
      </c>
      <c r="MW17" s="15" t="n">
        <f aca="false">(MU17-MV17)*(1-EXP(-Inputs!$B$25*Inputs!$B$14*Inputs!$B$17*Inputs!$B$26/(MO17*Inputs!$B$16/0.866)))</f>
        <v>0.00746858268011445</v>
      </c>
      <c r="MX17" s="15" t="n">
        <f aca="false">(MU17-MV17-MW17)*(1-Inputs!$B$19)</f>
        <v>0.00347676257790381</v>
      </c>
      <c r="MY17" s="15" t="n">
        <f aca="false">(MR17+MS17+MT17+MV17+MW17+MX17)*(1+Inputs!$B$27)</f>
        <v>0.309048619738133</v>
      </c>
      <c r="MZ17" s="15" t="n">
        <f aca="false">Inputs!$B$52/(1-MY17-G17)</f>
        <v>193546.802252752</v>
      </c>
      <c r="NA17" s="15" t="n">
        <f aca="false">MZ17/Inputs!$B$34</f>
        <v>322.578003754586</v>
      </c>
      <c r="NB17" s="15" t="n">
        <f aca="false">B17^2/NA17</f>
        <v>10.4284853922008</v>
      </c>
      <c r="NC17" s="15" t="n">
        <f aca="false">Inputs!$B$54*H17/(Inputs!$B$35*F17+E17*H17^2/(PI()*NB17*Inputs!$B$36))</f>
        <v>19.5457501779139</v>
      </c>
      <c r="ND17" s="15" t="n">
        <f aca="false">EXP(-Inputs!$B$11*Inputs!$B$14*Inputs!$B$17/(Inputs!$B$51*NC17*Inputs!$B$16))</f>
        <v>0.755954292161329</v>
      </c>
      <c r="NE17" s="15" t="n">
        <f aca="false">Inputs!$B$50*Inputs!$B$18*ND17*Inputs!$B$19</f>
        <v>0.738661255184469</v>
      </c>
      <c r="NF17" s="15" t="n">
        <f aca="false">1-NE17</f>
        <v>0.261338744815531</v>
      </c>
      <c r="NG17" s="15" t="n">
        <f aca="false">Inputs!$B$20*NF17</f>
        <v>0.00784016234446592</v>
      </c>
      <c r="NH17" s="15" t="n">
        <f aca="false">0.8*(1-Inputs!$B$50)*(NE17-NG17)</f>
        <v>0.00176026153078318</v>
      </c>
      <c r="NI17" s="15" t="n">
        <f aca="false">NE17-NG17-NH17</f>
        <v>0.72906083130922</v>
      </c>
      <c r="NJ17" s="15" t="n">
        <f aca="false">NI17*(1-Inputs!$B$18*EXP(-Inputs!$B$21*Inputs!$B$14*Inputs!$B$17/(Inputs!$B$22*Inputs!$B$23*Inputs!$B$24*NC17*Inputs!$B$16))*Inputs!$B$19)</f>
        <v>0.0262397330483331</v>
      </c>
      <c r="NK17" s="15" t="n">
        <f aca="false">(NI17-NJ17)*(1-EXP(-Inputs!$B$25*Inputs!$B$14*Inputs!$B$17*Inputs!$B$26/(NC17*Inputs!$B$16/0.866)))</f>
        <v>0.00746858268011417</v>
      </c>
      <c r="NL17" s="15" t="n">
        <f aca="false">(NI17-NJ17-NK17)*(1-Inputs!$B$19)</f>
        <v>0.00347676257790387</v>
      </c>
      <c r="NM17" s="15" t="n">
        <f aca="false">(NF17+NG17+NH17+NJ17+NK17+NL17)*(1+Inputs!$B$27)</f>
        <v>0.309048619738122</v>
      </c>
      <c r="NN17" s="15" t="n">
        <f aca="false">Inputs!$B$52/(1-NM17-G17)</f>
        <v>193546.802252739</v>
      </c>
    </row>
    <row r="18" customFormat="false" ht="15" hidden="false" customHeight="false" outlineLevel="0" collapsed="false">
      <c r="A18" s="0" t="s">
        <v>500</v>
      </c>
      <c r="B18" s="0" t="n">
        <v>60</v>
      </c>
      <c r="C18" s="12" t="n">
        <v>0</v>
      </c>
      <c r="D18" s="13" t="n">
        <f aca="false">B18*C18</f>
        <v>0</v>
      </c>
      <c r="E18" s="14" t="n">
        <f aca="false">IF(C18=0,1,(1+0.45*C18)/(1.04+2.81*C18))</f>
        <v>1</v>
      </c>
      <c r="F18" s="14" t="n">
        <f aca="false">1+Inputs!$B$42*D18</f>
        <v>1</v>
      </c>
      <c r="G18" s="15" t="n">
        <f aca="false">Inputs!$B$31+Inputs!$B$43*(B18/Inputs!$B$32-1)</f>
        <v>0.513125</v>
      </c>
      <c r="H18" s="12" t="n">
        <f aca="false">Inputs!$B$37</f>
        <v>0.5</v>
      </c>
      <c r="I18" s="13" t="n">
        <f aca="false">Inputs!$B$39</f>
        <v>2.6</v>
      </c>
      <c r="J18" s="16" t="n">
        <f aca="false">NN18/Inputs!$B$34</f>
        <v>343.086491547435</v>
      </c>
      <c r="K18" s="13" t="n">
        <f aca="false">B18^2/J18</f>
        <v>10.4929808916778</v>
      </c>
      <c r="L18" s="13" t="n">
        <f aca="false">K18</f>
        <v>10.4929808916778</v>
      </c>
      <c r="M18" s="12" t="n">
        <f aca="false">NC18</f>
        <v>17.9532184799856</v>
      </c>
      <c r="N18" s="13" t="n">
        <f aca="false">B18/SQRT(E18)</f>
        <v>60</v>
      </c>
      <c r="O18" s="14" t="n">
        <f aca="false">NM18</f>
        <v>0.328387267781951</v>
      </c>
      <c r="P18" s="13" t="n">
        <f aca="false">NN18/1000</f>
        <v>205.851894928461</v>
      </c>
      <c r="Q18" s="13" t="n">
        <f aca="false">G18*NN18/1000</f>
        <v>105.627753585167</v>
      </c>
      <c r="R18" s="13" t="n">
        <f aca="false">NM18*NN18/1000</f>
        <v>67.5991413432946</v>
      </c>
      <c r="S18" s="13" t="n">
        <f aca="false">NM18*NN18/Inputs!$B$28/1000</f>
        <v>90.1321884577261</v>
      </c>
      <c r="T18" s="17" t="n">
        <f aca="false">R18/Sweep!$R$5-1</f>
        <v>0.0816447303798003</v>
      </c>
      <c r="U18" s="17" t="n">
        <f aca="false">R18/SUMIFS(Sweep!$R:$R,Sweep!$A:$A,"Conventional",Sweep!$B:$B,B18)-1</f>
        <v>0</v>
      </c>
      <c r="V18" s="16" t="n">
        <f aca="false">1*0.54*(J18/1)^1.5/SQRT(L18)*Inputs!$B$46*Inputs!$B$47</f>
        <v>99.0515686841795</v>
      </c>
      <c r="W18" s="18" t="n">
        <f aca="false">MIN(1,V18/S18)</f>
        <v>1</v>
      </c>
      <c r="X18" s="16" t="n">
        <f aca="false">1.23*SQRT(2*Inputs!$B$41*NN18*Inputs!$B$49/(1.225*J18*I18))/0.5144</f>
        <v>128.387239561919</v>
      </c>
      <c r="Y18" s="19" t="n">
        <f aca="false">(11000+6341.6*LN(0.36392/(2*Inputs!$B$50*Inputs!$B$18*(1+ND18)/2*Inputs!$B$34*Inputs!$B$49/((Inputs!$B$12*295.07)^2*H18))))/0.3048</f>
        <v>38810.8871981847</v>
      </c>
      <c r="Z18" s="16" t="n">
        <f aca="false">NN18-MZ18</f>
        <v>0.00156494989641942</v>
      </c>
      <c r="AA18" s="20" t="str">
        <f aca="false">IF(ABS(NN18-MZ18)&lt;10,"Yes","No")</f>
        <v>Yes</v>
      </c>
      <c r="AC18" s="15" t="n">
        <f aca="false">Inputs!$B$52/(1-0.3154-G18)/Inputs!$B$34</f>
        <v>317.101618311707</v>
      </c>
      <c r="AD18" s="15" t="n">
        <f aca="false">B18^2/AC18</f>
        <v>11.3528275862069</v>
      </c>
      <c r="AE18" s="15" t="n">
        <f aca="false">Inputs!$B$54*H18/(Inputs!$B$35*F18+E18*H18^2/(PI()*AD18*Inputs!$B$36))</f>
        <v>18.4535793931067</v>
      </c>
      <c r="AF18" s="15" t="n">
        <f aca="false">EXP(-Inputs!$B$11*Inputs!$B$14*Inputs!$B$17/(Inputs!$B$51*AE18*Inputs!$B$16))</f>
        <v>0.743539977536912</v>
      </c>
      <c r="AG18" s="15" t="n">
        <f aca="false">Inputs!$B$50*Inputs!$B$18*AF18*Inputs!$B$19</f>
        <v>0.726530927573644</v>
      </c>
      <c r="AH18" s="15" t="n">
        <f aca="false">1-AG18</f>
        <v>0.273469072426357</v>
      </c>
      <c r="AI18" s="15" t="n">
        <f aca="false">Inputs!$B$20*AH18</f>
        <v>0.0082040721727907</v>
      </c>
      <c r="AJ18" s="15" t="n">
        <f aca="false">0.8*(1-Inputs!$B$50)*(AG18-AI18)</f>
        <v>0.00173016781053334</v>
      </c>
      <c r="AK18" s="15" t="n">
        <f aca="false">AG18-AI18-AJ18</f>
        <v>0.716596687590319</v>
      </c>
      <c r="AL18" s="15" t="n">
        <f aca="false">AK18*(1-Inputs!$B$18*EXP(-Inputs!$B$21*Inputs!$B$14*Inputs!$B$17/(Inputs!$B$22*Inputs!$B$23*Inputs!$B$24*AE18*Inputs!$B$16))*Inputs!$B$19)</f>
        <v>0.0264665790966932</v>
      </c>
      <c r="AM18" s="15" t="n">
        <f aca="false">(AK18-AL18)*(1-EXP(-Inputs!$B$25*Inputs!$B$14*Inputs!$B$17*Inputs!$B$26/(AE18*Inputs!$B$16/0.866)))</f>
        <v>0.00776531457624343</v>
      </c>
      <c r="AN18" s="15" t="n">
        <f aca="false">(AK18-AL18-AM18)*(1-Inputs!$B$19)</f>
        <v>0.00341182396958692</v>
      </c>
      <c r="AO18" s="15" t="n">
        <f aca="false">(AH18+AI18+AJ18+AL18+AM18+AN18)*(1+Inputs!$B$27)</f>
        <v>0.322010171142361</v>
      </c>
      <c r="AP18" s="15" t="n">
        <f aca="false">Inputs!$B$52/(1-AO18-G18)</f>
        <v>197889.387482224</v>
      </c>
      <c r="AQ18" s="15" t="n">
        <f aca="false">AP18/Inputs!$B$34</f>
        <v>329.815645803707</v>
      </c>
      <c r="AR18" s="15" t="n">
        <f aca="false">B18^2/AQ18</f>
        <v>10.9151886691954</v>
      </c>
      <c r="AS18" s="15" t="n">
        <f aca="false">Inputs!$B$54*H18/(Inputs!$B$35*F18+E18*H18^2/(PI()*AR18*Inputs!$B$36))</f>
        <v>18.2053221005158</v>
      </c>
      <c r="AT18" s="15" t="n">
        <f aca="false">EXP(-Inputs!$B$11*Inputs!$B$14*Inputs!$B$17/(Inputs!$B$51*AS18*Inputs!$B$16))</f>
        <v>0.740541433505133</v>
      </c>
      <c r="AU18" s="15" t="n">
        <f aca="false">Inputs!$B$50*Inputs!$B$18*AT18*Inputs!$B$19</f>
        <v>0.723600977547291</v>
      </c>
      <c r="AV18" s="15" t="n">
        <f aca="false">1-AU18</f>
        <v>0.276399022452709</v>
      </c>
      <c r="AW18" s="15" t="n">
        <f aca="false">Inputs!$B$20*AV18</f>
        <v>0.00829197067358128</v>
      </c>
      <c r="AX18" s="15" t="n">
        <f aca="false">0.8*(1-Inputs!$B$50)*(AU18-AW18)</f>
        <v>0.00172289899642807</v>
      </c>
      <c r="AY18" s="15" t="n">
        <f aca="false">AU18-AW18-AX18</f>
        <v>0.713586107877281</v>
      </c>
      <c r="AZ18" s="15" t="n">
        <f aca="false">AY18*(1-Inputs!$B$18*EXP(-Inputs!$B$21*Inputs!$B$14*Inputs!$B$17/(Inputs!$B$22*Inputs!$B$23*Inputs!$B$24*AS18*Inputs!$B$16))*Inputs!$B$19)</f>
        <v>0.0265194320600434</v>
      </c>
      <c r="BA18" s="15" t="n">
        <f aca="false">(AY18-AZ18)*(1-EXP(-Inputs!$B$25*Inputs!$B$14*Inputs!$B$17*Inputs!$B$26/(AS18*Inputs!$B$16/0.866)))</f>
        <v>0.00783566338152258</v>
      </c>
      <c r="BB18" s="15" t="n">
        <f aca="false">(AY18-AZ18-BA18)*(1-Inputs!$B$19)</f>
        <v>0.00339615506217858</v>
      </c>
      <c r="BC18" s="15" t="n">
        <f aca="false">(AV18+AW18+AX18+AZ18+BA18+BB18)*(1+Inputs!$B$27)</f>
        <v>0.325137638054343</v>
      </c>
      <c r="BD18" s="15" t="n">
        <f aca="false">Inputs!$B$52/(1-BC18-G18)</f>
        <v>201715.915280984</v>
      </c>
      <c r="BE18" s="15" t="n">
        <f aca="false">BD18/Inputs!$B$34</f>
        <v>336.193192134973</v>
      </c>
      <c r="BF18" s="15" t="n">
        <f aca="false">B18^2/BE18</f>
        <v>10.7081287908849</v>
      </c>
      <c r="BG18" s="15" t="n">
        <f aca="false">Inputs!$B$54*H18/(Inputs!$B$35*F18+E18*H18^2/(PI()*BF18*Inputs!$B$36))</f>
        <v>18.0832913303105</v>
      </c>
      <c r="BH18" s="15" t="n">
        <f aca="false">EXP(-Inputs!$B$11*Inputs!$B$14*Inputs!$B$17/(Inputs!$B$51*BG18*Inputs!$B$16))</f>
        <v>0.739041876267383</v>
      </c>
      <c r="BI18" s="15" t="n">
        <f aca="false">Inputs!$B$50*Inputs!$B$18*BH18*Inputs!$B$19</f>
        <v>0.722135723836924</v>
      </c>
      <c r="BJ18" s="15" t="n">
        <f aca="false">1-BI18</f>
        <v>0.277864276163077</v>
      </c>
      <c r="BK18" s="15" t="n">
        <f aca="false">Inputs!$B$20*BJ18</f>
        <v>0.0083359282848923</v>
      </c>
      <c r="BL18" s="15" t="n">
        <f aca="false">0.8*(1-Inputs!$B$50)*(BI18-BK18)</f>
        <v>0.00171926389796499</v>
      </c>
      <c r="BM18" s="15" t="n">
        <f aca="false">BI18-BK18-BL18</f>
        <v>0.712080531654066</v>
      </c>
      <c r="BN18" s="15" t="n">
        <f aca="false">BM18*(1-Inputs!$B$18*EXP(-Inputs!$B$21*Inputs!$B$14*Inputs!$B$17/(Inputs!$B$22*Inputs!$B$23*Inputs!$B$24*BG18*Inputs!$B$16))*Inputs!$B$19)</f>
        <v>0.0265455784434075</v>
      </c>
      <c r="BO18" s="15" t="n">
        <f aca="false">(BM18-BN18)*(1-EXP(-Inputs!$B$25*Inputs!$B$14*Inputs!$B$17*Inputs!$B$26/(BG18*Inputs!$B$16/0.866)))</f>
        <v>0.00787065001789208</v>
      </c>
      <c r="BP18" s="15" t="n">
        <f aca="false">(BM18-BN18-BO18)*(1-Inputs!$B$19)</f>
        <v>0.00338832151596384</v>
      </c>
      <c r="BQ18" s="15" t="n">
        <f aca="false">(BJ18+BK18+BL18+BN18+BO18+BP18)*(1+Inputs!$B$27)</f>
        <v>0.326701190378167</v>
      </c>
      <c r="BR18" s="15" t="n">
        <f aca="false">Inputs!$B$52/(1-BQ18-G18)</f>
        <v>203684.98493622</v>
      </c>
      <c r="BS18" s="15" t="n">
        <f aca="false">BR18/Inputs!$B$34</f>
        <v>339.474974893699</v>
      </c>
      <c r="BT18" s="15" t="n">
        <f aca="false">B18^2/BS18</f>
        <v>10.6046108439283</v>
      </c>
      <c r="BU18" s="15" t="n">
        <f aca="false">Inputs!$B$54*H18/(Inputs!$B$35*F18+E18*H18^2/(PI()*BT18*Inputs!$B$36))</f>
        <v>18.0211315816696</v>
      </c>
      <c r="BV18" s="15" t="n">
        <f aca="false">EXP(-Inputs!$B$11*Inputs!$B$14*Inputs!$B$17/(Inputs!$B$51*BU18*Inputs!$B$16))</f>
        <v>0.738271411925199</v>
      </c>
      <c r="BW18" s="15" t="n">
        <f aca="false">Inputs!$B$50*Inputs!$B$18*BV18*Inputs!$B$19</f>
        <v>0.721382884460292</v>
      </c>
      <c r="BX18" s="15" t="n">
        <f aca="false">1-BW18</f>
        <v>0.278617115539708</v>
      </c>
      <c r="BY18" s="15" t="n">
        <f aca="false">Inputs!$B$20*BX18</f>
        <v>0.00835851346619124</v>
      </c>
      <c r="BZ18" s="15" t="n">
        <f aca="false">0.8*(1-Inputs!$B$50)*(BW18-BY18)</f>
        <v>0.00171739620417136</v>
      </c>
      <c r="CA18" s="15" t="n">
        <f aca="false">BW18-BY18-BZ18</f>
        <v>0.71130697478993</v>
      </c>
      <c r="CB18" s="15" t="n">
        <f aca="false">CA18*(1-Inputs!$B$18*EXP(-Inputs!$B$21*Inputs!$B$14*Inputs!$B$17/(Inputs!$B$22*Inputs!$B$23*Inputs!$B$24*BU18*Inputs!$B$16))*Inputs!$B$19)</f>
        <v>0.0265589382105581</v>
      </c>
      <c r="CC18" s="15" t="n">
        <f aca="false">(CA18-CB18)*(1-EXP(-Inputs!$B$25*Inputs!$B$14*Inputs!$B$17*Inputs!$B$26/(BU18*Inputs!$B$16/0.866)))</f>
        <v>0.00788857543486168</v>
      </c>
      <c r="CD18" s="15" t="n">
        <f aca="false">(CA18-CB18-CC18)*(1-Inputs!$B$19)</f>
        <v>0.00338429730572255</v>
      </c>
      <c r="CE18" s="15" t="n">
        <f aca="false">(BX18+BY18+BZ18+CB18+CC18+CD18)*(1+Inputs!$B$27)</f>
        <v>0.327504410669696</v>
      </c>
      <c r="CF18" s="15" t="n">
        <f aca="false">Inputs!$B$52/(1-CE18-G18)</f>
        <v>204711.547702086</v>
      </c>
      <c r="CG18" s="15" t="n">
        <f aca="false">CF18/Inputs!$B$34</f>
        <v>341.18591283681</v>
      </c>
      <c r="CH18" s="15" t="n">
        <f aca="false">B18^2/CG18</f>
        <v>10.5514321211787</v>
      </c>
      <c r="CI18" s="15" t="n">
        <f aca="false">Inputs!$B$54*H18/(Inputs!$B$35*F18+E18*H18^2/(PI()*CH18*Inputs!$B$36))</f>
        <v>17.9888941328917</v>
      </c>
      <c r="CJ18" s="15" t="n">
        <f aca="false">EXP(-Inputs!$B$11*Inputs!$B$14*Inputs!$B$17/(Inputs!$B$51*CI18*Inputs!$B$16))</f>
        <v>0.737870053506544</v>
      </c>
      <c r="CK18" s="15" t="n">
        <f aca="false">Inputs!$B$50*Inputs!$B$18*CJ18*Inputs!$B$19</f>
        <v>0.720990707424753</v>
      </c>
      <c r="CL18" s="15" t="n">
        <f aca="false">1-CK18</f>
        <v>0.279009292575247</v>
      </c>
      <c r="CM18" s="15" t="n">
        <f aca="false">Inputs!$B$20*CL18</f>
        <v>0.0083702787772574</v>
      </c>
      <c r="CN18" s="15" t="n">
        <f aca="false">0.8*(1-Inputs!$B$50)*(CK18-CM18)</f>
        <v>0.00171642326540379</v>
      </c>
      <c r="CO18" s="15" t="n">
        <f aca="false">CK18-CM18-CN18</f>
        <v>0.710904005382092</v>
      </c>
      <c r="CP18" s="15" t="n">
        <f aca="false">CO18*(1-Inputs!$B$18*EXP(-Inputs!$B$21*Inputs!$B$14*Inputs!$B$17/(Inputs!$B$22*Inputs!$B$23*Inputs!$B$24*CI18*Inputs!$B$16))*Inputs!$B$19)</f>
        <v>0.0265658777710084</v>
      </c>
      <c r="CQ18" s="15" t="n">
        <f aca="false">(CO18-CP18)*(1-EXP(-Inputs!$B$25*Inputs!$B$14*Inputs!$B$17*Inputs!$B$26/(CI18*Inputs!$B$16/0.866)))</f>
        <v>0.00789789973079806</v>
      </c>
      <c r="CR18" s="15" t="n">
        <f aca="false">(CO18-CP18-CQ18)*(1-Inputs!$B$19)</f>
        <v>0.00338220113940143</v>
      </c>
      <c r="CS18" s="15" t="n">
        <f aca="false">(CL18+CM18+CN18+CP18+CQ18+CR18)*(1+Inputs!$B$27)</f>
        <v>0.327922799178893</v>
      </c>
      <c r="CT18" s="15" t="n">
        <f aca="false">Inputs!$B$52/(1-CS18-G18)</f>
        <v>205250.382388338</v>
      </c>
      <c r="CU18" s="15" t="n">
        <f aca="false">CT18/Inputs!$B$34</f>
        <v>342.083970647229</v>
      </c>
      <c r="CV18" s="15" t="n">
        <f aca="false">B18^2/CU18</f>
        <v>10.5237319164319</v>
      </c>
      <c r="CW18" s="15" t="n">
        <f aca="false">Inputs!$B$54*H18/(Inputs!$B$35*F18+E18*H18^2/(PI()*CV18*Inputs!$B$36))</f>
        <v>17.9720190655478</v>
      </c>
      <c r="CX18" s="15" t="n">
        <f aca="false">EXP(-Inputs!$B$11*Inputs!$B$14*Inputs!$B$17/(Inputs!$B$51*CW18*Inputs!$B$16))</f>
        <v>0.737659470973569</v>
      </c>
      <c r="CY18" s="15" t="n">
        <f aca="false">Inputs!$B$50*Inputs!$B$18*CX18*Inputs!$B$19</f>
        <v>0.720784942129497</v>
      </c>
      <c r="CZ18" s="15" t="n">
        <f aca="false">1-CY18</f>
        <v>0.279215057870503</v>
      </c>
      <c r="DA18" s="15" t="n">
        <f aca="false">Inputs!$B$20*CZ18</f>
        <v>0.0083764517361151</v>
      </c>
      <c r="DB18" s="15" t="n">
        <f aca="false">0.8*(1-Inputs!$B$50)*(CY18-DA18)</f>
        <v>0.00171591278922942</v>
      </c>
      <c r="DC18" s="15" t="n">
        <f aca="false">CY18-DA18-DB18</f>
        <v>0.710692577604152</v>
      </c>
      <c r="DD18" s="15" t="n">
        <f aca="false">DC18*(1-Inputs!$B$18*EXP(-Inputs!$B$21*Inputs!$B$14*Inputs!$B$17/(Inputs!$B$22*Inputs!$B$23*Inputs!$B$24*CW18*Inputs!$B$16))*Inputs!$B$19)</f>
        <v>0.0265695133119107</v>
      </c>
      <c r="DE18" s="15" t="n">
        <f aca="false">(DC18-DD18)*(1-EXP(-Inputs!$B$25*Inputs!$B$14*Inputs!$B$17*Inputs!$B$26/(CW18*Inputs!$B$16/0.866)))</f>
        <v>0.00790278822249364</v>
      </c>
      <c r="DF18" s="15" t="n">
        <f aca="false">(DC18-DD18-DE18)*(1-Inputs!$B$19)</f>
        <v>0.00338110138034874</v>
      </c>
      <c r="DG18" s="15" t="n">
        <f aca="false">(CZ18+DA18+DB18+DD18+DE18+DF18)*(1+Inputs!$B$27)</f>
        <v>0.328142307786533</v>
      </c>
      <c r="DH18" s="15" t="n">
        <f aca="false">Inputs!$B$52/(1-DG18-G18)</f>
        <v>205534.21947966</v>
      </c>
      <c r="DI18" s="15" t="n">
        <f aca="false">DH18/Inputs!$B$34</f>
        <v>342.557032466099</v>
      </c>
      <c r="DJ18" s="15" t="n">
        <f aca="false">B18^2/DI18</f>
        <v>10.5091989327537</v>
      </c>
      <c r="DK18" s="15" t="n">
        <f aca="false">Inputs!$B$54*H18/(Inputs!$B$35*F18+E18*H18^2/(PI()*DJ18*Inputs!$B$36))</f>
        <v>17.9631426633801</v>
      </c>
      <c r="DL18" s="15" t="n">
        <f aca="false">EXP(-Inputs!$B$11*Inputs!$B$14*Inputs!$B$17/(Inputs!$B$51*DK18*Inputs!$B$16))</f>
        <v>0.737548568478497</v>
      </c>
      <c r="DM18" s="15" t="n">
        <f aca="false">Inputs!$B$50*Inputs!$B$18*DL18*Inputs!$B$19</f>
        <v>0.720676576614461</v>
      </c>
      <c r="DN18" s="15" t="n">
        <f aca="false">1-DM18</f>
        <v>0.279323423385539</v>
      </c>
      <c r="DO18" s="15" t="n">
        <f aca="false">Inputs!$B$20*DN18</f>
        <v>0.00837970270156616</v>
      </c>
      <c r="DP18" s="15" t="n">
        <f aca="false">0.8*(1-Inputs!$B$50)*(DM18-DO18)</f>
        <v>0.00171564394888159</v>
      </c>
      <c r="DQ18" s="15" t="n">
        <f aca="false">DM18-DO18-DP18</f>
        <v>0.710581229964014</v>
      </c>
      <c r="DR18" s="15" t="n">
        <f aca="false">DQ18*(1-Inputs!$B$18*EXP(-Inputs!$B$21*Inputs!$B$14*Inputs!$B$17/(Inputs!$B$22*Inputs!$B$23*Inputs!$B$24*DK18*Inputs!$B$16))*Inputs!$B$19)</f>
        <v>0.0265714264420014</v>
      </c>
      <c r="DS18" s="15" t="n">
        <f aca="false">(DQ18-DR18)*(1-EXP(-Inputs!$B$25*Inputs!$B$14*Inputs!$B$17*Inputs!$B$26/(DK18*Inputs!$B$16/0.866)))</f>
        <v>0.00790536169622464</v>
      </c>
      <c r="DT18" s="15" t="n">
        <f aca="false">(DQ18-DR18-DS18)*(1-Inputs!$B$19)</f>
        <v>0.00338052220912894</v>
      </c>
      <c r="DU18" s="15" t="n">
        <f aca="false">(DN18+DO18+DP18+DR18+DS18+DT18)*(1+Inputs!$B$27)</f>
        <v>0.328257908624491</v>
      </c>
      <c r="DV18" s="15" t="n">
        <f aca="false">Inputs!$B$52/(1-DU18-G18)</f>
        <v>205684.013728154</v>
      </c>
      <c r="DW18" s="15" t="n">
        <f aca="false">DV18/Inputs!$B$34</f>
        <v>342.806689546924</v>
      </c>
      <c r="DX18" s="15" t="n">
        <f aca="false">B18^2/DW18</f>
        <v>10.5015453600337</v>
      </c>
      <c r="DY18" s="15" t="n">
        <f aca="false">Inputs!$B$54*H18/(Inputs!$B$35*F18+E18*H18^2/(PI()*DX18*Inputs!$B$36))</f>
        <v>17.9584617002132</v>
      </c>
      <c r="DZ18" s="15" t="n">
        <f aca="false">EXP(-Inputs!$B$11*Inputs!$B$14*Inputs!$B$17/(Inputs!$B$51*DY18*Inputs!$B$16))</f>
        <v>0.737490046711885</v>
      </c>
      <c r="EA18" s="15" t="n">
        <f aca="false">Inputs!$B$50*Inputs!$B$18*DZ18*Inputs!$B$19</f>
        <v>0.720619393578358</v>
      </c>
      <c r="EB18" s="15" t="n">
        <f aca="false">1-EA18</f>
        <v>0.279380606421642</v>
      </c>
      <c r="EC18" s="15" t="n">
        <f aca="false">Inputs!$B$20*EB18</f>
        <v>0.00838141819264927</v>
      </c>
      <c r="ED18" s="15" t="n">
        <f aca="false">0.8*(1-Inputs!$B$50)*(EA18-EC18)</f>
        <v>0.00171550208541782</v>
      </c>
      <c r="EE18" s="15" t="n">
        <f aca="false">EA18-EC18-ED18</f>
        <v>0.710522473300291</v>
      </c>
      <c r="EF18" s="15" t="n">
        <f aca="false">EE18*(1-Inputs!$B$18*EXP(-Inputs!$B$21*Inputs!$B$14*Inputs!$B$17/(Inputs!$B$22*Inputs!$B$23*Inputs!$B$24*DY18*Inputs!$B$16))*Inputs!$B$19)</f>
        <v>0.0265724355541745</v>
      </c>
      <c r="EG18" s="15" t="n">
        <f aca="false">(EE18-EF18)*(1-EXP(-Inputs!$B$25*Inputs!$B$14*Inputs!$B$17*Inputs!$B$26/(DY18*Inputs!$B$16/0.866)))</f>
        <v>0.00790671939694835</v>
      </c>
      <c r="EH18" s="15" t="n">
        <f aca="false">(EE18-EF18-EG18)*(1-Inputs!$B$19)</f>
        <v>0.00338021659174584</v>
      </c>
      <c r="EI18" s="15" t="n">
        <f aca="false">(EB18+EC18+ED18+EF18+EG18+EH18)*(1+Inputs!$B$27)</f>
        <v>0.328318908937306</v>
      </c>
      <c r="EJ18" s="15" t="n">
        <f aca="false">Inputs!$B$52/(1-EI18-G18)</f>
        <v>205763.145277717</v>
      </c>
      <c r="EK18" s="15" t="n">
        <f aca="false">EJ18/Inputs!$B$34</f>
        <v>342.938575462861</v>
      </c>
      <c r="EL18" s="15" t="n">
        <f aca="false">B18^2/EK18</f>
        <v>10.4975067186335</v>
      </c>
      <c r="EM18" s="15" t="n">
        <f aca="false">Inputs!$B$54*H18/(Inputs!$B$35*F18+E18*H18^2/(PI()*EL18*Inputs!$B$36))</f>
        <v>17.9559898805175</v>
      </c>
      <c r="EN18" s="15" t="n">
        <f aca="false">EXP(-Inputs!$B$11*Inputs!$B$14*Inputs!$B$17/(Inputs!$B$51*EM18*Inputs!$B$16))</f>
        <v>0.737459133393517</v>
      </c>
      <c r="EO18" s="15" t="n">
        <f aca="false">Inputs!$B$50*Inputs!$B$18*EN18*Inputs!$B$19</f>
        <v>0.72058918742597</v>
      </c>
      <c r="EP18" s="15" t="n">
        <f aca="false">1-EO18</f>
        <v>0.27941081257403</v>
      </c>
      <c r="EQ18" s="15" t="n">
        <f aca="false">Inputs!$B$20*EP18</f>
        <v>0.0083823243772209</v>
      </c>
      <c r="ER18" s="15" t="n">
        <f aca="false">0.8*(1-Inputs!$B$50)*(EO18-EQ18)</f>
        <v>0.00171542714799412</v>
      </c>
      <c r="ES18" s="15" t="n">
        <f aca="false">EO18-EQ18-ER18</f>
        <v>0.710491435900755</v>
      </c>
      <c r="ET18" s="15" t="n">
        <f aca="false">ES18*(1-Inputs!$B$18*EXP(-Inputs!$B$21*Inputs!$B$14*Inputs!$B$17/(Inputs!$B$22*Inputs!$B$23*Inputs!$B$24*EM18*Inputs!$B$16))*Inputs!$B$19)</f>
        <v>0.0265729684863857</v>
      </c>
      <c r="EU18" s="15" t="n">
        <f aca="false">(ES18-ET18)*(1-EXP(-Inputs!$B$25*Inputs!$B$14*Inputs!$B$17*Inputs!$B$26/(EM18*Inputs!$B$16/0.866)))</f>
        <v>0.00790743650364329</v>
      </c>
      <c r="EV18" s="15" t="n">
        <f aca="false">(ES18-ET18-EU18)*(1-Inputs!$B$19)</f>
        <v>0.00338005515455363</v>
      </c>
      <c r="EW18" s="15" t="n">
        <f aca="false">(EP18+EQ18+ER18+ET18+EU18+EV18)*(1+Inputs!$B$27)</f>
        <v>0.328351131316559</v>
      </c>
      <c r="EX18" s="15" t="n">
        <f aca="false">Inputs!$B$52/(1-EW18-G18)</f>
        <v>205804.969756002</v>
      </c>
      <c r="EY18" s="15" t="n">
        <f aca="false">EX18/Inputs!$B$34</f>
        <v>343.00828292667</v>
      </c>
      <c r="EZ18" s="15" t="n">
        <f aca="false">B18^2/EY18</f>
        <v>10.4953733749037</v>
      </c>
      <c r="FA18" s="15" t="n">
        <f aca="false">Inputs!$B$54*H18/(Inputs!$B$35*F18+E18*H18^2/(PI()*EZ18*Inputs!$B$36))</f>
        <v>17.9546836907529</v>
      </c>
      <c r="FB18" s="15" t="n">
        <f aca="false">EXP(-Inputs!$B$11*Inputs!$B$14*Inputs!$B$17/(Inputs!$B$51*FA18*Inputs!$B$16))</f>
        <v>0.737442794878736</v>
      </c>
      <c r="FC18" s="15" t="n">
        <f aca="false">Inputs!$B$50*Inputs!$B$18*FB18*Inputs!$B$19</f>
        <v>0.720573222667305</v>
      </c>
      <c r="FD18" s="15" t="n">
        <f aca="false">1-FC18</f>
        <v>0.279426777332695</v>
      </c>
      <c r="FE18" s="15" t="n">
        <f aca="false">Inputs!$B$20*FD18</f>
        <v>0.00838280331998086</v>
      </c>
      <c r="FF18" s="15" t="n">
        <f aca="false">0.8*(1-Inputs!$B$50)*(FC18-FE18)</f>
        <v>0.00171538754156332</v>
      </c>
      <c r="FG18" s="15" t="n">
        <f aca="false">FC18-FE18-FF18</f>
        <v>0.71047503180576</v>
      </c>
      <c r="FH18" s="15" t="n">
        <f aca="false">FG18*(1-Inputs!$B$18*EXP(-Inputs!$B$21*Inputs!$B$14*Inputs!$B$17/(Inputs!$B$22*Inputs!$B$23*Inputs!$B$24*FA18*Inputs!$B$16))*Inputs!$B$19)</f>
        <v>0.0265732501225111</v>
      </c>
      <c r="FI18" s="15" t="n">
        <f aca="false">(FG18-FH18)*(1-EXP(-Inputs!$B$25*Inputs!$B$14*Inputs!$B$17*Inputs!$B$26/(FA18*Inputs!$B$16/0.866)))</f>
        <v>0.00790781549134182</v>
      </c>
      <c r="FJ18" s="15" t="n">
        <f aca="false">(FG18-FH18-FI18)*(1-Inputs!$B$19)</f>
        <v>0.00337996983095954</v>
      </c>
      <c r="FK18" s="15" t="n">
        <f aca="false">(FD18+FE18+FF18+FH18+FI18+FJ18)*(1+Inputs!$B$27)</f>
        <v>0.328368161649969</v>
      </c>
      <c r="FL18" s="15" t="n">
        <f aca="false">Inputs!$B$52/(1-FK18-G18)</f>
        <v>205827.081907685</v>
      </c>
      <c r="FM18" s="15" t="n">
        <f aca="false">FL18/Inputs!$B$34</f>
        <v>343.045136512809</v>
      </c>
      <c r="FN18" s="15" t="n">
        <f aca="false">B18^2/FM18</f>
        <v>10.4942458493813</v>
      </c>
      <c r="FO18" s="15" t="n">
        <f aca="false">Inputs!$B$54*H18/(Inputs!$B$35*F18+E18*H18^2/(PI()*FN18*Inputs!$B$36))</f>
        <v>17.9539931990679</v>
      </c>
      <c r="FP18" s="15" t="n">
        <f aca="false">EXP(-Inputs!$B$11*Inputs!$B$14*Inputs!$B$17/(Inputs!$B$51*FO18*Inputs!$B$16))</f>
        <v>0.737434157028033</v>
      </c>
      <c r="FQ18" s="15" t="n">
        <f aca="false">Inputs!$B$50*Inputs!$B$18*FP18*Inputs!$B$19</f>
        <v>0.720564782414094</v>
      </c>
      <c r="FR18" s="15" t="n">
        <f aca="false">1-FQ18</f>
        <v>0.279435217585907</v>
      </c>
      <c r="FS18" s="15" t="n">
        <f aca="false">Inputs!$B$20*FR18</f>
        <v>0.0083830565275772</v>
      </c>
      <c r="FT18" s="15" t="n">
        <f aca="false">0.8*(1-Inputs!$B$50)*(FQ18-FS18)</f>
        <v>0.00171536660242407</v>
      </c>
      <c r="FU18" s="15" t="n">
        <f aca="false">FQ18-FS18-FT18</f>
        <v>0.710466359284092</v>
      </c>
      <c r="FV18" s="15" t="n">
        <f aca="false">FU18*(1-Inputs!$B$18*EXP(-Inputs!$B$21*Inputs!$B$14*Inputs!$B$17/(Inputs!$B$22*Inputs!$B$23*Inputs!$B$24*FO18*Inputs!$B$16))*Inputs!$B$19)</f>
        <v>0.0265733990088159</v>
      </c>
      <c r="FW18" s="15" t="n">
        <f aca="false">(FU18-FV18)*(1-EXP(-Inputs!$B$25*Inputs!$B$14*Inputs!$B$17*Inputs!$B$26/(FO18*Inputs!$B$16/0.866)))</f>
        <v>0.00790801584842121</v>
      </c>
      <c r="FX18" s="15" t="n">
        <f aca="false">(FU18-FV18-FW18)*(1-Inputs!$B$19)</f>
        <v>0.00337992472213428</v>
      </c>
      <c r="FY18" s="15" t="n">
        <f aca="false">(FR18+FS18+FT18+FV18+FW18+FX18)*(1+Inputs!$B$27)</f>
        <v>0.328377165236165</v>
      </c>
      <c r="FZ18" s="15" t="n">
        <f aca="false">Inputs!$B$52/(1-FY18-G18)</f>
        <v>205838.77406661</v>
      </c>
      <c r="GA18" s="15" t="n">
        <f aca="false">FZ18/Inputs!$B$34</f>
        <v>343.064623444351</v>
      </c>
      <c r="GB18" s="15" t="n">
        <f aca="false">B18^2/GA18</f>
        <v>10.4936497498815</v>
      </c>
      <c r="GC18" s="15" t="n">
        <f aca="false">Inputs!$B$54*H18/(Inputs!$B$35*F18+E18*H18^2/(PI()*GB18*Inputs!$B$36))</f>
        <v>17.9536281118529</v>
      </c>
      <c r="GD18" s="15" t="n">
        <f aca="false">EXP(-Inputs!$B$11*Inputs!$B$14*Inputs!$B$17/(Inputs!$B$51*GC18*Inputs!$B$16))</f>
        <v>0.737429589665238</v>
      </c>
      <c r="GE18" s="15" t="n">
        <f aca="false">Inputs!$B$50*Inputs!$B$18*GD18*Inputs!$B$19</f>
        <v>0.720560319533241</v>
      </c>
      <c r="GF18" s="15" t="n">
        <f aca="false">1-GE18</f>
        <v>0.279439680466759</v>
      </c>
      <c r="GG18" s="15" t="n">
        <f aca="false">Inputs!$B$20*GF18</f>
        <v>0.00838319041400276</v>
      </c>
      <c r="GH18" s="15" t="n">
        <f aca="false">0.8*(1-Inputs!$B$50)*(GE18-GG18)</f>
        <v>0.00171535553061363</v>
      </c>
      <c r="GI18" s="15" t="n">
        <f aca="false">GE18-GG18-GH18</f>
        <v>0.710461773588625</v>
      </c>
      <c r="GJ18" s="15" t="n">
        <f aca="false">GI18*(1-Inputs!$B$18*EXP(-Inputs!$B$21*Inputs!$B$14*Inputs!$B$17/(Inputs!$B$22*Inputs!$B$23*Inputs!$B$24*GC18*Inputs!$B$16))*Inputs!$B$19)</f>
        <v>0.0265734777315984</v>
      </c>
      <c r="GK18" s="15" t="n">
        <f aca="false">(GI18-GJ18)*(1-EXP(-Inputs!$B$25*Inputs!$B$14*Inputs!$B$17*Inputs!$B$26/(GC18*Inputs!$B$16/0.866)))</f>
        <v>0.00790812178778261</v>
      </c>
      <c r="GL18" s="15" t="n">
        <f aca="false">(GI18-GJ18-GK18)*(1-Inputs!$B$19)</f>
        <v>0.00337990087034622</v>
      </c>
      <c r="GM18" s="15" t="n">
        <f aca="false">(GF18+GG18+GH18+GJ18+GK18+GL18)*(1+Inputs!$B$27)</f>
        <v>0.328381925981506</v>
      </c>
      <c r="GN18" s="15" t="n">
        <f aca="false">Inputs!$B$52/(1-GM18-G18)</f>
        <v>205844.956961293</v>
      </c>
      <c r="GO18" s="15" t="n">
        <f aca="false">GN18/Inputs!$B$34</f>
        <v>343.074928268822</v>
      </c>
      <c r="GP18" s="15" t="n">
        <f aca="false">B18^2/GO18</f>
        <v>10.4933345557072</v>
      </c>
      <c r="GQ18" s="15" t="n">
        <f aca="false">Inputs!$B$54*H18/(Inputs!$B$35*F18+E18*H18^2/(PI()*GP18*Inputs!$B$36))</f>
        <v>17.9534350572047</v>
      </c>
      <c r="GR18" s="15" t="n">
        <f aca="false">EXP(-Inputs!$B$11*Inputs!$B$14*Inputs!$B$17/(Inputs!$B$51*GQ18*Inputs!$B$16))</f>
        <v>0.737427174423568</v>
      </c>
      <c r="GS18" s="15" t="n">
        <f aca="false">Inputs!$B$50*Inputs!$B$18*GR18*Inputs!$B$19</f>
        <v>0.720557959542086</v>
      </c>
      <c r="GT18" s="15" t="n">
        <f aca="false">1-GS18</f>
        <v>0.279442040457914</v>
      </c>
      <c r="GU18" s="15" t="n">
        <f aca="false">Inputs!$B$20*GT18</f>
        <v>0.00838326121373742</v>
      </c>
      <c r="GV18" s="15" t="n">
        <f aca="false">0.8*(1-Inputs!$B$50)*(GS18-GU18)</f>
        <v>0.00171534967579125</v>
      </c>
      <c r="GW18" s="15" t="n">
        <f aca="false">GS18-GU18-GV18</f>
        <v>0.710459348652557</v>
      </c>
      <c r="GX18" s="15" t="n">
        <f aca="false">GW18*(1-Inputs!$B$18*EXP(-Inputs!$B$21*Inputs!$B$14*Inputs!$B$17/(Inputs!$B$22*Inputs!$B$23*Inputs!$B$24*GQ18*Inputs!$B$16))*Inputs!$B$19)</f>
        <v>0.026573519359838</v>
      </c>
      <c r="GY18" s="15" t="n">
        <f aca="false">(GW18-GX18)*(1-EXP(-Inputs!$B$25*Inputs!$B$14*Inputs!$B$17*Inputs!$B$26/(GQ18*Inputs!$B$16/0.866)))</f>
        <v>0.00790817780849771</v>
      </c>
      <c r="GZ18" s="15" t="n">
        <f aca="false">(GW18-GX18-GY18)*(1-Inputs!$B$19)</f>
        <v>0.00337988825742111</v>
      </c>
      <c r="HA18" s="15" t="n">
        <f aca="false">(GT18+GU18+GV18+GX18+GY18+GZ18)*(1+Inputs!$B$27)</f>
        <v>0.328384443483519</v>
      </c>
      <c r="HB18" s="15" t="n">
        <f aca="false">Inputs!$B$52/(1-HA18-G18)</f>
        <v>205848.226651961</v>
      </c>
      <c r="HC18" s="15" t="n">
        <f aca="false">HB18/Inputs!$B$34</f>
        <v>343.080377753269</v>
      </c>
      <c r="HD18" s="15" t="n">
        <f aca="false">B18^2/HC18</f>
        <v>10.4931678797118</v>
      </c>
      <c r="HE18" s="15" t="n">
        <f aca="false">Inputs!$B$54*H18/(Inputs!$B$35*F18+E18*H18^2/(PI()*HD18*Inputs!$B$36))</f>
        <v>17.953332966091</v>
      </c>
      <c r="HF18" s="15" t="n">
        <f aca="false">EXP(-Inputs!$B$11*Inputs!$B$14*Inputs!$B$17/(Inputs!$B$51*HE18*Inputs!$B$16))</f>
        <v>0.737425897178235</v>
      </c>
      <c r="HG18" s="15" t="n">
        <f aca="false">Inputs!$B$50*Inputs!$B$18*HF18*Inputs!$B$19</f>
        <v>0.720556711514724</v>
      </c>
      <c r="HH18" s="15" t="n">
        <f aca="false">1-HG18</f>
        <v>0.279443288485276</v>
      </c>
      <c r="HI18" s="15" t="n">
        <f aca="false">Inputs!$B$20*HH18</f>
        <v>0.00838329865455827</v>
      </c>
      <c r="HJ18" s="15" t="n">
        <f aca="false">0.8*(1-Inputs!$B$50)*(HG18-HI18)</f>
        <v>0.0017153465796023</v>
      </c>
      <c r="HK18" s="15" t="n">
        <f aca="false">HG18-HI18-HJ18</f>
        <v>0.710458066280564</v>
      </c>
      <c r="HL18" s="15" t="n">
        <f aca="false">HK18*(1-Inputs!$B$18*EXP(-Inputs!$B$21*Inputs!$B$14*Inputs!$B$17/(Inputs!$B$22*Inputs!$B$23*Inputs!$B$24*HE18*Inputs!$B$16))*Inputs!$B$19)</f>
        <v>0.0265735413737805</v>
      </c>
      <c r="HM18" s="15" t="n">
        <f aca="false">(HK18-HL18)*(1-EXP(-Inputs!$B$25*Inputs!$B$14*Inputs!$B$17*Inputs!$B$26/(HE18*Inputs!$B$16/0.866)))</f>
        <v>0.00790820743363542</v>
      </c>
      <c r="HN18" s="15" t="n">
        <f aca="false">(HK18-HL18-HM18)*(1-Inputs!$B$19)</f>
        <v>0.00337988158736574</v>
      </c>
      <c r="HO18" s="15" t="n">
        <f aca="false">(HH18+HI18+HJ18+HL18+HM18+HN18)*(1+Inputs!$B$27)</f>
        <v>0.328385774806561</v>
      </c>
      <c r="HP18" s="15" t="n">
        <f aca="false">Inputs!$B$52/(1-HO18-G18)</f>
        <v>205849.955794664</v>
      </c>
      <c r="HQ18" s="15" t="n">
        <f aca="false">HP18/Inputs!$B$34</f>
        <v>343.083259657773</v>
      </c>
      <c r="HR18" s="15" t="n">
        <f aca="false">B18^2/HQ18</f>
        <v>10.493079736945</v>
      </c>
      <c r="HS18" s="15" t="n">
        <f aca="false">Inputs!$B$54*H18/(Inputs!$B$35*F18+E18*H18^2/(PI()*HR18*Inputs!$B$36))</f>
        <v>17.9532789767117</v>
      </c>
      <c r="HT18" s="15" t="n">
        <f aca="false">EXP(-Inputs!$B$11*Inputs!$B$14*Inputs!$B$17/(Inputs!$B$51*HS18*Inputs!$B$16))</f>
        <v>0.737425221720907</v>
      </c>
      <c r="HU18" s="15" t="n">
        <f aca="false">Inputs!$B$50*Inputs!$B$18*HT18*Inputs!$B$19</f>
        <v>0.720556051509003</v>
      </c>
      <c r="HV18" s="15" t="n">
        <f aca="false">1-HU18</f>
        <v>0.279443948490997</v>
      </c>
      <c r="HW18" s="15" t="n">
        <f aca="false">Inputs!$B$20*HV18</f>
        <v>0.00838331845472991</v>
      </c>
      <c r="HX18" s="15" t="n">
        <f aca="false">0.8*(1-Inputs!$B$50)*(HU18-HW18)</f>
        <v>0.00171534494221639</v>
      </c>
      <c r="HY18" s="15" t="n">
        <f aca="false">HU18-HW18-HX18</f>
        <v>0.710457388112057</v>
      </c>
      <c r="HZ18" s="15" t="n">
        <f aca="false">HY18*(1-Inputs!$B$18*EXP(-Inputs!$B$21*Inputs!$B$14*Inputs!$B$17/(Inputs!$B$22*Inputs!$B$23*Inputs!$B$24*HS18*Inputs!$B$16))*Inputs!$B$19)</f>
        <v>0.0265735530155589</v>
      </c>
      <c r="IA18" s="15" t="n">
        <f aca="false">(HY18-HZ18)*(1-EXP(-Inputs!$B$25*Inputs!$B$14*Inputs!$B$17*Inputs!$B$26/(HS18*Inputs!$B$16/0.866)))</f>
        <v>0.00790822310052971</v>
      </c>
      <c r="IB18" s="15" t="n">
        <f aca="false">(HY18-HZ18-IA18)*(1-Inputs!$B$19)</f>
        <v>0.00337987805997984</v>
      </c>
      <c r="IC18" s="15" t="n">
        <f aca="false">(HV18+HW18+HX18+HZ18+IA18+IB18)*(1+Inputs!$B$27)</f>
        <v>0.328386478862204</v>
      </c>
      <c r="ID18" s="15" t="n">
        <f aca="false">Inputs!$B$52/(1-IC18-G18)</f>
        <v>205850.870244631</v>
      </c>
      <c r="IE18" s="15" t="n">
        <f aca="false">ID18/Inputs!$B$34</f>
        <v>343.084783741052</v>
      </c>
      <c r="IF18" s="15" t="n">
        <f aca="false">B18^2/IE18</f>
        <v>10.4930331236058</v>
      </c>
      <c r="IG18" s="15" t="n">
        <f aca="false">Inputs!$B$54*H18/(Inputs!$B$35*F18+E18*H18^2/(PI()*IF18*Inputs!$B$36))</f>
        <v>17.953250424783</v>
      </c>
      <c r="IH18" s="15" t="n">
        <f aca="false">EXP(-Inputs!$B$11*Inputs!$B$14*Inputs!$B$17/(Inputs!$B$51*IG18*Inputs!$B$16))</f>
        <v>0.737424864508342</v>
      </c>
      <c r="II18" s="15" t="n">
        <f aca="false">Inputs!$B$50*Inputs!$B$18*IH18*Inputs!$B$19</f>
        <v>0.720555702467951</v>
      </c>
      <c r="IJ18" s="15" t="n">
        <f aca="false">1-II18</f>
        <v>0.279444297532049</v>
      </c>
      <c r="IK18" s="15" t="n">
        <f aca="false">Inputs!$B$20*IJ18</f>
        <v>0.00838332892596147</v>
      </c>
      <c r="IL18" s="15" t="n">
        <f aca="false">0.8*(1-Inputs!$B$50)*(II18-IK18)</f>
        <v>0.00171534407629223</v>
      </c>
      <c r="IM18" s="15" t="n">
        <f aca="false">II18-IK18-IL18</f>
        <v>0.710457029465697</v>
      </c>
      <c r="IN18" s="15" t="n">
        <f aca="false">IM18*(1-Inputs!$B$18*EXP(-Inputs!$B$21*Inputs!$B$14*Inputs!$B$17/(Inputs!$B$22*Inputs!$B$23*Inputs!$B$24*IG18*Inputs!$B$16))*Inputs!$B$19)</f>
        <v>0.0265735591722452</v>
      </c>
      <c r="IO18" s="15" t="n">
        <f aca="false">(IM18-IN18)*(1-EXP(-Inputs!$B$25*Inputs!$B$14*Inputs!$B$17*Inputs!$B$26/(IG18*Inputs!$B$16/0.866)))</f>
        <v>0.00790823138588544</v>
      </c>
      <c r="IP18" s="15" t="n">
        <f aca="false">(IM18-IN18-IO18)*(1-Inputs!$B$19)</f>
        <v>0.00337987619453784</v>
      </c>
      <c r="IQ18" s="15" t="n">
        <f aca="false">(IJ18+IK18+IL18+IN18+IO18+IP18)*(1+Inputs!$B$27)</f>
        <v>0.328386851198832</v>
      </c>
      <c r="IR18" s="15" t="n">
        <f aca="false">Inputs!$B$52/(1-IQ18-G18)</f>
        <v>205851.353850627</v>
      </c>
      <c r="IS18" s="15" t="n">
        <f aca="false">IR18/Inputs!$B$34</f>
        <v>343.085589751044</v>
      </c>
      <c r="IT18" s="15" t="n">
        <f aca="false">B18^2/IS18</f>
        <v>10.4930084723532</v>
      </c>
      <c r="IU18" s="15" t="n">
        <f aca="false">Inputs!$B$54*H18/(Inputs!$B$35*F18+E18*H18^2/(PI()*IT18*Inputs!$B$36))</f>
        <v>17.9532353251594</v>
      </c>
      <c r="IV18" s="15" t="n">
        <f aca="false">EXP(-Inputs!$B$11*Inputs!$B$14*Inputs!$B$17/(Inputs!$B$51*IU18*Inputs!$B$16))</f>
        <v>0.737424675596887</v>
      </c>
      <c r="IW18" s="15" t="n">
        <f aca="false">Inputs!$B$50*Inputs!$B$18*IV18*Inputs!$B$19</f>
        <v>0.720555517877991</v>
      </c>
      <c r="IX18" s="15" t="n">
        <f aca="false">1-IW18</f>
        <v>0.279444482122009</v>
      </c>
      <c r="IY18" s="15" t="n">
        <f aca="false">Inputs!$B$20*IX18</f>
        <v>0.00838333446366027</v>
      </c>
      <c r="IZ18" s="15" t="n">
        <f aca="false">0.8*(1-Inputs!$B$50)*(IW18-IY18)</f>
        <v>0.00171534361834923</v>
      </c>
      <c r="JA18" s="15" t="n">
        <f aca="false">IW18-IY18-IZ18</f>
        <v>0.710456839795982</v>
      </c>
      <c r="JB18" s="15" t="n">
        <f aca="false">JA18*(1-Inputs!$B$18*EXP(-Inputs!$B$21*Inputs!$B$14*Inputs!$B$17/(Inputs!$B$22*Inputs!$B$23*Inputs!$B$24*IU18*Inputs!$B$16))*Inputs!$B$19)</f>
        <v>0.0265735624281975</v>
      </c>
      <c r="JC18" s="15" t="n">
        <f aca="false">(JA18-JB18)*(1-EXP(-Inputs!$B$25*Inputs!$B$14*Inputs!$B$17*Inputs!$B$26/(IU18*Inputs!$B$16/0.866)))</f>
        <v>0.00790823576758339</v>
      </c>
      <c r="JD18" s="15" t="n">
        <f aca="false">(JA18-JB18-JC18)*(1-Inputs!$B$19)</f>
        <v>0.00337987520800101</v>
      </c>
      <c r="JE18" s="15" t="n">
        <f aca="false">(IX18+IY18+IZ18+JB18+JC18+JD18)*(1+Inputs!$B$27)</f>
        <v>0.328387048108624</v>
      </c>
      <c r="JF18" s="15" t="n">
        <f aca="false">Inputs!$B$52/(1-JE18-G18)</f>
        <v>205851.609606012</v>
      </c>
      <c r="JG18" s="15" t="n">
        <f aca="false">JF18/Inputs!$B$34</f>
        <v>343.08601601002</v>
      </c>
      <c r="JH18" s="15" t="n">
        <f aca="false">B18^2/JG18</f>
        <v>10.492995435567</v>
      </c>
      <c r="JI18" s="15" t="n">
        <f aca="false">Inputs!$B$54*H18/(Inputs!$B$35*F18+E18*H18^2/(PI()*JH18*Inputs!$B$36))</f>
        <v>17.9532273397226</v>
      </c>
      <c r="JJ18" s="15" t="n">
        <f aca="false">EXP(-Inputs!$B$11*Inputs!$B$14*Inputs!$B$17/(Inputs!$B$51*JI18*Inputs!$B$16))</f>
        <v>0.737424575690945</v>
      </c>
      <c r="JK18" s="15" t="n">
        <f aca="false">Inputs!$B$50*Inputs!$B$18*JJ18*Inputs!$B$19</f>
        <v>0.720555420257475</v>
      </c>
      <c r="JL18" s="15" t="n">
        <f aca="false">1-JK18</f>
        <v>0.279444579742525</v>
      </c>
      <c r="JM18" s="15" t="n">
        <f aca="false">Inputs!$B$20*JL18</f>
        <v>0.00838333739227576</v>
      </c>
      <c r="JN18" s="15" t="n">
        <f aca="false">0.8*(1-Inputs!$B$50)*(JK18-JM18)</f>
        <v>0.00171534337616578</v>
      </c>
      <c r="JO18" s="15" t="n">
        <f aca="false">JK18-JM18-JN18</f>
        <v>0.710456739489033</v>
      </c>
      <c r="JP18" s="15" t="n">
        <f aca="false">JO18*(1-Inputs!$B$18*EXP(-Inputs!$B$21*Inputs!$B$14*Inputs!$B$17/(Inputs!$B$22*Inputs!$B$23*Inputs!$B$24*JI18*Inputs!$B$16))*Inputs!$B$19)</f>
        <v>0.0265735641501085</v>
      </c>
      <c r="JQ18" s="15" t="n">
        <f aca="false">(JO18-JP18)*(1-EXP(-Inputs!$B$25*Inputs!$B$14*Inputs!$B$17*Inputs!$B$26/(JI18*Inputs!$B$16/0.866)))</f>
        <v>0.00790823808484626</v>
      </c>
      <c r="JR18" s="15" t="n">
        <f aca="false">(JO18-JP18-JQ18)*(1-Inputs!$B$19)</f>
        <v>0.00337987468627039</v>
      </c>
      <c r="JS18" s="15" t="n">
        <f aca="false">(JL18+JM18+JN18+JP18+JQ18+JR18)*(1+Inputs!$B$27)</f>
        <v>0.328387152244489</v>
      </c>
      <c r="JT18" s="15" t="n">
        <f aca="false">Inputs!$B$52/(1-JS18-G18)</f>
        <v>205851.744862663</v>
      </c>
      <c r="JU18" s="15" t="n">
        <f aca="false">JT18/Inputs!$B$34</f>
        <v>343.086241437771</v>
      </c>
      <c r="JV18" s="15" t="n">
        <f aca="false">B18^2/JU18</f>
        <v>10.4929885410545</v>
      </c>
      <c r="JW18" s="15" t="n">
        <f aca="false">Inputs!$B$54*H18/(Inputs!$B$35*F18+E18*H18^2/(PI()*JV18*Inputs!$B$36))</f>
        <v>17.9532231166143</v>
      </c>
      <c r="JX18" s="15" t="n">
        <f aca="false">EXP(-Inputs!$B$11*Inputs!$B$14*Inputs!$B$17/(Inputs!$B$51*JW18*Inputs!$B$16))</f>
        <v>0.737424522855531</v>
      </c>
      <c r="JY18" s="15" t="n">
        <f aca="false">Inputs!$B$50*Inputs!$B$18*JX18*Inputs!$B$19</f>
        <v>0.720555368630711</v>
      </c>
      <c r="JZ18" s="15" t="n">
        <f aca="false">1-JY18</f>
        <v>0.279444631369289</v>
      </c>
      <c r="KA18" s="15" t="n">
        <f aca="false">Inputs!$B$20*JZ18</f>
        <v>0.00838333894107866</v>
      </c>
      <c r="KB18" s="15" t="n">
        <f aca="false">0.8*(1-Inputs!$B$50)*(JY18-KA18)</f>
        <v>0.00171534324808669</v>
      </c>
      <c r="KC18" s="15" t="n">
        <f aca="false">JY18-KA18-KB18</f>
        <v>0.710456686441546</v>
      </c>
      <c r="KD18" s="15" t="n">
        <f aca="false">KC18*(1-Inputs!$B$18*EXP(-Inputs!$B$21*Inputs!$B$14*Inputs!$B$17/(Inputs!$B$22*Inputs!$B$23*Inputs!$B$24*JW18*Inputs!$B$16))*Inputs!$B$19)</f>
        <v>0.0265735650607437</v>
      </c>
      <c r="KE18" s="15" t="n">
        <f aca="false">(KC18-KD18)*(1-EXP(-Inputs!$B$25*Inputs!$B$14*Inputs!$B$17*Inputs!$B$26/(JW18*Inputs!$B$16/0.866)))</f>
        <v>0.00790823931033408</v>
      </c>
      <c r="KF18" s="15" t="n">
        <f aca="false">(KC18-KD18-KE18)*(1-Inputs!$B$19)</f>
        <v>0.00337987441035234</v>
      </c>
      <c r="KG18" s="15" t="n">
        <f aca="false">(JZ18+KA18+KB18+KD18+KE18+KF18)*(1+Inputs!$B$27)</f>
        <v>0.328387207316904</v>
      </c>
      <c r="KH18" s="15" t="n">
        <f aca="false">Inputs!$B$52/(1-KG18-G18)</f>
        <v>205851.816393426</v>
      </c>
      <c r="KI18" s="15" t="n">
        <f aca="false">KH18/Inputs!$B$34</f>
        <v>343.086360655709</v>
      </c>
      <c r="KJ18" s="15" t="n">
        <f aca="false">B18^2/KI18</f>
        <v>10.4929848948808</v>
      </c>
      <c r="KK18" s="15" t="n">
        <f aca="false">Inputs!$B$54*H18/(Inputs!$B$35*F18+E18*H18^2/(PI()*KJ18*Inputs!$B$36))</f>
        <v>17.9532208832154</v>
      </c>
      <c r="KL18" s="15" t="n">
        <f aca="false">EXP(-Inputs!$B$11*Inputs!$B$14*Inputs!$B$17/(Inputs!$B$51*KK18*Inputs!$B$16))</f>
        <v>0.737424494913413</v>
      </c>
      <c r="KM18" s="15" t="n">
        <f aca="false">Inputs!$B$50*Inputs!$B$18*KL18*Inputs!$B$19</f>
        <v>0.720555341327791</v>
      </c>
      <c r="KN18" s="15" t="n">
        <f aca="false">1-KM18</f>
        <v>0.279444658672209</v>
      </c>
      <c r="KO18" s="15" t="n">
        <f aca="false">Inputs!$B$20*KN18</f>
        <v>0.00838333976016627</v>
      </c>
      <c r="KP18" s="15" t="n">
        <f aca="false">0.8*(1-Inputs!$B$50)*(KM18-KO18)</f>
        <v>0.00171534318035179</v>
      </c>
      <c r="KQ18" s="15" t="n">
        <f aca="false">KM18-KO18-KP18</f>
        <v>0.710456658387273</v>
      </c>
      <c r="KR18" s="15" t="n">
        <f aca="false">KQ18*(1-Inputs!$B$18*EXP(-Inputs!$B$21*Inputs!$B$14*Inputs!$B$17/(Inputs!$B$22*Inputs!$B$23*Inputs!$B$24*KK18*Inputs!$B$16))*Inputs!$B$19)</f>
        <v>0.0265735655423348</v>
      </c>
      <c r="KS18" s="15" t="n">
        <f aca="false">(KQ18-KR18)*(1-EXP(-Inputs!$B$25*Inputs!$B$14*Inputs!$B$17*Inputs!$B$26/(KK18*Inputs!$B$16/0.866)))</f>
        <v>0.00790823995843581</v>
      </c>
      <c r="KT18" s="15" t="n">
        <f aca="false">(KQ18-KR18-KS18)*(1-Inputs!$B$19)</f>
        <v>0.00337987426443251</v>
      </c>
      <c r="KU18" s="15" t="n">
        <f aca="false">(KN18+KO18+KP18+KR18+KS18+KT18)*(1+Inputs!$B$27)</f>
        <v>0.328387236442064</v>
      </c>
      <c r="KV18" s="15" t="n">
        <f aca="false">Inputs!$B$52/(1-KU18-G18)</f>
        <v>205851.854222637</v>
      </c>
      <c r="KW18" s="15" t="n">
        <f aca="false">KV18/Inputs!$B$34</f>
        <v>343.086423704395</v>
      </c>
      <c r="KX18" s="15" t="n">
        <f aca="false">B18^2/KW18</f>
        <v>10.4929829665944</v>
      </c>
      <c r="KY18" s="15" t="n">
        <f aca="false">Inputs!$B$54*H18/(Inputs!$B$35*F18+E18*H18^2/(PI()*KX18*Inputs!$B$36))</f>
        <v>17.9532197020774</v>
      </c>
      <c r="KZ18" s="15" t="n">
        <f aca="false">EXP(-Inputs!$B$11*Inputs!$B$14*Inputs!$B$17/(Inputs!$B$51*KY18*Inputs!$B$16))</f>
        <v>0.737424480136159</v>
      </c>
      <c r="LA18" s="15" t="n">
        <f aca="false">Inputs!$B$50*Inputs!$B$18*KZ18*Inputs!$B$19</f>
        <v>0.720555326888578</v>
      </c>
      <c r="LB18" s="15" t="n">
        <f aca="false">1-LA18</f>
        <v>0.279444673111422</v>
      </c>
      <c r="LC18" s="15" t="n">
        <f aca="false">Inputs!$B$20*LB18</f>
        <v>0.00838334019334266</v>
      </c>
      <c r="LD18" s="15" t="n">
        <f aca="false">0.8*(1-Inputs!$B$50)*(LA18-LC18)</f>
        <v>0.00171534314453004</v>
      </c>
      <c r="LE18" s="15" t="n">
        <f aca="false">LA18-LC18-LD18</f>
        <v>0.710456643550705</v>
      </c>
      <c r="LF18" s="15" t="n">
        <f aca="false">LE18*(1-Inputs!$B$18*EXP(-Inputs!$B$21*Inputs!$B$14*Inputs!$B$17/(Inputs!$B$22*Inputs!$B$23*Inputs!$B$24*KY18*Inputs!$B$16))*Inputs!$B$19)</f>
        <v>0.0265735657970253</v>
      </c>
      <c r="LG18" s="15" t="n">
        <f aca="false">(LE18-LF18)*(1-EXP(-Inputs!$B$25*Inputs!$B$14*Inputs!$B$17*Inputs!$B$26/(KY18*Inputs!$B$16/0.866)))</f>
        <v>0.00790824030118589</v>
      </c>
      <c r="LH18" s="15" t="n">
        <f aca="false">(LE18-LF18-LG18)*(1-Inputs!$B$19)</f>
        <v>0.00337987418726247</v>
      </c>
      <c r="LI18" s="15" t="n">
        <f aca="false">(LB18+LC18+LD18+LF18+LG18+LH18)*(1+Inputs!$B$27)</f>
        <v>0.328387251844973</v>
      </c>
      <c r="LJ18" s="15" t="n">
        <f aca="false">Inputs!$B$52/(1-LI18-G18)</f>
        <v>205851.874228709</v>
      </c>
      <c r="LK18" s="15" t="n">
        <f aca="false">LJ18/Inputs!$B$34</f>
        <v>343.086457047848</v>
      </c>
      <c r="LL18" s="15" t="n">
        <f aca="false">B18^2/LK18</f>
        <v>10.4929819468156</v>
      </c>
      <c r="LM18" s="15" t="n">
        <f aca="false">Inputs!$B$54*H18/(Inputs!$B$35*F18+E18*H18^2/(PI()*LL18*Inputs!$B$36))</f>
        <v>17.9532190774297</v>
      </c>
      <c r="LN18" s="15" t="n">
        <f aca="false">EXP(-Inputs!$B$11*Inputs!$B$14*Inputs!$B$17/(Inputs!$B$51*LM18*Inputs!$B$16))</f>
        <v>0.737424472321172</v>
      </c>
      <c r="LO18" s="15" t="n">
        <f aca="false">Inputs!$B$50*Inputs!$B$18*LN18*Inputs!$B$19</f>
        <v>0.720555319252365</v>
      </c>
      <c r="LP18" s="15" t="n">
        <f aca="false">1-LO18</f>
        <v>0.279444680747635</v>
      </c>
      <c r="LQ18" s="15" t="n">
        <f aca="false">Inputs!$B$20*LP18</f>
        <v>0.00838334042242906</v>
      </c>
      <c r="LR18" s="15" t="n">
        <f aca="false">0.8*(1-Inputs!$B$50)*(LO18-LQ18)</f>
        <v>0.00171534312558561</v>
      </c>
      <c r="LS18" s="15" t="n">
        <f aca="false">LO18-LQ18-LR18</f>
        <v>0.71045663570435</v>
      </c>
      <c r="LT18" s="15" t="n">
        <f aca="false">LS18*(1-Inputs!$B$18*EXP(-Inputs!$B$21*Inputs!$B$14*Inputs!$B$17/(Inputs!$B$22*Inputs!$B$23*Inputs!$B$24*LM18*Inputs!$B$16))*Inputs!$B$19)</f>
        <v>0.0265735659317191</v>
      </c>
      <c r="LU18" s="15" t="n">
        <f aca="false">(LS18-LT18)*(1-EXP(-Inputs!$B$25*Inputs!$B$14*Inputs!$B$17*Inputs!$B$26/(LM18*Inputs!$B$16/0.866)))</f>
        <v>0.00790824048245011</v>
      </c>
      <c r="LV18" s="15" t="n">
        <f aca="false">(LS18-LT18-LU18)*(1-Inputs!$B$19)</f>
        <v>0.00337987414645091</v>
      </c>
      <c r="LW18" s="15" t="n">
        <f aca="false">(LP18+LQ18+LR18+LT18+LU18+LV18)*(1+Inputs!$B$27)</f>
        <v>0.328387259990839</v>
      </c>
      <c r="LX18" s="15" t="n">
        <f aca="false">Inputs!$B$52/(1-LW18-G18)</f>
        <v>205851.884808971</v>
      </c>
      <c r="LY18" s="15" t="n">
        <f aca="false">LX18/Inputs!$B$34</f>
        <v>343.086474681619</v>
      </c>
      <c r="LZ18" s="15" t="n">
        <f aca="false">B18^2/LY18</f>
        <v>10.4929814075031</v>
      </c>
      <c r="MA18" s="15" t="n">
        <f aca="false">Inputs!$B$54*H18/(Inputs!$B$35*F18+E18*H18^2/(PI()*LZ18*Inputs!$B$36))</f>
        <v>17.9532187470832</v>
      </c>
      <c r="MB18" s="15" t="n">
        <f aca="false">EXP(-Inputs!$B$11*Inputs!$B$14*Inputs!$B$17/(Inputs!$B$51*MA18*Inputs!$B$16))</f>
        <v>0.737424468188196</v>
      </c>
      <c r="MC18" s="15" t="n">
        <f aca="false">Inputs!$B$50*Inputs!$B$18*MB18*Inputs!$B$19</f>
        <v>0.720555315213934</v>
      </c>
      <c r="MD18" s="15" t="n">
        <f aca="false">1-MC18</f>
        <v>0.279444684786066</v>
      </c>
      <c r="ME18" s="15" t="n">
        <f aca="false">Inputs!$B$20*MD18</f>
        <v>0.00838334054358199</v>
      </c>
      <c r="MF18" s="15" t="n">
        <f aca="false">0.8*(1-Inputs!$B$50)*(MC18-ME18)</f>
        <v>0.00171534311556681</v>
      </c>
      <c r="MG18" s="15" t="n">
        <f aca="false">MC18-ME18-MF18</f>
        <v>0.710456631554785</v>
      </c>
      <c r="MH18" s="15" t="n">
        <f aca="false">MG18*(1-Inputs!$B$18*EXP(-Inputs!$B$21*Inputs!$B$14*Inputs!$B$17/(Inputs!$B$22*Inputs!$B$23*Inputs!$B$24*MA18*Inputs!$B$16))*Inputs!$B$19)</f>
        <v>0.0265735660029521</v>
      </c>
      <c r="MI18" s="15" t="n">
        <f aca="false">(MG18-MH18)*(1-EXP(-Inputs!$B$25*Inputs!$B$14*Inputs!$B$17*Inputs!$B$26/(MA18*Inputs!$B$16/0.866)))</f>
        <v>0.00790824057831215</v>
      </c>
      <c r="MJ18" s="15" t="n">
        <f aca="false">(MG18-MH18-MI18)*(1-Inputs!$B$19)</f>
        <v>0.00337987412486761</v>
      </c>
      <c r="MK18" s="15" t="n">
        <f aca="false">(MD18+ME18+MF18+MH18+MI18+MJ18)*(1+Inputs!$B$27)</f>
        <v>0.328387264298801</v>
      </c>
      <c r="ML18" s="15" t="n">
        <f aca="false">Inputs!$B$52/(1-MK18-G18)</f>
        <v>205851.89040437</v>
      </c>
      <c r="MM18" s="15" t="n">
        <f aca="false">ML18/Inputs!$B$34</f>
        <v>343.086484007283</v>
      </c>
      <c r="MN18" s="15" t="n">
        <f aca="false">B18^2/MM18</f>
        <v>10.4929811222863</v>
      </c>
      <c r="MO18" s="15" t="n">
        <f aca="false">Inputs!$B$54*H18/(Inputs!$B$35*F18+E18*H18^2/(PI()*MN18*Inputs!$B$36))</f>
        <v>17.9532185723786</v>
      </c>
      <c r="MP18" s="15" t="n">
        <f aca="false">EXP(-Inputs!$B$11*Inputs!$B$14*Inputs!$B$17/(Inputs!$B$51*MO18*Inputs!$B$16))</f>
        <v>0.737424466002461</v>
      </c>
      <c r="MQ18" s="15" t="n">
        <f aca="false">Inputs!$B$50*Inputs!$B$18*MP18*Inputs!$B$19</f>
        <v>0.720555313078199</v>
      </c>
      <c r="MR18" s="15" t="n">
        <f aca="false">1-MQ18</f>
        <v>0.279444686921801</v>
      </c>
      <c r="MS18" s="15" t="n">
        <f aca="false">Inputs!$B$20*MR18</f>
        <v>0.00838334060765402</v>
      </c>
      <c r="MT18" s="15" t="n">
        <f aca="false">0.8*(1-Inputs!$B$50)*(MQ18-MS18)</f>
        <v>0.00171534311026834</v>
      </c>
      <c r="MU18" s="15" t="n">
        <f aca="false">MQ18-MS18-MT18</f>
        <v>0.710456629360277</v>
      </c>
      <c r="MV18" s="15" t="n">
        <f aca="false">MU18*(1-Inputs!$B$18*EXP(-Inputs!$B$21*Inputs!$B$14*Inputs!$B$17/(Inputs!$B$22*Inputs!$B$23*Inputs!$B$24*MO18*Inputs!$B$16))*Inputs!$B$19)</f>
        <v>0.0265735660406241</v>
      </c>
      <c r="MW18" s="15" t="n">
        <f aca="false">(MU18-MV18)*(1-EXP(-Inputs!$B$25*Inputs!$B$14*Inputs!$B$17*Inputs!$B$26/(MO18*Inputs!$B$16/0.866)))</f>
        <v>0.00790824062900906</v>
      </c>
      <c r="MX18" s="15" t="n">
        <f aca="false">(MU18-MV18-MW18)*(1-Inputs!$B$19)</f>
        <v>0.00337987411345322</v>
      </c>
      <c r="MY18" s="15" t="n">
        <f aca="false">(MR18+MS18+MT18+MV18+MW18+MX18)*(1+Inputs!$B$27)</f>
        <v>0.328387266577078</v>
      </c>
      <c r="MZ18" s="15" t="n">
        <f aca="false">Inputs!$B$52/(1-MY18-G18)</f>
        <v>205851.893363511</v>
      </c>
      <c r="NA18" s="15" t="n">
        <f aca="false">MZ18/Inputs!$B$34</f>
        <v>343.086488939186</v>
      </c>
      <c r="NB18" s="15" t="n">
        <f aca="false">B18^2/NA18</f>
        <v>10.4929809714486</v>
      </c>
      <c r="NC18" s="15" t="n">
        <f aca="false">Inputs!$B$54*H18/(Inputs!$B$35*F18+E18*H18^2/(PI()*NB18*Inputs!$B$36))</f>
        <v>17.9532184799856</v>
      </c>
      <c r="ND18" s="15" t="n">
        <f aca="false">EXP(-Inputs!$B$11*Inputs!$B$14*Inputs!$B$17/(Inputs!$B$51*NC18*Inputs!$B$16))</f>
        <v>0.737424464846529</v>
      </c>
      <c r="NE18" s="15" t="n">
        <f aca="false">Inputs!$B$50*Inputs!$B$18*ND18*Inputs!$B$19</f>
        <v>0.72055531194871</v>
      </c>
      <c r="NF18" s="15" t="n">
        <f aca="false">1-NE18</f>
        <v>0.27944468805129</v>
      </c>
      <c r="NG18" s="15" t="n">
        <f aca="false">Inputs!$B$20*NF18</f>
        <v>0.00838334064153869</v>
      </c>
      <c r="NH18" s="15" t="n">
        <f aca="false">0.8*(1-Inputs!$B$50)*(NE18-NG18)</f>
        <v>0.00171534310746623</v>
      </c>
      <c r="NI18" s="15" t="n">
        <f aca="false">NE18-NG18-NH18</f>
        <v>0.710456628199706</v>
      </c>
      <c r="NJ18" s="15" t="n">
        <f aca="false">NI18*(1-Inputs!$B$18*EXP(-Inputs!$B$21*Inputs!$B$14*Inputs!$B$17/(Inputs!$B$22*Inputs!$B$23*Inputs!$B$24*NC18*Inputs!$B$16))*Inputs!$B$19)</f>
        <v>0.0265735660605469</v>
      </c>
      <c r="NK18" s="15" t="n">
        <f aca="false">(NI18-NJ18)*(1-EXP(-Inputs!$B$25*Inputs!$B$14*Inputs!$B$17*Inputs!$B$26/(NC18*Inputs!$B$16/0.866)))</f>
        <v>0.00790824065582023</v>
      </c>
      <c r="NL18" s="15" t="n">
        <f aca="false">(NI18-NJ18-NK18)*(1-Inputs!$B$19)</f>
        <v>0.0033798741074167</v>
      </c>
      <c r="NM18" s="15" t="n">
        <f aca="false">(NF18+NG18+NH18+NJ18+NK18+NL18)*(1+Inputs!$B$27)</f>
        <v>0.328387267781951</v>
      </c>
      <c r="NN18" s="15" t="n">
        <f aca="false">Inputs!$B$52/(1-NM18-G18)</f>
        <v>205851.894928461</v>
      </c>
    </row>
    <row r="19" customFormat="false" ht="15" hidden="false" customHeight="false" outlineLevel="0" collapsed="false">
      <c r="A19" s="21" t="s">
        <v>501</v>
      </c>
      <c r="B19" s="21" t="n">
        <v>60</v>
      </c>
      <c r="C19" s="22" t="n">
        <v>0.05</v>
      </c>
      <c r="D19" s="23" t="n">
        <f aca="false">B19*C19</f>
        <v>3</v>
      </c>
      <c r="E19" s="24" t="n">
        <f aca="false">IF(C19=0,1,(1+0.45*C19)/(1.04+2.81*C19))</f>
        <v>0.866158407454468</v>
      </c>
      <c r="F19" s="24" t="n">
        <f aca="false">1+Inputs!$B$42*D19</f>
        <v>1.015</v>
      </c>
      <c r="G19" s="25" t="n">
        <f aca="false">Inputs!$B$31+Inputs!$B$43*(B19/Inputs!$B$32-1)+Inputs!$B$44+Inputs!$B$45*D19</f>
        <v>0.518925</v>
      </c>
      <c r="H19" s="22" t="n">
        <f aca="false">Inputs!$B$38</f>
        <v>0.5</v>
      </c>
      <c r="I19" s="23" t="n">
        <f aca="false">Inputs!$B$40</f>
        <v>2.4</v>
      </c>
      <c r="J19" s="26" t="n">
        <f aca="false">NN19/Inputs!$B$34</f>
        <v>330.895177587451</v>
      </c>
      <c r="K19" s="23" t="n">
        <f aca="false">B19^2/J19</f>
        <v>10.879578319175</v>
      </c>
      <c r="L19" s="23" t="n">
        <f aca="false">2*K19</f>
        <v>21.75915663835</v>
      </c>
      <c r="M19" s="22" t="n">
        <f aca="false">NC19</f>
        <v>18.8842958822651</v>
      </c>
      <c r="N19" s="23" t="n">
        <f aca="false">B19/SQRT(E19)</f>
        <v>64.4692455251487</v>
      </c>
      <c r="O19" s="24" t="n">
        <f aca="false">NM19</f>
        <v>0.316748035804127</v>
      </c>
      <c r="P19" s="23" t="n">
        <f aca="false">NN19/1000</f>
        <v>198.537106552471</v>
      </c>
      <c r="Q19" s="23" t="n">
        <f aca="false">G19*NN19/1000</f>
        <v>103.025868017741</v>
      </c>
      <c r="R19" s="23" t="n">
        <f aca="false">NM19*NN19/1000</f>
        <v>62.8862385347299</v>
      </c>
      <c r="S19" s="23" t="n">
        <f aca="false">NM19*NN19/Inputs!$B$28/1000</f>
        <v>83.8483180463065</v>
      </c>
      <c r="T19" s="27" t="n">
        <f aca="false">R19/Sweep!$R$5-1</f>
        <v>0.00623420908651706</v>
      </c>
      <c r="U19" s="27" t="n">
        <f aca="false">R19/SUMIFS(Sweep!$R:$R,Sweep!$A:$A,"Conventional",Sweep!$B:$B,B19)-1</f>
        <v>-0.0697183827325671</v>
      </c>
      <c r="V19" s="26" t="n">
        <f aca="false">2*0.54*(J19/2)^1.5/SQRT(L19)*Inputs!$B$46*Inputs!$B$47</f>
        <v>46.068598505178</v>
      </c>
      <c r="W19" s="28" t="n">
        <f aca="false">MIN(1,V19/S19)</f>
        <v>0.549427818930559</v>
      </c>
      <c r="X19" s="26" t="n">
        <f aca="false">1.23*SQRT(2*Inputs!$B$41*NN19*Inputs!$B$49/(1.225*J19*I19))/0.5144</f>
        <v>133.62967568068</v>
      </c>
      <c r="Y19" s="29" t="n">
        <f aca="false">(11000+6341.6*LN(0.36392/(2*Inputs!$B$50*Inputs!$B$18*(1+ND19)/2*Inputs!$B$34*Inputs!$B$49/((Inputs!$B$12*295.07)^2*H19))))/0.3048</f>
        <v>38677.6968591119</v>
      </c>
      <c r="Z19" s="26" t="n">
        <f aca="false">NN19-MZ19</f>
        <v>1.73703301697969E-006</v>
      </c>
      <c r="AA19" s="30" t="str">
        <f aca="false">IF(ABS(NN19-MZ19)&lt;10,"Yes","No")</f>
        <v>Yes</v>
      </c>
      <c r="AC19" s="15" t="n">
        <f aca="false">Inputs!$B$52/(1-0.3154-G19)/Inputs!$B$34</f>
        <v>328.202806699864</v>
      </c>
      <c r="AD19" s="15" t="n">
        <f aca="false">B19^2/AC19</f>
        <v>10.9688275862069</v>
      </c>
      <c r="AE19" s="15" t="n">
        <f aca="false">Inputs!$B$54*H19/(Inputs!$B$35*F19+E19*H19^2/(PI()*AD19*Inputs!$B$36))</f>
        <v>18.9327562532606</v>
      </c>
      <c r="AF19" s="15" t="n">
        <f aca="false">EXP(-Inputs!$B$11*Inputs!$B$14*Inputs!$B$17/(Inputs!$B$51*AE19*Inputs!$B$16))</f>
        <v>0.749137496654933</v>
      </c>
      <c r="AG19" s="15" t="n">
        <f aca="false">Inputs!$B$50*Inputs!$B$18*AF19*Inputs!$B$19</f>
        <v>0.732000399128352</v>
      </c>
      <c r="AH19" s="15" t="n">
        <f aca="false">1-AG19</f>
        <v>0.267999600871648</v>
      </c>
      <c r="AI19" s="15" t="n">
        <f aca="false">Inputs!$B$20*AH19</f>
        <v>0.00803998802614943</v>
      </c>
      <c r="AJ19" s="15" t="n">
        <f aca="false">0.8*(1-Inputs!$B$50)*(AG19-AI19)</f>
        <v>0.00174373683786406</v>
      </c>
      <c r="AK19" s="15" t="n">
        <f aca="false">AG19-AI19-AJ19</f>
        <v>0.722216674264339</v>
      </c>
      <c r="AL19" s="15" t="n">
        <f aca="false">AK19*(1-Inputs!$B$18*EXP(-Inputs!$B$21*Inputs!$B$14*Inputs!$B$17/(Inputs!$B$22*Inputs!$B$23*Inputs!$B$24*AE19*Inputs!$B$16))*Inputs!$B$19)</f>
        <v>0.0263658910708588</v>
      </c>
      <c r="AM19" s="15" t="n">
        <f aca="false">(AK19-AL19)*(1-EXP(-Inputs!$B$25*Inputs!$B$14*Inputs!$B$17*Inputs!$B$26/(AE19*Inputs!$B$16/0.866)))</f>
        <v>0.00763260956651589</v>
      </c>
      <c r="AN19" s="15" t="n">
        <f aca="false">(AK19-AL19-AM19)*(1-Inputs!$B$19)</f>
        <v>0.00344109086813482</v>
      </c>
      <c r="AO19" s="15" t="n">
        <f aca="false">(AH19+AI19+AJ19+AL19+AM19+AN19)*(1+Inputs!$B$27)</f>
        <v>0.316168585992894</v>
      </c>
      <c r="AP19" s="15" t="n">
        <f aca="false">Inputs!$B$52/(1-AO19-G19)</f>
        <v>197839.48487652</v>
      </c>
      <c r="AQ19" s="15" t="n">
        <f aca="false">AP19/Inputs!$B$34</f>
        <v>329.7324747942</v>
      </c>
      <c r="AR19" s="15" t="n">
        <f aca="false">B19^2/AQ19</f>
        <v>10.9179418928843</v>
      </c>
      <c r="AS19" s="15" t="n">
        <f aca="false">Inputs!$B$54*H19/(Inputs!$B$35*F19+E19*H19^2/(PI()*AR19*Inputs!$B$36))</f>
        <v>18.9051930696565</v>
      </c>
      <c r="AT19" s="15" t="n">
        <f aca="false">EXP(-Inputs!$B$11*Inputs!$B$14*Inputs!$B$17/(Inputs!$B$51*AS19*Inputs!$B$16))</f>
        <v>0.748822094413625</v>
      </c>
      <c r="AU19" s="15" t="n">
        <f aca="false">Inputs!$B$50*Inputs!$B$18*AT19*Inputs!$B$19</f>
        <v>0.731692211956366</v>
      </c>
      <c r="AV19" s="15" t="n">
        <f aca="false">1-AU19</f>
        <v>0.268307788043634</v>
      </c>
      <c r="AW19" s="15" t="n">
        <f aca="false">Inputs!$B$20*AV19</f>
        <v>0.00804923364130903</v>
      </c>
      <c r="AX19" s="15" t="n">
        <f aca="false">0.8*(1-Inputs!$B$50)*(AU19-AW19)</f>
        <v>0.00174297226671347</v>
      </c>
      <c r="AY19" s="15" t="n">
        <f aca="false">AU19-AW19-AX19</f>
        <v>0.721900006048343</v>
      </c>
      <c r="AZ19" s="15" t="n">
        <f aca="false">AY19*(1-Inputs!$B$18*EXP(-Inputs!$B$21*Inputs!$B$14*Inputs!$B$17/(Inputs!$B$22*Inputs!$B$23*Inputs!$B$24*AS19*Inputs!$B$16))*Inputs!$B$19)</f>
        <v>0.0263716343783687</v>
      </c>
      <c r="BA19" s="15" t="n">
        <f aca="false">(AY19-AZ19)*(1-EXP(-Inputs!$B$25*Inputs!$B$14*Inputs!$B$17*Inputs!$B$26/(AS19*Inputs!$B$16/0.866)))</f>
        <v>0.00764013475258529</v>
      </c>
      <c r="BB19" s="15" t="n">
        <f aca="false">(AY19-AZ19-BA19)*(1-Inputs!$B$19)</f>
        <v>0.00343944118458695</v>
      </c>
      <c r="BC19" s="15" t="n">
        <f aca="false">(AV19+AW19+AX19+AZ19+BA19+BB19)*(1+Inputs!$B$27)</f>
        <v>0.316497857879999</v>
      </c>
      <c r="BD19" s="15" t="n">
        <f aca="false">Inputs!$B$52/(1-BC19-G19)</f>
        <v>198235.305217608</v>
      </c>
      <c r="BE19" s="15" t="n">
        <f aca="false">BD19/Inputs!$B$34</f>
        <v>330.39217536268</v>
      </c>
      <c r="BF19" s="15" t="n">
        <f aca="false">B19^2/BE19</f>
        <v>10.8961418231173</v>
      </c>
      <c r="BG19" s="15" t="n">
        <f aca="false">Inputs!$B$54*H19/(Inputs!$B$35*F19+E19*H19^2/(PI()*BF19*Inputs!$B$36))</f>
        <v>18.8933306383836</v>
      </c>
      <c r="BH19" s="15" t="n">
        <f aca="false">EXP(-Inputs!$B$11*Inputs!$B$14*Inputs!$B$17/(Inputs!$B$51*BG19*Inputs!$B$16))</f>
        <v>0.748686111750158</v>
      </c>
      <c r="BI19" s="15" t="n">
        <f aca="false">Inputs!$B$50*Inputs!$B$18*BH19*Inputs!$B$19</f>
        <v>0.731559340001115</v>
      </c>
      <c r="BJ19" s="15" t="n">
        <f aca="false">1-BI19</f>
        <v>0.268440659998885</v>
      </c>
      <c r="BK19" s="15" t="n">
        <f aca="false">Inputs!$B$20*BJ19</f>
        <v>0.00805321979996655</v>
      </c>
      <c r="BL19" s="15" t="n">
        <f aca="false">0.8*(1-Inputs!$B$50)*(BI19-BK19)</f>
        <v>0.00174264262916545</v>
      </c>
      <c r="BM19" s="15" t="n">
        <f aca="false">BI19-BK19-BL19</f>
        <v>0.721763477571983</v>
      </c>
      <c r="BN19" s="15" t="n">
        <f aca="false">BM19*(1-Inputs!$B$18*EXP(-Inputs!$B$21*Inputs!$B$14*Inputs!$B$17/(Inputs!$B$22*Inputs!$B$23*Inputs!$B$24*BG19*Inputs!$B$16))*Inputs!$B$19)</f>
        <v>0.0263741079824144</v>
      </c>
      <c r="BO19" s="15" t="n">
        <f aca="false">(BM19-BN19)*(1-EXP(-Inputs!$B$25*Inputs!$B$14*Inputs!$B$17*Inputs!$B$26/(BG19*Inputs!$B$16/0.866)))</f>
        <v>0.0076433774113462</v>
      </c>
      <c r="BP19" s="15" t="n">
        <f aca="false">(BM19-BN19-BO19)*(1-Inputs!$B$19)</f>
        <v>0.00343872996089111</v>
      </c>
      <c r="BQ19" s="15" t="n">
        <f aca="false">(BJ19+BK19+BL19+BN19+BO19+BP19)*(1+Inputs!$B$27)</f>
        <v>0.316639815996017</v>
      </c>
      <c r="BR19" s="15" t="n">
        <f aca="false">Inputs!$B$52/(1-BQ19-G19)</f>
        <v>198406.443229387</v>
      </c>
      <c r="BS19" s="15" t="n">
        <f aca="false">BR19/Inputs!$B$34</f>
        <v>330.677405382311</v>
      </c>
      <c r="BT19" s="15" t="n">
        <f aca="false">B19^2/BS19</f>
        <v>10.8867432168154</v>
      </c>
      <c r="BU19" s="15" t="n">
        <f aca="false">Inputs!$B$54*H19/(Inputs!$B$35*F19+E19*H19^2/(PI()*BT19*Inputs!$B$36))</f>
        <v>18.8882063721574</v>
      </c>
      <c r="BV19" s="15" t="n">
        <f aca="false">EXP(-Inputs!$B$11*Inputs!$B$14*Inputs!$B$17/(Inputs!$B$51*BU19*Inputs!$B$16))</f>
        <v>0.748627325544594</v>
      </c>
      <c r="BW19" s="15" t="n">
        <f aca="false">Inputs!$B$50*Inputs!$B$18*BV19*Inputs!$B$19</f>
        <v>0.731501898575304</v>
      </c>
      <c r="BX19" s="15" t="n">
        <f aca="false">1-BW19</f>
        <v>0.268498101424696</v>
      </c>
      <c r="BY19" s="15" t="n">
        <f aca="false">Inputs!$B$20*BX19</f>
        <v>0.00805494304274087</v>
      </c>
      <c r="BZ19" s="15" t="n">
        <f aca="false">0.8*(1-Inputs!$B$50)*(BW19-BY19)</f>
        <v>0.00174250012467138</v>
      </c>
      <c r="CA19" s="15" t="n">
        <f aca="false">BW19-BY19-BZ19</f>
        <v>0.721704455407892</v>
      </c>
      <c r="CB19" s="15" t="n">
        <f aca="false">CA19*(1-Inputs!$B$18*EXP(-Inputs!$B$21*Inputs!$B$14*Inputs!$B$17/(Inputs!$B$22*Inputs!$B$23*Inputs!$B$24*BU19*Inputs!$B$16))*Inputs!$B$19)</f>
        <v>0.0263751768586618</v>
      </c>
      <c r="CC19" s="15" t="n">
        <f aca="false">(CA19-CB19)*(1-EXP(-Inputs!$B$25*Inputs!$B$14*Inputs!$B$17*Inputs!$B$26/(BU19*Inputs!$B$16/0.866)))</f>
        <v>0.00764477890706828</v>
      </c>
      <c r="CD19" s="15" t="n">
        <f aca="false">(CA19-CB19-CC19)*(1-Inputs!$B$19)</f>
        <v>0.00343842249821081</v>
      </c>
      <c r="CE19" s="15" t="n">
        <f aca="false">(BX19+BY19+BZ19+CB19+CC19+CD19)*(1+Inputs!$B$27)</f>
        <v>0.316701184624617</v>
      </c>
      <c r="CF19" s="15" t="n">
        <f aca="false">Inputs!$B$52/(1-CE19-G19)</f>
        <v>198480.517870159</v>
      </c>
      <c r="CG19" s="15" t="n">
        <f aca="false">CF19/Inputs!$B$34</f>
        <v>330.800863116932</v>
      </c>
      <c r="CH19" s="15" t="n">
        <f aca="false">B19^2/CG19</f>
        <v>10.8826801903702</v>
      </c>
      <c r="CI19" s="15" t="n">
        <f aca="false">Inputs!$B$54*H19/(Inputs!$B$35*F19+E19*H19^2/(PI()*CH19*Inputs!$B$36))</f>
        <v>18.8859892686424</v>
      </c>
      <c r="CJ19" s="15" t="n">
        <f aca="false">EXP(-Inputs!$B$11*Inputs!$B$14*Inputs!$B$17/(Inputs!$B$51*CI19*Inputs!$B$16))</f>
        <v>0.748601882207634</v>
      </c>
      <c r="CK19" s="15" t="n">
        <f aca="false">Inputs!$B$50*Inputs!$B$18*CJ19*Inputs!$B$19</f>
        <v>0.731477037274283</v>
      </c>
      <c r="CL19" s="15" t="n">
        <f aca="false">1-CK19</f>
        <v>0.268522962725717</v>
      </c>
      <c r="CM19" s="15" t="n">
        <f aca="false">Inputs!$B$20*CL19</f>
        <v>0.00805568888177151</v>
      </c>
      <c r="CN19" s="15" t="n">
        <f aca="false">0.8*(1-Inputs!$B$50)*(CK19-CM19)</f>
        <v>0.00174243844710899</v>
      </c>
      <c r="CO19" s="15" t="n">
        <f aca="false">CK19-CM19-CN19</f>
        <v>0.721678909945403</v>
      </c>
      <c r="CP19" s="15" t="n">
        <f aca="false">CO19*(1-Inputs!$B$18*EXP(-Inputs!$B$21*Inputs!$B$14*Inputs!$B$17/(Inputs!$B$22*Inputs!$B$23*Inputs!$B$24*CI19*Inputs!$B$16))*Inputs!$B$19)</f>
        <v>0.0263756393907392</v>
      </c>
      <c r="CQ19" s="15" t="n">
        <f aca="false">(CO19-CP19)*(1-EXP(-Inputs!$B$25*Inputs!$B$14*Inputs!$B$17*Inputs!$B$26/(CI19*Inputs!$B$16/0.866)))</f>
        <v>0.00764538542908872</v>
      </c>
      <c r="CR19" s="15" t="n">
        <f aca="false">(CO19-CP19-CQ19)*(1-Inputs!$B$19)</f>
        <v>0.00343828942562788</v>
      </c>
      <c r="CS19" s="15" t="n">
        <f aca="false">(CL19+CM19+CN19+CP19+CQ19+CR19)*(1+Inputs!$B$27)</f>
        <v>0.316727745512953</v>
      </c>
      <c r="CT19" s="15" t="n">
        <f aca="false">Inputs!$B$52/(1-CS19-G19)</f>
        <v>198512.595186501</v>
      </c>
      <c r="CU19" s="15" t="n">
        <f aca="false">CT19/Inputs!$B$34</f>
        <v>330.854325310835</v>
      </c>
      <c r="CV19" s="15" t="n">
        <f aca="false">B19^2/CU19</f>
        <v>10.8809216763838</v>
      </c>
      <c r="CW19" s="15" t="n">
        <f aca="false">Inputs!$B$54*H19/(Inputs!$B$35*F19+E19*H19^2/(PI()*CV19*Inputs!$B$36))</f>
        <v>18.8850293346117</v>
      </c>
      <c r="CX19" s="15" t="n">
        <f aca="false">EXP(-Inputs!$B$11*Inputs!$B$14*Inputs!$B$17/(Inputs!$B$51*CW19*Inputs!$B$16))</f>
        <v>0.748590864481665</v>
      </c>
      <c r="CY19" s="15" t="n">
        <f aca="false">Inputs!$B$50*Inputs!$B$18*CX19*Inputs!$B$19</f>
        <v>0.731466271587286</v>
      </c>
      <c r="CZ19" s="15" t="n">
        <f aca="false">1-CY19</f>
        <v>0.268533728412714</v>
      </c>
      <c r="DA19" s="15" t="n">
        <f aca="false">Inputs!$B$20*CZ19</f>
        <v>0.00805601185238141</v>
      </c>
      <c r="DB19" s="15" t="n">
        <f aca="false">0.8*(1-Inputs!$B$50)*(CY19-DA19)</f>
        <v>0.00174241173887957</v>
      </c>
      <c r="DC19" s="15" t="n">
        <f aca="false">CY19-DA19-DB19</f>
        <v>0.721667847996025</v>
      </c>
      <c r="DD19" s="15" t="n">
        <f aca="false">DC19*(1-Inputs!$B$18*EXP(-Inputs!$B$21*Inputs!$B$14*Inputs!$B$17/(Inputs!$B$22*Inputs!$B$23*Inputs!$B$24*CW19*Inputs!$B$16))*Inputs!$B$19)</f>
        <v>0.0263758396641504</v>
      </c>
      <c r="DE19" s="15" t="n">
        <f aca="false">(DC19-DD19)*(1-EXP(-Inputs!$B$25*Inputs!$B$14*Inputs!$B$17*Inputs!$B$26/(CW19*Inputs!$B$16/0.866)))</f>
        <v>0.00764564805978724</v>
      </c>
      <c r="DF19" s="15" t="n">
        <f aca="false">(DC19-DD19-DE19)*(1-Inputs!$B$19)</f>
        <v>0.00343823180136044</v>
      </c>
      <c r="DG19" s="15" t="n">
        <f aca="false">(CZ19+DA19+DB19+DD19+DE19+DF19)*(1+Inputs!$B$27)</f>
        <v>0.316739247143861</v>
      </c>
      <c r="DH19" s="15" t="n">
        <f aca="false">Inputs!$B$52/(1-DG19-G19)</f>
        <v>198526.488807096</v>
      </c>
      <c r="DI19" s="15" t="n">
        <f aca="false">DH19/Inputs!$B$34</f>
        <v>330.87748134516</v>
      </c>
      <c r="DJ19" s="15" t="n">
        <f aca="false">B19^2/DI19</f>
        <v>10.8801601890961</v>
      </c>
      <c r="DK19" s="15" t="n">
        <f aca="false">Inputs!$B$54*H19/(Inputs!$B$35*F19+E19*H19^2/(PI()*DJ19*Inputs!$B$36))</f>
        <v>18.8846135894915</v>
      </c>
      <c r="DL19" s="15" t="n">
        <f aca="false">EXP(-Inputs!$B$11*Inputs!$B$14*Inputs!$B$17/(Inputs!$B$51*DK19*Inputs!$B$16))</f>
        <v>0.748586092433766</v>
      </c>
      <c r="DM19" s="15" t="n">
        <f aca="false">Inputs!$B$50*Inputs!$B$18*DL19*Inputs!$B$19</f>
        <v>0.73146160870366</v>
      </c>
      <c r="DN19" s="15" t="n">
        <f aca="false">1-DM19</f>
        <v>0.26853839129634</v>
      </c>
      <c r="DO19" s="15" t="n">
        <f aca="false">Inputs!$B$20*DN19</f>
        <v>0.00805615173889019</v>
      </c>
      <c r="DP19" s="15" t="n">
        <f aca="false">0.8*(1-Inputs!$B$50)*(DM19-DO19)</f>
        <v>0.001742400170889</v>
      </c>
      <c r="DQ19" s="15" t="n">
        <f aca="false">DM19-DO19-DP19</f>
        <v>0.721663056793881</v>
      </c>
      <c r="DR19" s="15" t="n">
        <f aca="false">DQ19*(1-Inputs!$B$18*EXP(-Inputs!$B$21*Inputs!$B$14*Inputs!$B$17/(Inputs!$B$22*Inputs!$B$23*Inputs!$B$24*DK19*Inputs!$B$16))*Inputs!$B$19)</f>
        <v>0.0263759264043331</v>
      </c>
      <c r="DS19" s="15" t="n">
        <f aca="false">(DQ19-DR19)*(1-EXP(-Inputs!$B$25*Inputs!$B$14*Inputs!$B$17*Inputs!$B$26/(DK19*Inputs!$B$16/0.866)))</f>
        <v>0.00764576180944436</v>
      </c>
      <c r="DT19" s="15" t="n">
        <f aca="false">(DQ19-DR19-DS19)*(1-Inputs!$B$19)</f>
        <v>0.00343820684290052</v>
      </c>
      <c r="DU19" s="15" t="n">
        <f aca="false">(DN19+DO19+DP19+DR19+DS19+DT19)*(1+Inputs!$B$27)</f>
        <v>0.316744228777585</v>
      </c>
      <c r="DV19" s="15" t="n">
        <f aca="false">Inputs!$B$52/(1-DU19-G19)</f>
        <v>198532.507072844</v>
      </c>
      <c r="DW19" s="15" t="n">
        <f aca="false">DV19/Inputs!$B$34</f>
        <v>330.887511788074</v>
      </c>
      <c r="DX19" s="15" t="n">
        <f aca="false">B19^2/DW19</f>
        <v>10.8798303705875</v>
      </c>
      <c r="DY19" s="15" t="n">
        <f aca="false">Inputs!$B$54*H19/(Inputs!$B$35*F19+E19*H19^2/(PI()*DX19*Inputs!$B$36))</f>
        <v>18.8844335078736</v>
      </c>
      <c r="DZ19" s="15" t="n">
        <f aca="false">EXP(-Inputs!$B$11*Inputs!$B$14*Inputs!$B$17/(Inputs!$B$51*DY19*Inputs!$B$16))</f>
        <v>0.748584025346858</v>
      </c>
      <c r="EA19" s="15" t="n">
        <f aca="false">Inputs!$B$50*Inputs!$B$18*DZ19*Inputs!$B$19</f>
        <v>0.731459588902959</v>
      </c>
      <c r="EB19" s="15" t="n">
        <f aca="false">1-EA19</f>
        <v>0.268540411097041</v>
      </c>
      <c r="EC19" s="15" t="n">
        <f aca="false">Inputs!$B$20*EB19</f>
        <v>0.00805621233291123</v>
      </c>
      <c r="ED19" s="15" t="n">
        <f aca="false">0.8*(1-Inputs!$B$50)*(EA19-EC19)</f>
        <v>0.00174239516003363</v>
      </c>
      <c r="EE19" s="15" t="n">
        <f aca="false">EA19-EC19-ED19</f>
        <v>0.721660981410014</v>
      </c>
      <c r="EF19" s="15" t="n">
        <f aca="false">EE19*(1-Inputs!$B$18*EXP(-Inputs!$B$21*Inputs!$B$14*Inputs!$B$17/(Inputs!$B$22*Inputs!$B$23*Inputs!$B$24*DY19*Inputs!$B$16))*Inputs!$B$19)</f>
        <v>0.0263759639766031</v>
      </c>
      <c r="EG19" s="15" t="n">
        <f aca="false">(EE19-EF19)*(1-EXP(-Inputs!$B$25*Inputs!$B$14*Inputs!$B$17*Inputs!$B$26/(DY19*Inputs!$B$16/0.866)))</f>
        <v>0.00764581108147683</v>
      </c>
      <c r="EH19" s="15" t="n">
        <f aca="false">(EE19-EF19-EG19)*(1-Inputs!$B$19)</f>
        <v>0.00343819603175967</v>
      </c>
      <c r="EI19" s="15" t="n">
        <f aca="false">(EB19+EC19+ED19+EF19+EG19+EH19)*(1+Inputs!$B$27)</f>
        <v>0.316746386648865</v>
      </c>
      <c r="EJ19" s="15" t="n">
        <f aca="false">Inputs!$B$52/(1-EI19-G19)</f>
        <v>198535.114090492</v>
      </c>
      <c r="EK19" s="15" t="n">
        <f aca="false">EJ19/Inputs!$B$34</f>
        <v>330.891856817487</v>
      </c>
      <c r="EL19" s="15" t="n">
        <f aca="false">B19^2/EK19</f>
        <v>10.8796875046269</v>
      </c>
      <c r="EM19" s="15" t="n">
        <f aca="false">Inputs!$B$54*H19/(Inputs!$B$35*F19+E19*H19^2/(PI()*EL19*Inputs!$B$36))</f>
        <v>18.8843555004276</v>
      </c>
      <c r="EN19" s="15" t="n">
        <f aca="false">EXP(-Inputs!$B$11*Inputs!$B$14*Inputs!$B$17/(Inputs!$B$51*EM19*Inputs!$B$16))</f>
        <v>0.748583129919237</v>
      </c>
      <c r="EO19" s="15" t="n">
        <f aca="false">Inputs!$B$50*Inputs!$B$18*EN19*Inputs!$B$19</f>
        <v>0.731458713958934</v>
      </c>
      <c r="EP19" s="15" t="n">
        <f aca="false">1-EO19</f>
        <v>0.268541286041066</v>
      </c>
      <c r="EQ19" s="15" t="n">
        <f aca="false">Inputs!$B$20*EP19</f>
        <v>0.00805623858123197</v>
      </c>
      <c r="ER19" s="15" t="n">
        <f aca="false">0.8*(1-Inputs!$B$50)*(EO19-EQ19)</f>
        <v>0.00174239298941454</v>
      </c>
      <c r="ES19" s="15" t="n">
        <f aca="false">EO19-EQ19-ER19</f>
        <v>0.721660082388288</v>
      </c>
      <c r="ET19" s="15" t="n">
        <f aca="false">ES19*(1-Inputs!$B$18*EXP(-Inputs!$B$21*Inputs!$B$14*Inputs!$B$17/(Inputs!$B$22*Inputs!$B$23*Inputs!$B$24*EM19*Inputs!$B$16))*Inputs!$B$19)</f>
        <v>0.0263759802521737</v>
      </c>
      <c r="EU19" s="15" t="n">
        <f aca="false">(ES19-ET19)*(1-EXP(-Inputs!$B$25*Inputs!$B$14*Inputs!$B$17*Inputs!$B$26/(EM19*Inputs!$B$16/0.866)))</f>
        <v>0.00764583242522487</v>
      </c>
      <c r="EV19" s="15" t="n">
        <f aca="false">(ES19-ET19-EU19)*(1-Inputs!$B$19)</f>
        <v>0.00343819134855445</v>
      </c>
      <c r="EW19" s="15" t="n">
        <f aca="false">(EP19+EQ19+ER19+ET19+EU19+EV19)*(1+Inputs!$B$27)</f>
        <v>0.316747321402578</v>
      </c>
      <c r="EX19" s="15" t="n">
        <f aca="false">Inputs!$B$52/(1-EW19-G19)</f>
        <v>198536.243428147</v>
      </c>
      <c r="EY19" s="15" t="n">
        <f aca="false">EX19/Inputs!$B$34</f>
        <v>330.893739046912</v>
      </c>
      <c r="EZ19" s="15" t="n">
        <f aca="false">B19^2/EY19</f>
        <v>10.8796256174845</v>
      </c>
      <c r="FA19" s="15" t="n">
        <f aca="false">Inputs!$B$54*H19/(Inputs!$B$35*F19+E19*H19^2/(PI()*EZ19*Inputs!$B$36))</f>
        <v>18.8843217084721</v>
      </c>
      <c r="FB19" s="15" t="n">
        <f aca="false">EXP(-Inputs!$B$11*Inputs!$B$14*Inputs!$B$17/(Inputs!$B$51*FA19*Inputs!$B$16))</f>
        <v>0.748582742028014</v>
      </c>
      <c r="FC19" s="15" t="n">
        <f aca="false">Inputs!$B$50*Inputs!$B$18*FB19*Inputs!$B$19</f>
        <v>0.731458334941022</v>
      </c>
      <c r="FD19" s="15" t="n">
        <f aca="false">1-FC19</f>
        <v>0.268541665058978</v>
      </c>
      <c r="FE19" s="15" t="n">
        <f aca="false">Inputs!$B$20*FD19</f>
        <v>0.00805624995176933</v>
      </c>
      <c r="FF19" s="15" t="n">
        <f aca="false">0.8*(1-Inputs!$B$50)*(FC19-FE19)</f>
        <v>0.0017423920491218</v>
      </c>
      <c r="FG19" s="15" t="n">
        <f aca="false">FC19-FE19-FF19</f>
        <v>0.721659692940131</v>
      </c>
      <c r="FH19" s="15" t="n">
        <f aca="false">FG19*(1-Inputs!$B$18*EXP(-Inputs!$B$21*Inputs!$B$14*Inputs!$B$17/(Inputs!$B$22*Inputs!$B$23*Inputs!$B$24*FA19*Inputs!$B$16))*Inputs!$B$19)</f>
        <v>0.0263759873025843</v>
      </c>
      <c r="FI19" s="15" t="n">
        <f aca="false">(FG19-FH19)*(1-EXP(-Inputs!$B$25*Inputs!$B$14*Inputs!$B$17*Inputs!$B$26/(FA19*Inputs!$B$16/0.866)))</f>
        <v>0.00764584167113109</v>
      </c>
      <c r="FJ19" s="15" t="n">
        <f aca="false">(FG19-FH19-FI19)*(1-Inputs!$B$19)</f>
        <v>0.00343818931983208</v>
      </c>
      <c r="FK19" s="15" t="n">
        <f aca="false">(FD19+FE19+FF19+FH19+FI19+FJ19)*(1+Inputs!$B$27)</f>
        <v>0.316747726329477</v>
      </c>
      <c r="FL19" s="15" t="n">
        <f aca="false">Inputs!$B$52/(1-FK19-G19)</f>
        <v>198536.732651046</v>
      </c>
      <c r="FM19" s="15" t="n">
        <f aca="false">FL19/Inputs!$B$34</f>
        <v>330.894554418411</v>
      </c>
      <c r="FN19" s="15" t="n">
        <f aca="false">B19^2/FM19</f>
        <v>10.8795988085312</v>
      </c>
      <c r="FO19" s="15" t="n">
        <f aca="false">Inputs!$B$54*H19/(Inputs!$B$35*F19+E19*H19^2/(PI()*FN19*Inputs!$B$36))</f>
        <v>18.8843070700192</v>
      </c>
      <c r="FP19" s="15" t="n">
        <f aca="false">EXP(-Inputs!$B$11*Inputs!$B$14*Inputs!$B$17/(Inputs!$B$51*FO19*Inputs!$B$16))</f>
        <v>0.748582573995719</v>
      </c>
      <c r="FQ19" s="15" t="n">
        <f aca="false">Inputs!$B$50*Inputs!$B$18*FP19*Inputs!$B$19</f>
        <v>0.731458170752595</v>
      </c>
      <c r="FR19" s="15" t="n">
        <f aca="false">1-FQ19</f>
        <v>0.268541829247405</v>
      </c>
      <c r="FS19" s="15" t="n">
        <f aca="false">Inputs!$B$20*FR19</f>
        <v>0.00805625487742214</v>
      </c>
      <c r="FT19" s="15" t="n">
        <f aca="false">0.8*(1-Inputs!$B$50)*(FQ19-FS19)</f>
        <v>0.00174239164179227</v>
      </c>
      <c r="FU19" s="15" t="n">
        <f aca="false">FQ19-FS19-FT19</f>
        <v>0.721659524233381</v>
      </c>
      <c r="FV19" s="15" t="n">
        <f aca="false">FU19*(1-Inputs!$B$18*EXP(-Inputs!$B$21*Inputs!$B$14*Inputs!$B$17/(Inputs!$B$22*Inputs!$B$23*Inputs!$B$24*FO19*Inputs!$B$16))*Inputs!$B$19)</f>
        <v>0.0263759903567786</v>
      </c>
      <c r="FW19" s="15" t="n">
        <f aca="false">(FU19-FV19)*(1-EXP(-Inputs!$B$25*Inputs!$B$14*Inputs!$B$17*Inputs!$B$26/(FO19*Inputs!$B$16/0.866)))</f>
        <v>0.00764584567640295</v>
      </c>
      <c r="FX19" s="15" t="n">
        <f aca="false">(FU19-FV19-FW19)*(1-Inputs!$B$19)</f>
        <v>0.003438188441001</v>
      </c>
      <c r="FY19" s="15" t="n">
        <f aca="false">(FR19+FS19+FT19+FV19+FW19+FX19)*(1+Inputs!$B$27)</f>
        <v>0.316747901741524</v>
      </c>
      <c r="FZ19" s="15" t="n">
        <f aca="false">Inputs!$B$52/(1-FY19-G19)</f>
        <v>198536.944580394</v>
      </c>
      <c r="GA19" s="15" t="n">
        <f aca="false">FZ19/Inputs!$B$34</f>
        <v>330.89490763399</v>
      </c>
      <c r="GB19" s="15" t="n">
        <f aca="false">B19^2/GA19</f>
        <v>10.8795871950439</v>
      </c>
      <c r="GC19" s="15" t="n">
        <f aca="false">Inputs!$B$54*H19/(Inputs!$B$35*F19+E19*H19^2/(PI()*GB19*Inputs!$B$36))</f>
        <v>18.8843007287086</v>
      </c>
      <c r="GD19" s="15" t="n">
        <f aca="false">EXP(-Inputs!$B$11*Inputs!$B$14*Inputs!$B$17/(Inputs!$B$51*GC19*Inputs!$B$16))</f>
        <v>0.748582501204831</v>
      </c>
      <c r="GE19" s="15" t="n">
        <f aca="false">Inputs!$B$50*Inputs!$B$18*GD19*Inputs!$B$19</f>
        <v>0.731458099626855</v>
      </c>
      <c r="GF19" s="15" t="n">
        <f aca="false">1-GE19</f>
        <v>0.268541900373145</v>
      </c>
      <c r="GG19" s="15" t="n">
        <f aca="false">Inputs!$B$20*GF19</f>
        <v>0.00805625701119434</v>
      </c>
      <c r="GH19" s="15" t="n">
        <f aca="false">0.8*(1-Inputs!$B$50)*(GE19-GG19)</f>
        <v>0.00174239146533882</v>
      </c>
      <c r="GI19" s="15" t="n">
        <f aca="false">GE19-GG19-GH19</f>
        <v>0.721659451150322</v>
      </c>
      <c r="GJ19" s="15" t="n">
        <f aca="false">GI19*(1-Inputs!$B$18*EXP(-Inputs!$B$21*Inputs!$B$14*Inputs!$B$17/(Inputs!$B$22*Inputs!$B$23*Inputs!$B$24*GC19*Inputs!$B$16))*Inputs!$B$19)</f>
        <v>0.026375991679842</v>
      </c>
      <c r="GK19" s="15" t="n">
        <f aca="false">(GI19-GJ19)*(1-EXP(-Inputs!$B$25*Inputs!$B$14*Inputs!$B$17*Inputs!$B$26/(GC19*Inputs!$B$16/0.866)))</f>
        <v>0.00764584741146949</v>
      </c>
      <c r="GL19" s="15" t="n">
        <f aca="false">(GI19-GJ19-GK19)*(1-Inputs!$B$19)</f>
        <v>0.00343818806029506</v>
      </c>
      <c r="GM19" s="15" t="n">
        <f aca="false">(GF19+GG19+GH19+GJ19+GK19+GL19)*(1+Inputs!$B$27)</f>
        <v>0.316747977729288</v>
      </c>
      <c r="GN19" s="15" t="n">
        <f aca="false">Inputs!$B$52/(1-GM19-G19)</f>
        <v>198537.03638744</v>
      </c>
      <c r="GO19" s="15" t="n">
        <f aca="false">GN19/Inputs!$B$34</f>
        <v>330.895060645734</v>
      </c>
      <c r="GP19" s="15" t="n">
        <f aca="false">B19^2/GO19</f>
        <v>10.8795821641299</v>
      </c>
      <c r="GQ19" s="15" t="n">
        <f aca="false">Inputs!$B$54*H19/(Inputs!$B$35*F19+E19*H19^2/(PI()*GP19*Inputs!$B$36))</f>
        <v>18.8842979816766</v>
      </c>
      <c r="GR19" s="15" t="n">
        <f aca="false">EXP(-Inputs!$B$11*Inputs!$B$14*Inputs!$B$17/(Inputs!$B$51*GQ19*Inputs!$B$16))</f>
        <v>0.748582469672078</v>
      </c>
      <c r="GS19" s="15" t="n">
        <f aca="false">Inputs!$B$50*Inputs!$B$18*GR19*Inputs!$B$19</f>
        <v>0.731458068815438</v>
      </c>
      <c r="GT19" s="15" t="n">
        <f aca="false">1-GS19</f>
        <v>0.268541931184562</v>
      </c>
      <c r="GU19" s="15" t="n">
        <f aca="false">Inputs!$B$20*GT19</f>
        <v>0.00805625793553686</v>
      </c>
      <c r="GV19" s="15" t="n">
        <f aca="false">0.8*(1-Inputs!$B$50)*(GS19-GU19)</f>
        <v>0.00174239138889982</v>
      </c>
      <c r="GW19" s="15" t="n">
        <f aca="false">GS19-GU19-GV19</f>
        <v>0.721659419491001</v>
      </c>
      <c r="GX19" s="15" t="n">
        <f aca="false">GW19*(1-Inputs!$B$18*EXP(-Inputs!$B$21*Inputs!$B$14*Inputs!$B$17/(Inputs!$B$22*Inputs!$B$23*Inputs!$B$24*GQ19*Inputs!$B$16))*Inputs!$B$19)</f>
        <v>0.0263759922529883</v>
      </c>
      <c r="GY19" s="15" t="n">
        <f aca="false">(GW19-GX19)*(1-EXP(-Inputs!$B$25*Inputs!$B$14*Inputs!$B$17*Inputs!$B$26/(GQ19*Inputs!$B$16/0.866)))</f>
        <v>0.00764584816309406</v>
      </c>
      <c r="GZ19" s="15" t="n">
        <f aca="false">(GW19-GX19-GY19)*(1-Inputs!$B$19)</f>
        <v>0.0034381878953746</v>
      </c>
      <c r="HA19" s="15" t="n">
        <f aca="false">(GT19+GU19+GV19+GX19+GY19+GZ19)*(1+Inputs!$B$27)</f>
        <v>0.316748010646917</v>
      </c>
      <c r="HB19" s="15" t="n">
        <f aca="false">Inputs!$B$52/(1-HA19-G19)</f>
        <v>198537.076157952</v>
      </c>
      <c r="HC19" s="15" t="n">
        <f aca="false">HB19/Inputs!$B$34</f>
        <v>330.89512692992</v>
      </c>
      <c r="HD19" s="15" t="n">
        <f aca="false">B19^2/HC19</f>
        <v>10.8795799847558</v>
      </c>
      <c r="HE19" s="15" t="n">
        <f aca="false">Inputs!$B$54*H19/(Inputs!$B$35*F19+E19*H19^2/(PI()*HD19*Inputs!$B$36))</f>
        <v>18.8842967916715</v>
      </c>
      <c r="HF19" s="15" t="n">
        <f aca="false">EXP(-Inputs!$B$11*Inputs!$B$14*Inputs!$B$17/(Inputs!$B$51*HE19*Inputs!$B$16))</f>
        <v>0.748582456012193</v>
      </c>
      <c r="HG19" s="15" t="n">
        <f aca="false">Inputs!$B$50*Inputs!$B$18*HF19*Inputs!$B$19</f>
        <v>0.731458055468033</v>
      </c>
      <c r="HH19" s="15" t="n">
        <f aca="false">1-HG19</f>
        <v>0.268541944531967</v>
      </c>
      <c r="HI19" s="15" t="n">
        <f aca="false">Inputs!$B$20*HH19</f>
        <v>0.008056258335959</v>
      </c>
      <c r="HJ19" s="15" t="n">
        <f aca="false">0.8*(1-Inputs!$B$50)*(HG19-HI19)</f>
        <v>0.00174239135578669</v>
      </c>
      <c r="HK19" s="15" t="n">
        <f aca="false">HG19-HI19-HJ19</f>
        <v>0.721659405776288</v>
      </c>
      <c r="HL19" s="15" t="n">
        <f aca="false">HK19*(1-Inputs!$B$18*EXP(-Inputs!$B$21*Inputs!$B$14*Inputs!$B$17/(Inputs!$B$22*Inputs!$B$23*Inputs!$B$24*HE19*Inputs!$B$16))*Inputs!$B$19)</f>
        <v>0.0263759925012733</v>
      </c>
      <c r="HM19" s="15" t="n">
        <f aca="false">(HK19-HL19)*(1-EXP(-Inputs!$B$25*Inputs!$B$14*Inputs!$B$17*Inputs!$B$26/(HE19*Inputs!$B$16/0.866)))</f>
        <v>0.00764584848869532</v>
      </c>
      <c r="HN19" s="15" t="n">
        <f aca="false">(HK19-HL19-HM19)*(1-Inputs!$B$19)</f>
        <v>0.0034381878239316</v>
      </c>
      <c r="HO19" s="15" t="n">
        <f aca="false">(HH19+HI19+HJ19+HL19+HM19+HN19)*(1+Inputs!$B$27)</f>
        <v>0.316748024906725</v>
      </c>
      <c r="HP19" s="15" t="n">
        <f aca="false">Inputs!$B$52/(1-HO19-G19)</f>
        <v>198537.093386412</v>
      </c>
      <c r="HQ19" s="15" t="n">
        <f aca="false">HP19/Inputs!$B$34</f>
        <v>330.89515564402</v>
      </c>
      <c r="HR19" s="15" t="n">
        <f aca="false">B19^2/HQ19</f>
        <v>10.8795790406582</v>
      </c>
      <c r="HS19" s="15" t="n">
        <f aca="false">Inputs!$B$54*H19/(Inputs!$B$35*F19+E19*H19^2/(PI()*HR19*Inputs!$B$36))</f>
        <v>18.8842962761652</v>
      </c>
      <c r="HT19" s="15" t="n">
        <f aca="false">EXP(-Inputs!$B$11*Inputs!$B$14*Inputs!$B$17/(Inputs!$B$51*HS19*Inputs!$B$16))</f>
        <v>0.748582450094774</v>
      </c>
      <c r="HU19" s="15" t="n">
        <f aca="false">Inputs!$B$50*Inputs!$B$18*HT19*Inputs!$B$19</f>
        <v>0.73145804968598</v>
      </c>
      <c r="HV19" s="15" t="n">
        <f aca="false">1-HU19</f>
        <v>0.26854195031402</v>
      </c>
      <c r="HW19" s="15" t="n">
        <f aca="false">Inputs!$B$20*HV19</f>
        <v>0.00805625850942061</v>
      </c>
      <c r="HX19" s="15" t="n">
        <f aca="false">0.8*(1-Inputs!$B$50)*(HU19-HW19)</f>
        <v>0.00174239134144219</v>
      </c>
      <c r="HY19" s="15" t="n">
        <f aca="false">HU19-HW19-HX19</f>
        <v>0.721659399835117</v>
      </c>
      <c r="HZ19" s="15" t="n">
        <f aca="false">HY19*(1-Inputs!$B$18*EXP(-Inputs!$B$21*Inputs!$B$14*Inputs!$B$17/(Inputs!$B$22*Inputs!$B$23*Inputs!$B$24*HS19*Inputs!$B$16))*Inputs!$B$19)</f>
        <v>0.0263759926088296</v>
      </c>
      <c r="IA19" s="15" t="n">
        <f aca="false">(HY19-HZ19)*(1-EXP(-Inputs!$B$25*Inputs!$B$14*Inputs!$B$17*Inputs!$B$26/(HS19*Inputs!$B$16/0.866)))</f>
        <v>0.00764584862974478</v>
      </c>
      <c r="IB19" s="15" t="n">
        <f aca="false">(HY19-HZ19-IA19)*(1-Inputs!$B$19)</f>
        <v>0.00343818779298272</v>
      </c>
      <c r="IC19" s="15" t="n">
        <f aca="false">(HV19+HW19+HX19+HZ19+IA19+IB19)*(1+Inputs!$B$27)</f>
        <v>0.316748031084029</v>
      </c>
      <c r="ID19" s="15" t="n">
        <f aca="false">Inputs!$B$52/(1-IC19-G19)</f>
        <v>198537.100849727</v>
      </c>
      <c r="IE19" s="15" t="n">
        <f aca="false">ID19/Inputs!$B$34</f>
        <v>330.895168082878</v>
      </c>
      <c r="IF19" s="15" t="n">
        <f aca="false">B19^2/IE19</f>
        <v>10.879578631678</v>
      </c>
      <c r="IG19" s="15" t="n">
        <f aca="false">Inputs!$B$54*H19/(Inputs!$B$35*F19+E19*H19^2/(PI()*IF19*Inputs!$B$36))</f>
        <v>18.8842960528494</v>
      </c>
      <c r="IH19" s="15" t="n">
        <f aca="false">EXP(-Inputs!$B$11*Inputs!$B$14*Inputs!$B$17/(Inputs!$B$51*IG19*Inputs!$B$16))</f>
        <v>0.748582447531366</v>
      </c>
      <c r="II19" s="15" t="n">
        <f aca="false">Inputs!$B$50*Inputs!$B$18*IH19*Inputs!$B$19</f>
        <v>0.731458047181212</v>
      </c>
      <c r="IJ19" s="15" t="n">
        <f aca="false">1-II19</f>
        <v>0.268541952818788</v>
      </c>
      <c r="IK19" s="15" t="n">
        <f aca="false">Inputs!$B$20*IJ19</f>
        <v>0.00805625858456364</v>
      </c>
      <c r="IL19" s="15" t="n">
        <f aca="false">0.8*(1-Inputs!$B$50)*(II19-IK19)</f>
        <v>0.0017423913352282</v>
      </c>
      <c r="IM19" s="15" t="n">
        <f aca="false">II19-IK19-IL19</f>
        <v>0.72165939726142</v>
      </c>
      <c r="IN19" s="15" t="n">
        <f aca="false">IM19*(1-Inputs!$B$18*EXP(-Inputs!$B$21*Inputs!$B$14*Inputs!$B$17/(Inputs!$B$22*Inputs!$B$23*Inputs!$B$24*IG19*Inputs!$B$16))*Inputs!$B$19)</f>
        <v>0.0263759926554226</v>
      </c>
      <c r="IO19" s="15" t="n">
        <f aca="false">(IM19-IN19)*(1-EXP(-Inputs!$B$25*Inputs!$B$14*Inputs!$B$17*Inputs!$B$26/(IG19*Inputs!$B$16/0.866)))</f>
        <v>0.0076458486908469</v>
      </c>
      <c r="IP19" s="15" t="n">
        <f aca="false">(IM19-IN19-IO19)*(1-Inputs!$B$19)</f>
        <v>0.00343818777957576</v>
      </c>
      <c r="IQ19" s="15" t="n">
        <f aca="false">(IJ19+IK19+IL19+IN19+IO19+IP19)*(1+Inputs!$B$27)</f>
        <v>0.316748033760018</v>
      </c>
      <c r="IR19" s="15" t="n">
        <f aca="false">Inputs!$B$52/(1-IQ19-G19)</f>
        <v>198537.104082812</v>
      </c>
      <c r="IS19" s="15" t="n">
        <f aca="false">IR19/Inputs!$B$34</f>
        <v>330.895173471354</v>
      </c>
      <c r="IT19" s="15" t="n">
        <f aca="false">B19^2/IS19</f>
        <v>10.8795784545091</v>
      </c>
      <c r="IU19" s="15" t="n">
        <f aca="false">Inputs!$B$54*H19/(Inputs!$B$35*F19+E19*H19^2/(PI()*IT19*Inputs!$B$36))</f>
        <v>18.8842959561097</v>
      </c>
      <c r="IV19" s="15" t="n">
        <f aca="false">EXP(-Inputs!$B$11*Inputs!$B$14*Inputs!$B$17/(Inputs!$B$51*IU19*Inputs!$B$16))</f>
        <v>0.748582446420906</v>
      </c>
      <c r="IW19" s="15" t="n">
        <f aca="false">Inputs!$B$50*Inputs!$B$18*IV19*Inputs!$B$19</f>
        <v>0.731458046096155</v>
      </c>
      <c r="IX19" s="15" t="n">
        <f aca="false">1-IW19</f>
        <v>0.268541953903846</v>
      </c>
      <c r="IY19" s="15" t="n">
        <f aca="false">Inputs!$B$20*IX19</f>
        <v>0.00805625861711536</v>
      </c>
      <c r="IZ19" s="15" t="n">
        <f aca="false">0.8*(1-Inputs!$B$50)*(IW19-IY19)</f>
        <v>0.00174239133253631</v>
      </c>
      <c r="JA19" s="15" t="n">
        <f aca="false">IW19-IY19-IZ19</f>
        <v>0.721659396146503</v>
      </c>
      <c r="JB19" s="15" t="n">
        <f aca="false">JA19*(1-Inputs!$B$18*EXP(-Inputs!$B$21*Inputs!$B$14*Inputs!$B$17/(Inputs!$B$22*Inputs!$B$23*Inputs!$B$24*IU19*Inputs!$B$16))*Inputs!$B$19)</f>
        <v>0.0263759926756065</v>
      </c>
      <c r="JC19" s="15" t="n">
        <f aca="false">(JA19-JB19)*(1-EXP(-Inputs!$B$25*Inputs!$B$14*Inputs!$B$17*Inputs!$B$26/(IU19*Inputs!$B$16/0.866)))</f>
        <v>0.00764584871731617</v>
      </c>
      <c r="JD19" s="15" t="n">
        <f aca="false">(JA19-JB19-JC19)*(1-Inputs!$B$19)</f>
        <v>0.0034381877737679</v>
      </c>
      <c r="JE19" s="15" t="n">
        <f aca="false">(IX19+IY19+IZ19+JB19+JC19+JD19)*(1+Inputs!$B$27)</f>
        <v>0.316748034919248</v>
      </c>
      <c r="JF19" s="15" t="n">
        <f aca="false">Inputs!$B$52/(1-JE19-G19)</f>
        <v>198537.105483375</v>
      </c>
      <c r="JG19" s="15" t="n">
        <f aca="false">JF19/Inputs!$B$34</f>
        <v>330.895175805624</v>
      </c>
      <c r="JH19" s="15" t="n">
        <f aca="false">B19^2/JG19</f>
        <v>10.8795783777601</v>
      </c>
      <c r="JI19" s="15" t="n">
        <f aca="false">Inputs!$B$54*H19/(Inputs!$B$35*F19+E19*H19^2/(PI()*JH19*Inputs!$B$36))</f>
        <v>18.8842959142024</v>
      </c>
      <c r="JJ19" s="15" t="n">
        <f aca="false">EXP(-Inputs!$B$11*Inputs!$B$14*Inputs!$B$17/(Inputs!$B$51*JI19*Inputs!$B$16))</f>
        <v>0.748582445939858</v>
      </c>
      <c r="JK19" s="15" t="n">
        <f aca="false">Inputs!$B$50*Inputs!$B$18*JJ19*Inputs!$B$19</f>
        <v>0.731458045626111</v>
      </c>
      <c r="JL19" s="15" t="n">
        <f aca="false">1-JK19</f>
        <v>0.268541954373889</v>
      </c>
      <c r="JM19" s="15" t="n">
        <f aca="false">Inputs!$B$20*JL19</f>
        <v>0.00805625863121667</v>
      </c>
      <c r="JN19" s="15" t="n">
        <f aca="false">0.8*(1-Inputs!$B$50)*(JK19-JM19)</f>
        <v>0.0017423913313702</v>
      </c>
      <c r="JO19" s="15" t="n">
        <f aca="false">JK19-JM19-JN19</f>
        <v>0.721659395663524</v>
      </c>
      <c r="JP19" s="15" t="n">
        <f aca="false">JO19*(1-Inputs!$B$18*EXP(-Inputs!$B$21*Inputs!$B$14*Inputs!$B$17/(Inputs!$B$22*Inputs!$B$23*Inputs!$B$24*JI19*Inputs!$B$16))*Inputs!$B$19)</f>
        <v>0.0263759926843503</v>
      </c>
      <c r="JQ19" s="15" t="n">
        <f aca="false">(JO19-JP19)*(1-EXP(-Inputs!$B$25*Inputs!$B$14*Inputs!$B$17*Inputs!$B$26/(JI19*Inputs!$B$16/0.866)))</f>
        <v>0.0076458487287826</v>
      </c>
      <c r="JR19" s="15" t="n">
        <f aca="false">(JO19-JP19-JQ19)*(1-Inputs!$B$19)</f>
        <v>0.00343818777125196</v>
      </c>
      <c r="JS19" s="15" t="n">
        <f aca="false">(JL19+JM19+JN19+JP19+JQ19+JR19)*(1+Inputs!$B$27)</f>
        <v>0.316748035421423</v>
      </c>
      <c r="JT19" s="15" t="n">
        <f aca="false">Inputs!$B$52/(1-JS19-G19)</f>
        <v>198537.106090094</v>
      </c>
      <c r="JU19" s="15" t="n">
        <f aca="false">JT19/Inputs!$B$34</f>
        <v>330.895176816823</v>
      </c>
      <c r="JV19" s="15" t="n">
        <f aca="false">B19^2/JU19</f>
        <v>10.8795783445127</v>
      </c>
      <c r="JW19" s="15" t="n">
        <f aca="false">Inputs!$B$54*H19/(Inputs!$B$35*F19+E19*H19^2/(PI()*JV19*Inputs!$B$36))</f>
        <v>18.8842958960483</v>
      </c>
      <c r="JX19" s="15" t="n">
        <f aca="false">EXP(-Inputs!$B$11*Inputs!$B$14*Inputs!$B$17/(Inputs!$B$51*JW19*Inputs!$B$16))</f>
        <v>0.74858244573147</v>
      </c>
      <c r="JY19" s="15" t="n">
        <f aca="false">Inputs!$B$50*Inputs!$B$18*JX19*Inputs!$B$19</f>
        <v>0.73145804542249</v>
      </c>
      <c r="JZ19" s="15" t="n">
        <f aca="false">1-JY19</f>
        <v>0.26854195457751</v>
      </c>
      <c r="KA19" s="15" t="n">
        <f aca="false">Inputs!$B$20*JZ19</f>
        <v>0.00805625863732531</v>
      </c>
      <c r="KB19" s="15" t="n">
        <f aca="false">0.8*(1-Inputs!$B$50)*(JY19-KA19)</f>
        <v>0.00174239133086504</v>
      </c>
      <c r="KC19" s="15" t="n">
        <f aca="false">JY19-KA19-KB19</f>
        <v>0.721659395454299</v>
      </c>
      <c r="KD19" s="15" t="n">
        <f aca="false">KC19*(1-Inputs!$B$18*EXP(-Inputs!$B$21*Inputs!$B$14*Inputs!$B$17/(Inputs!$B$22*Inputs!$B$23*Inputs!$B$24*JW19*Inputs!$B$16))*Inputs!$B$19)</f>
        <v>0.0263759926881379</v>
      </c>
      <c r="KE19" s="15" t="n">
        <f aca="false">(KC19-KD19)*(1-EXP(-Inputs!$B$25*Inputs!$B$14*Inputs!$B$17*Inputs!$B$26/(JW19*Inputs!$B$16/0.866)))</f>
        <v>0.00764584873374985</v>
      </c>
      <c r="KF19" s="15" t="n">
        <f aca="false">(KC19-KD19-KE19)*(1-Inputs!$B$19)</f>
        <v>0.00343818777016206</v>
      </c>
      <c r="KG19" s="15" t="n">
        <f aca="false">(JZ19+KA19+KB19+KD19+KE19+KF19)*(1+Inputs!$B$27)</f>
        <v>0.316748035638964</v>
      </c>
      <c r="KH19" s="15" t="n">
        <f aca="false">Inputs!$B$52/(1-KG19-G19)</f>
        <v>198537.106352923</v>
      </c>
      <c r="KI19" s="15" t="n">
        <f aca="false">KH19/Inputs!$B$34</f>
        <v>330.895177254871</v>
      </c>
      <c r="KJ19" s="15" t="n">
        <f aca="false">B19^2/KI19</f>
        <v>10.87957833011</v>
      </c>
      <c r="KK19" s="15" t="n">
        <f aca="false">Inputs!$B$54*H19/(Inputs!$B$35*F19+E19*H19^2/(PI()*KJ19*Inputs!$B$36))</f>
        <v>18.884295888184</v>
      </c>
      <c r="KL19" s="15" t="n">
        <f aca="false">EXP(-Inputs!$B$11*Inputs!$B$14*Inputs!$B$17/(Inputs!$B$51*KK19*Inputs!$B$16))</f>
        <v>0.748582445641197</v>
      </c>
      <c r="KM19" s="15" t="n">
        <f aca="false">Inputs!$B$50*Inputs!$B$18*KL19*Inputs!$B$19</f>
        <v>0.731458045334282</v>
      </c>
      <c r="KN19" s="15" t="n">
        <f aca="false">1-KM19</f>
        <v>0.268541954665718</v>
      </c>
      <c r="KO19" s="15" t="n">
        <f aca="false">Inputs!$B$20*KN19</f>
        <v>0.00805625863997155</v>
      </c>
      <c r="KP19" s="15" t="n">
        <f aca="false">0.8*(1-Inputs!$B$50)*(KM19-KO19)</f>
        <v>0.00174239133064621</v>
      </c>
      <c r="KQ19" s="15" t="n">
        <f aca="false">KM19-KO19-KP19</f>
        <v>0.721659395363664</v>
      </c>
      <c r="KR19" s="15" t="n">
        <f aca="false">KQ19*(1-Inputs!$B$18*EXP(-Inputs!$B$21*Inputs!$B$14*Inputs!$B$17/(Inputs!$B$22*Inputs!$B$23*Inputs!$B$24*KK19*Inputs!$B$16))*Inputs!$B$19)</f>
        <v>0.0263759926897789</v>
      </c>
      <c r="KS19" s="15" t="n">
        <f aca="false">(KQ19-KR19)*(1-EXP(-Inputs!$B$25*Inputs!$B$14*Inputs!$B$17*Inputs!$B$26/(KK19*Inputs!$B$16/0.866)))</f>
        <v>0.00764584873590161</v>
      </c>
      <c r="KT19" s="15" t="n">
        <f aca="false">(KQ19-KR19-KS19)*(1-Inputs!$B$19)</f>
        <v>0.00343818776968992</v>
      </c>
      <c r="KU19" s="15" t="n">
        <f aca="false">(KN19+KO19+KP19+KR19+KS19+KT19)*(1+Inputs!$B$27)</f>
        <v>0.316748035733202</v>
      </c>
      <c r="KV19" s="15" t="n">
        <f aca="false">Inputs!$B$52/(1-KU19-G19)</f>
        <v>198537.106466779</v>
      </c>
      <c r="KW19" s="15" t="n">
        <f aca="false">KV19/Inputs!$B$34</f>
        <v>330.895177444632</v>
      </c>
      <c r="KX19" s="15" t="n">
        <f aca="false">B19^2/KW19</f>
        <v>10.8795783238708</v>
      </c>
      <c r="KY19" s="15" t="n">
        <f aca="false">Inputs!$B$54*H19/(Inputs!$B$35*F19+E19*H19^2/(PI()*KX19*Inputs!$B$36))</f>
        <v>18.8842958847772</v>
      </c>
      <c r="KZ19" s="15" t="n">
        <f aca="false">EXP(-Inputs!$B$11*Inputs!$B$14*Inputs!$B$17/(Inputs!$B$51*KY19*Inputs!$B$16))</f>
        <v>0.748582445602091</v>
      </c>
      <c r="LA19" s="15" t="n">
        <f aca="false">Inputs!$B$50*Inputs!$B$18*KZ19*Inputs!$B$19</f>
        <v>0.73145804529607</v>
      </c>
      <c r="LB19" s="15" t="n">
        <f aca="false">1-LA19</f>
        <v>0.26854195470393</v>
      </c>
      <c r="LC19" s="15" t="n">
        <f aca="false">Inputs!$B$20*LB19</f>
        <v>0.0080562586411179</v>
      </c>
      <c r="LD19" s="15" t="n">
        <f aca="false">0.8*(1-Inputs!$B$50)*(LA19-LC19)</f>
        <v>0.00174239133055141</v>
      </c>
      <c r="LE19" s="15" t="n">
        <f aca="false">LA19-LC19-LD19</f>
        <v>0.721659395324401</v>
      </c>
      <c r="LF19" s="15" t="n">
        <f aca="false">LE19*(1-Inputs!$B$18*EXP(-Inputs!$B$21*Inputs!$B$14*Inputs!$B$17/(Inputs!$B$22*Inputs!$B$23*Inputs!$B$24*KY19*Inputs!$B$16))*Inputs!$B$19)</f>
        <v>0.0263759926904896</v>
      </c>
      <c r="LG19" s="15" t="n">
        <f aca="false">(LE19-LF19)*(1-EXP(-Inputs!$B$25*Inputs!$B$14*Inputs!$B$17*Inputs!$B$26/(KY19*Inputs!$B$16/0.866)))</f>
        <v>0.00764584873683372</v>
      </c>
      <c r="LH19" s="15" t="n">
        <f aca="false">(LE19-LF19-LG19)*(1-Inputs!$B$19)</f>
        <v>0.00343818776948539</v>
      </c>
      <c r="LI19" s="15" t="n">
        <f aca="false">(LB19+LC19+LD19+LF19+LG19+LH19)*(1+Inputs!$B$27)</f>
        <v>0.316748035774025</v>
      </c>
      <c r="LJ19" s="15" t="n">
        <f aca="false">Inputs!$B$52/(1-LI19-G19)</f>
        <v>198537.106516102</v>
      </c>
      <c r="LK19" s="15" t="n">
        <f aca="false">LJ19/Inputs!$B$34</f>
        <v>330.895177526836</v>
      </c>
      <c r="LL19" s="15" t="n">
        <f aca="false">B19^2/LK19</f>
        <v>10.879578321168</v>
      </c>
      <c r="LM19" s="15" t="n">
        <f aca="false">Inputs!$B$54*H19/(Inputs!$B$35*F19+E19*H19^2/(PI()*LL19*Inputs!$B$36))</f>
        <v>18.8842958833013</v>
      </c>
      <c r="LN19" s="15" t="n">
        <f aca="false">EXP(-Inputs!$B$11*Inputs!$B$14*Inputs!$B$17/(Inputs!$B$51*LM19*Inputs!$B$16))</f>
        <v>0.74858244558515</v>
      </c>
      <c r="LO19" s="15" t="n">
        <f aca="false">Inputs!$B$50*Inputs!$B$18*LN19*Inputs!$B$19</f>
        <v>0.731458045279517</v>
      </c>
      <c r="LP19" s="15" t="n">
        <f aca="false">1-LO19</f>
        <v>0.268541954720483</v>
      </c>
      <c r="LQ19" s="15" t="n">
        <f aca="false">Inputs!$B$20*LP19</f>
        <v>0.00805625864161449</v>
      </c>
      <c r="LR19" s="15" t="n">
        <f aca="false">0.8*(1-Inputs!$B$50)*(LO19-LQ19)</f>
        <v>0.00174239133051035</v>
      </c>
      <c r="LS19" s="15" t="n">
        <f aca="false">LO19-LQ19-LR19</f>
        <v>0.721659395307392</v>
      </c>
      <c r="LT19" s="15" t="n">
        <f aca="false">LS19*(1-Inputs!$B$18*EXP(-Inputs!$B$21*Inputs!$B$14*Inputs!$B$17/(Inputs!$B$22*Inputs!$B$23*Inputs!$B$24*LM19*Inputs!$B$16))*Inputs!$B$19)</f>
        <v>0.0263759926907975</v>
      </c>
      <c r="LU19" s="15" t="n">
        <f aca="false">(LS19-LT19)*(1-EXP(-Inputs!$B$25*Inputs!$B$14*Inputs!$B$17*Inputs!$B$26/(LM19*Inputs!$B$16/0.866)))</f>
        <v>0.00764584873723752</v>
      </c>
      <c r="LV19" s="15" t="n">
        <f aca="false">(LS19-LT19-LU19)*(1-Inputs!$B$19)</f>
        <v>0.00343818776939679</v>
      </c>
      <c r="LW19" s="15" t="n">
        <f aca="false">(LP19+LQ19+LR19+LT19+LU19+LV19)*(1+Inputs!$B$27)</f>
        <v>0.31674803579171</v>
      </c>
      <c r="LX19" s="15" t="n">
        <f aca="false">Inputs!$B$52/(1-LW19-G19)</f>
        <v>198537.106537468</v>
      </c>
      <c r="LY19" s="15" t="n">
        <f aca="false">LX19/Inputs!$B$34</f>
        <v>330.895177562447</v>
      </c>
      <c r="LZ19" s="15" t="n">
        <f aca="false">B19^2/LY19</f>
        <v>10.8795783199971</v>
      </c>
      <c r="MA19" s="15" t="n">
        <f aca="false">Inputs!$B$54*H19/(Inputs!$B$35*F19+E19*H19^2/(PI()*LZ19*Inputs!$B$36))</f>
        <v>18.884295882662</v>
      </c>
      <c r="MB19" s="15" t="n">
        <f aca="false">EXP(-Inputs!$B$11*Inputs!$B$14*Inputs!$B$17/(Inputs!$B$51*MA19*Inputs!$B$16))</f>
        <v>0.748582445577811</v>
      </c>
      <c r="MC19" s="15" t="n">
        <f aca="false">Inputs!$B$50*Inputs!$B$18*MB19*Inputs!$B$19</f>
        <v>0.731458045272346</v>
      </c>
      <c r="MD19" s="15" t="n">
        <f aca="false">1-MC19</f>
        <v>0.268541954727654</v>
      </c>
      <c r="ME19" s="15" t="n">
        <f aca="false">Inputs!$B$20*MD19</f>
        <v>0.00805625864182962</v>
      </c>
      <c r="MF19" s="15" t="n">
        <f aca="false">0.8*(1-Inputs!$B$50)*(MC19-ME19)</f>
        <v>0.00174239133049256</v>
      </c>
      <c r="MG19" s="15" t="n">
        <f aca="false">MC19-ME19-MF19</f>
        <v>0.721659395300024</v>
      </c>
      <c r="MH19" s="15" t="n">
        <f aca="false">MG19*(1-Inputs!$B$18*EXP(-Inputs!$B$21*Inputs!$B$14*Inputs!$B$17/(Inputs!$B$22*Inputs!$B$23*Inputs!$B$24*MA19*Inputs!$B$16))*Inputs!$B$19)</f>
        <v>0.0263759926909308</v>
      </c>
      <c r="MI19" s="15" t="n">
        <f aca="false">(MG19-MH19)*(1-EXP(-Inputs!$B$25*Inputs!$B$14*Inputs!$B$17*Inputs!$B$26/(MA19*Inputs!$B$16/0.866)))</f>
        <v>0.00764584873741247</v>
      </c>
      <c r="MJ19" s="15" t="n">
        <f aca="false">(MG19-MH19-MI19)*(1-Inputs!$B$19)</f>
        <v>0.00343818776935841</v>
      </c>
      <c r="MK19" s="15" t="n">
        <f aca="false">(MD19+ME19+MF19+MH19+MI19+MJ19)*(1+Inputs!$B$27)</f>
        <v>0.316748035799371</v>
      </c>
      <c r="ML19" s="15" t="n">
        <f aca="false">Inputs!$B$52/(1-MK19-G19)</f>
        <v>198537.106546724</v>
      </c>
      <c r="MM19" s="15" t="n">
        <f aca="false">ML19/Inputs!$B$34</f>
        <v>330.895177577873</v>
      </c>
      <c r="MN19" s="15" t="n">
        <f aca="false">B19^2/MM19</f>
        <v>10.8795783194899</v>
      </c>
      <c r="MO19" s="15" t="n">
        <f aca="false">Inputs!$B$54*H19/(Inputs!$B$35*F19+E19*H19^2/(PI()*MN19*Inputs!$B$36))</f>
        <v>18.8842958823851</v>
      </c>
      <c r="MP19" s="15" t="n">
        <f aca="false">EXP(-Inputs!$B$11*Inputs!$B$14*Inputs!$B$17/(Inputs!$B$51*MO19*Inputs!$B$16))</f>
        <v>0.748582445574632</v>
      </c>
      <c r="MQ19" s="15" t="n">
        <f aca="false">Inputs!$B$50*Inputs!$B$18*MP19*Inputs!$B$19</f>
        <v>0.73145804526924</v>
      </c>
      <c r="MR19" s="15" t="n">
        <f aca="false">1-MQ19</f>
        <v>0.26854195473076</v>
      </c>
      <c r="MS19" s="15" t="n">
        <f aca="false">Inputs!$B$20*MR19</f>
        <v>0.00805625864192281</v>
      </c>
      <c r="MT19" s="15" t="n">
        <f aca="false">0.8*(1-Inputs!$B$50)*(MQ19-MS19)</f>
        <v>0.00174239133048485</v>
      </c>
      <c r="MU19" s="15" t="n">
        <f aca="false">MQ19-MS19-MT19</f>
        <v>0.721659395296832</v>
      </c>
      <c r="MV19" s="15" t="n">
        <f aca="false">MU19*(1-Inputs!$B$18*EXP(-Inputs!$B$21*Inputs!$B$14*Inputs!$B$17/(Inputs!$B$22*Inputs!$B$23*Inputs!$B$24*MO19*Inputs!$B$16))*Inputs!$B$19)</f>
        <v>0.0263759926909887</v>
      </c>
      <c r="MW19" s="15" t="n">
        <f aca="false">(MU19-MV19)*(1-EXP(-Inputs!$B$25*Inputs!$B$14*Inputs!$B$17*Inputs!$B$26/(MO19*Inputs!$B$16/0.866)))</f>
        <v>0.00764584873748827</v>
      </c>
      <c r="MX19" s="15" t="n">
        <f aca="false">(MU19-MV19-MW19)*(1-Inputs!$B$19)</f>
        <v>0.00343818776934178</v>
      </c>
      <c r="MY19" s="15" t="n">
        <f aca="false">(MR19+MS19+MT19+MV19+MW19+MX19)*(1+Inputs!$B$27)</f>
        <v>0.31674803580269</v>
      </c>
      <c r="MZ19" s="15" t="n">
        <f aca="false">Inputs!$B$52/(1-MY19-G19)</f>
        <v>198537.106550734</v>
      </c>
      <c r="NA19" s="15" t="n">
        <f aca="false">MZ19/Inputs!$B$34</f>
        <v>330.895177584556</v>
      </c>
      <c r="NB19" s="15" t="n">
        <f aca="false">B19^2/NA19</f>
        <v>10.8795783192702</v>
      </c>
      <c r="NC19" s="15" t="n">
        <f aca="false">Inputs!$B$54*H19/(Inputs!$B$35*F19+E19*H19^2/(PI()*NB19*Inputs!$B$36))</f>
        <v>18.8842958822651</v>
      </c>
      <c r="ND19" s="15" t="n">
        <f aca="false">EXP(-Inputs!$B$11*Inputs!$B$14*Inputs!$B$17/(Inputs!$B$51*NC19*Inputs!$B$16))</f>
        <v>0.748582445573255</v>
      </c>
      <c r="NE19" s="15" t="n">
        <f aca="false">Inputs!$B$50*Inputs!$B$18*ND19*Inputs!$B$19</f>
        <v>0.731458045267894</v>
      </c>
      <c r="NF19" s="15" t="n">
        <f aca="false">1-NE19</f>
        <v>0.268541954732106</v>
      </c>
      <c r="NG19" s="15" t="n">
        <f aca="false">Inputs!$B$20*NF19</f>
        <v>0.00805625864196318</v>
      </c>
      <c r="NH19" s="15" t="n">
        <f aca="false">0.8*(1-Inputs!$B$50)*(NE19-NG19)</f>
        <v>0.00174239133048151</v>
      </c>
      <c r="NI19" s="15" t="n">
        <f aca="false">NE19-NG19-NH19</f>
        <v>0.721659395295449</v>
      </c>
      <c r="NJ19" s="15" t="n">
        <f aca="false">NI19*(1-Inputs!$B$18*EXP(-Inputs!$B$21*Inputs!$B$14*Inputs!$B$17/(Inputs!$B$22*Inputs!$B$23*Inputs!$B$24*NC19*Inputs!$B$16))*Inputs!$B$19)</f>
        <v>0.0263759926910137</v>
      </c>
      <c r="NK19" s="15" t="n">
        <f aca="false">(NI19-NJ19)*(1-EXP(-Inputs!$B$25*Inputs!$B$14*Inputs!$B$17*Inputs!$B$26/(NC19*Inputs!$B$16/0.866)))</f>
        <v>0.00764584873752112</v>
      </c>
      <c r="NL19" s="15" t="n">
        <f aca="false">(NI19-NJ19-NK19)*(1-Inputs!$B$19)</f>
        <v>0.00343818776933458</v>
      </c>
      <c r="NM19" s="15" t="n">
        <f aca="false">(NF19+NG19+NH19+NJ19+NK19+NL19)*(1+Inputs!$B$27)</f>
        <v>0.316748035804127</v>
      </c>
      <c r="NN19" s="15" t="n">
        <f aca="false">Inputs!$B$52/(1-NM19-G19)</f>
        <v>198537.106552471</v>
      </c>
    </row>
    <row r="20" customFormat="false" ht="15" hidden="false" customHeight="false" outlineLevel="0" collapsed="false">
      <c r="A20" s="21" t="s">
        <v>501</v>
      </c>
      <c r="B20" s="21" t="n">
        <v>60</v>
      </c>
      <c r="C20" s="22" t="n">
        <v>0.1</v>
      </c>
      <c r="D20" s="23" t="n">
        <f aca="false">B20*C20</f>
        <v>6</v>
      </c>
      <c r="E20" s="24" t="n">
        <f aca="false">IF(C20=0,1,(1+0.45*C20)/(1.04+2.81*C20))</f>
        <v>0.791067373202119</v>
      </c>
      <c r="F20" s="24" t="n">
        <f aca="false">1+Inputs!$B$42*D20</f>
        <v>1.03</v>
      </c>
      <c r="G20" s="25" t="n">
        <f aca="false">Inputs!$B$31+Inputs!$B$43*(B20/Inputs!$B$32-1)+Inputs!$B$44+Inputs!$B$45*D20</f>
        <v>0.520725</v>
      </c>
      <c r="H20" s="22" t="n">
        <f aca="false">Inputs!$B$38</f>
        <v>0.5</v>
      </c>
      <c r="I20" s="23" t="n">
        <f aca="false">Inputs!$B$40</f>
        <v>2.4</v>
      </c>
      <c r="J20" s="26" t="n">
        <f aca="false">NN20/Inputs!$B$34</f>
        <v>324.136829600935</v>
      </c>
      <c r="K20" s="23" t="n">
        <f aca="false">B20^2/J20</f>
        <v>11.1064207187816</v>
      </c>
      <c r="L20" s="23" t="n">
        <f aca="false">2*K20</f>
        <v>22.2128414375632</v>
      </c>
      <c r="M20" s="22" t="n">
        <f aca="false">NC20</f>
        <v>19.3290735826405</v>
      </c>
      <c r="N20" s="23" t="n">
        <f aca="false">B20/SQRT(E20)</f>
        <v>67.4597168473837</v>
      </c>
      <c r="O20" s="24" t="n">
        <f aca="false">NM20</f>
        <v>0.311521770393403</v>
      </c>
      <c r="P20" s="23" t="n">
        <f aca="false">NN20/1000</f>
        <v>194.482097760561</v>
      </c>
      <c r="Q20" s="23" t="n">
        <f aca="false">G20*NN20/1000</f>
        <v>101.271690356368</v>
      </c>
      <c r="R20" s="23" t="n">
        <f aca="false">NM20*NN20/1000</f>
        <v>60.5854074041929</v>
      </c>
      <c r="S20" s="23" t="n">
        <f aca="false">NM20*NN20/Inputs!$B$28/1000</f>
        <v>80.7805432055905</v>
      </c>
      <c r="T20" s="27" t="n">
        <f aca="false">R20/Sweep!$R$5-1</f>
        <v>-0.0305810790722576</v>
      </c>
      <c r="U20" s="27" t="n">
        <f aca="false">R20/SUMIFS(Sweep!$R:$R,Sweep!$A:$A,"Conventional",Sweep!$B:$B,B20)-1</f>
        <v>-0.103754778533106</v>
      </c>
      <c r="V20" s="26" t="n">
        <f aca="false">2*0.54*(J20/2)^1.5/SQRT(L20)*Inputs!$B$46*Inputs!$B$47</f>
        <v>44.205965920801</v>
      </c>
      <c r="W20" s="28" t="n">
        <f aca="false">MIN(1,V20/S20)</f>
        <v>0.547235313933141</v>
      </c>
      <c r="X20" s="26" t="n">
        <f aca="false">1.23*SQRT(2*Inputs!$B$41*NN20*Inputs!$B$49/(1.225*J20*I20))/0.5144</f>
        <v>133.62967568068</v>
      </c>
      <c r="Y20" s="29" t="n">
        <f aca="false">(11000+6341.6*LN(0.36392/(2*Inputs!$B$50*Inputs!$B$18*(1+ND20)/2*Inputs!$B$34*Inputs!$B$49/((Inputs!$B$12*295.07)^2*H20))))/0.3048</f>
        <v>38618.2326294309</v>
      </c>
      <c r="Z20" s="26" t="n">
        <f aca="false">NN20-MZ20</f>
        <v>-2.75817001238465E-007</v>
      </c>
      <c r="AA20" s="30" t="str">
        <f aca="false">IF(ABS(NN20-MZ20)&lt;10,"Yes","No")</f>
        <v>Yes</v>
      </c>
      <c r="AC20" s="15" t="n">
        <f aca="false">Inputs!$B$52/(1-0.3154-G20)/Inputs!$B$34</f>
        <v>331.807780320366</v>
      </c>
      <c r="AD20" s="15" t="n">
        <f aca="false">B20^2/AC20</f>
        <v>10.8496551724138</v>
      </c>
      <c r="AE20" s="15" t="n">
        <f aca="false">Inputs!$B$54*H20/(Inputs!$B$35*F20+E20*H20^2/(PI()*AD20*Inputs!$B$36))</f>
        <v>19.198193382428</v>
      </c>
      <c r="AF20" s="15" t="n">
        <f aca="false">EXP(-Inputs!$B$11*Inputs!$B$14*Inputs!$B$17/(Inputs!$B$51*AE20*Inputs!$B$16))</f>
        <v>0.752135117619163</v>
      </c>
      <c r="AG20" s="15" t="n">
        <f aca="false">Inputs!$B$50*Inputs!$B$18*AF20*Inputs!$B$19</f>
        <v>0.734929447203038</v>
      </c>
      <c r="AH20" s="15" t="n">
        <f aca="false">1-AG20</f>
        <v>0.265070552796962</v>
      </c>
      <c r="AI20" s="15" t="n">
        <f aca="false">Inputs!$B$20*AH20</f>
        <v>0.00795211658390887</v>
      </c>
      <c r="AJ20" s="15" t="n">
        <f aca="false">0.8*(1-Inputs!$B$50)*(AG20-AI20)</f>
        <v>0.00175100341434788</v>
      </c>
      <c r="AK20" s="15" t="n">
        <f aca="false">AG20-AI20-AJ20</f>
        <v>0.725226327204781</v>
      </c>
      <c r="AL20" s="15" t="n">
        <f aca="false">AK20*(1-Inputs!$B$18*EXP(-Inputs!$B$21*Inputs!$B$14*Inputs!$B$17/(Inputs!$B$22*Inputs!$B$23*Inputs!$B$24*AE20*Inputs!$B$16))*Inputs!$B$19)</f>
        <v>0.0263108910888361</v>
      </c>
      <c r="AM20" s="15" t="n">
        <f aca="false">(AK20-AL20)*(1-EXP(-Inputs!$B$25*Inputs!$B$14*Inputs!$B$17*Inputs!$B$26/(AE20*Inputs!$B$16/0.866)))</f>
        <v>0.00756080598677936</v>
      </c>
      <c r="AN20" s="15" t="n">
        <f aca="false">(AK20-AL20-AM20)*(1-Inputs!$B$19)</f>
        <v>0.00345677315064583</v>
      </c>
      <c r="AO20" s="15" t="n">
        <f aca="false">(AH20+AI20+AJ20+AL20+AM20+AN20)*(1+Inputs!$B$27)</f>
        <v>0.313038449450545</v>
      </c>
      <c r="AP20" s="15" t="n">
        <f aca="false">Inputs!$B$52/(1-AO20-G20)</f>
        <v>196256.478446923</v>
      </c>
      <c r="AQ20" s="15" t="n">
        <f aca="false">AP20/Inputs!$B$34</f>
        <v>327.094130744872</v>
      </c>
      <c r="AR20" s="15" t="n">
        <f aca="false">B20^2/AQ20</f>
        <v>11.0060061053432</v>
      </c>
      <c r="AS20" s="15" t="n">
        <f aca="false">Inputs!$B$54*H20/(Inputs!$B$35*F20+E20*H20^2/(PI()*AR20*Inputs!$B$36))</f>
        <v>19.2784058970323</v>
      </c>
      <c r="AT20" s="15" t="n">
        <f aca="false">EXP(-Inputs!$B$11*Inputs!$B$14*Inputs!$B$17/(Inputs!$B$51*AS20*Inputs!$B$16))</f>
        <v>0.753027034028379</v>
      </c>
      <c r="AU20" s="15" t="n">
        <f aca="false">Inputs!$B$50*Inputs!$B$18*AT20*Inputs!$B$19</f>
        <v>0.735800960337076</v>
      </c>
      <c r="AV20" s="15" t="n">
        <f aca="false">1-AU20</f>
        <v>0.264199039662924</v>
      </c>
      <c r="AW20" s="15" t="n">
        <f aca="false">Inputs!$B$20*AV20</f>
        <v>0.00792597118988773</v>
      </c>
      <c r="AX20" s="15" t="n">
        <f aca="false">0.8*(1-Inputs!$B$50)*(AU20-AW20)</f>
        <v>0.00175316552185983</v>
      </c>
      <c r="AY20" s="15" t="n">
        <f aca="false">AU20-AW20-AX20</f>
        <v>0.726121823625328</v>
      </c>
      <c r="AZ20" s="15" t="n">
        <f aca="false">AY20*(1-Inputs!$B$18*EXP(-Inputs!$B$21*Inputs!$B$14*Inputs!$B$17/(Inputs!$B$22*Inputs!$B$23*Inputs!$B$24*AS20*Inputs!$B$16))*Inputs!$B$19)</f>
        <v>0.0262943816493927</v>
      </c>
      <c r="BA20" s="15" t="n">
        <f aca="false">(AY20-AZ20)*(1-EXP(-Inputs!$B$25*Inputs!$B$14*Inputs!$B$17*Inputs!$B$26/(AS20*Inputs!$B$16/0.866)))</f>
        <v>0.00753934264604917</v>
      </c>
      <c r="BB20" s="15" t="n">
        <f aca="false">(AY20-AZ20-BA20)*(1-Inputs!$B$19)</f>
        <v>0.00346144049664943</v>
      </c>
      <c r="BC20" s="15" t="n">
        <f aca="false">(AV20+AW20+AX20+AZ20+BA20+BB20)*(1+Inputs!$B$27)</f>
        <v>0.312106861190264</v>
      </c>
      <c r="BD20" s="15" t="n">
        <f aca="false">Inputs!$B$52/(1-BC20-G20)</f>
        <v>195162.787791353</v>
      </c>
      <c r="BE20" s="15" t="n">
        <f aca="false">BD20/Inputs!$B$34</f>
        <v>325.271312985588</v>
      </c>
      <c r="BF20" s="15" t="n">
        <f aca="false">B20^2/BE20</f>
        <v>11.0676836729205</v>
      </c>
      <c r="BG20" s="15" t="n">
        <f aca="false">Inputs!$B$54*H20/(Inputs!$B$35*F20+E20*H20^2/(PI()*BF20*Inputs!$B$36))</f>
        <v>19.3096049287758</v>
      </c>
      <c r="BH20" s="15" t="n">
        <f aca="false">EXP(-Inputs!$B$11*Inputs!$B$14*Inputs!$B$17/(Inputs!$B$51*BG20*Inputs!$B$16))</f>
        <v>0.753372230987671</v>
      </c>
      <c r="BI20" s="15" t="n">
        <f aca="false">Inputs!$B$50*Inputs!$B$18*BH20*Inputs!$B$19</f>
        <v>0.736138260649913</v>
      </c>
      <c r="BJ20" s="15" t="n">
        <f aca="false">1-BI20</f>
        <v>0.263861739350087</v>
      </c>
      <c r="BK20" s="15" t="n">
        <f aca="false">Inputs!$B$20*BJ20</f>
        <v>0.0079158521805026</v>
      </c>
      <c r="BL20" s="15" t="n">
        <f aca="false">0.8*(1-Inputs!$B$50)*(BI20-BK20)</f>
        <v>0.00175400231881869</v>
      </c>
      <c r="BM20" s="15" t="n">
        <f aca="false">BI20-BK20-BL20</f>
        <v>0.726468406150592</v>
      </c>
      <c r="BN20" s="15" t="n">
        <f aca="false">BM20*(1-Inputs!$B$18*EXP(-Inputs!$B$21*Inputs!$B$14*Inputs!$B$17/(Inputs!$B$22*Inputs!$B$23*Inputs!$B$24*BG20*Inputs!$B$16))*Inputs!$B$19)</f>
        <v>0.0262879742521376</v>
      </c>
      <c r="BO20" s="15" t="n">
        <f aca="false">(BM20-BN20)*(1-EXP(-Inputs!$B$25*Inputs!$B$14*Inputs!$B$17*Inputs!$B$26/(BG20*Inputs!$B$16/0.866)))</f>
        <v>0.00753102358176055</v>
      </c>
      <c r="BP20" s="15" t="n">
        <f aca="false">(BM20-BN20-BO20)*(1-Inputs!$B$19)</f>
        <v>0.00346324704158347</v>
      </c>
      <c r="BQ20" s="15" t="n">
        <f aca="false">(BJ20+BK20+BL20+BN20+BO20+BP20)*(1+Inputs!$B$27)</f>
        <v>0.311746280241064</v>
      </c>
      <c r="BR20" s="15" t="n">
        <f aca="false">Inputs!$B$52/(1-BQ20-G20)</f>
        <v>194742.728571826</v>
      </c>
      <c r="BS20" s="15" t="n">
        <f aca="false">BR20/Inputs!$B$34</f>
        <v>324.571214286377</v>
      </c>
      <c r="BT20" s="15" t="n">
        <f aca="false">B20^2/BS20</f>
        <v>11.0915566185226</v>
      </c>
      <c r="BU20" s="15" t="n">
        <f aca="false">Inputs!$B$54*H20/(Inputs!$B$35*F20+E20*H20^2/(PI()*BT20*Inputs!$B$36))</f>
        <v>19.3216145533056</v>
      </c>
      <c r="BV20" s="15" t="n">
        <f aca="false">EXP(-Inputs!$B$11*Inputs!$B$14*Inputs!$B$17/(Inputs!$B$51*BU20*Inputs!$B$16))</f>
        <v>0.753504854559827</v>
      </c>
      <c r="BW20" s="15" t="n">
        <f aca="false">Inputs!$B$50*Inputs!$B$18*BV20*Inputs!$B$19</f>
        <v>0.736267850355656</v>
      </c>
      <c r="BX20" s="15" t="n">
        <f aca="false">1-BW20</f>
        <v>0.263732149644344</v>
      </c>
      <c r="BY20" s="15" t="n">
        <f aca="false">Inputs!$B$20*BX20</f>
        <v>0.00791196448933033</v>
      </c>
      <c r="BZ20" s="15" t="n">
        <f aca="false">0.8*(1-Inputs!$B$50)*(BW20-BY20)</f>
        <v>0.00175432381354472</v>
      </c>
      <c r="CA20" s="15" t="n">
        <f aca="false">BW20-BY20-BZ20</f>
        <v>0.726601562052781</v>
      </c>
      <c r="CB20" s="15" t="n">
        <f aca="false">CA20*(1-Inputs!$B$18*EXP(-Inputs!$B$21*Inputs!$B$14*Inputs!$B$17/(Inputs!$B$22*Inputs!$B$23*Inputs!$B$24*BU20*Inputs!$B$16))*Inputs!$B$19)</f>
        <v>0.0262855099143155</v>
      </c>
      <c r="CC20" s="15" t="n">
        <f aca="false">(CA20-CB20)*(1-EXP(-Inputs!$B$25*Inputs!$B$14*Inputs!$B$17*Inputs!$B$26/(BU20*Inputs!$B$16/0.866)))</f>
        <v>0.00752782562288953</v>
      </c>
      <c r="CD20" s="15" t="n">
        <f aca="false">(CA20-CB20-CC20)*(1-Inputs!$B$19)</f>
        <v>0.00346394113257788</v>
      </c>
      <c r="CE20" s="15" t="n">
        <f aca="false">(BX20+BY20+BZ20+CB20+CC20+CD20)*(1+Inputs!$B$27)</f>
        <v>0.311607741760853</v>
      </c>
      <c r="CF20" s="15" t="n">
        <f aca="false">Inputs!$B$52/(1-CE20-G20)</f>
        <v>194581.818433903</v>
      </c>
      <c r="CG20" s="15" t="n">
        <f aca="false">CF20/Inputs!$B$34</f>
        <v>324.303030723172</v>
      </c>
      <c r="CH20" s="15" t="n">
        <f aca="false">B20^2/CG20</f>
        <v>11.1007288213504</v>
      </c>
      <c r="CI20" s="15" t="n">
        <f aca="false">Inputs!$B$54*H20/(Inputs!$B$35*F20+E20*H20^2/(PI()*CH20*Inputs!$B$36))</f>
        <v>19.3262189827624</v>
      </c>
      <c r="CJ20" s="15" t="n">
        <f aca="false">EXP(-Inputs!$B$11*Inputs!$B$14*Inputs!$B$17/(Inputs!$B$51*CI20*Inputs!$B$16))</f>
        <v>0.753555664241258</v>
      </c>
      <c r="CK20" s="15" t="n">
        <f aca="false">Inputs!$B$50*Inputs!$B$18*CJ20*Inputs!$B$19</f>
        <v>0.73631749772647</v>
      </c>
      <c r="CL20" s="15" t="n">
        <f aca="false">1-CK20</f>
        <v>0.26368250227353</v>
      </c>
      <c r="CM20" s="15" t="n">
        <f aca="false">Inputs!$B$20*CL20</f>
        <v>0.0079104750682059</v>
      </c>
      <c r="CN20" s="15" t="n">
        <f aca="false">0.8*(1-Inputs!$B$50)*(CK20-CM20)</f>
        <v>0.00175444698203088</v>
      </c>
      <c r="CO20" s="15" t="n">
        <f aca="false">CK20-CM20-CN20</f>
        <v>0.726652575676233</v>
      </c>
      <c r="CP20" s="15" t="n">
        <f aca="false">CO20*(1-Inputs!$B$18*EXP(-Inputs!$B$21*Inputs!$B$14*Inputs!$B$17/(Inputs!$B$22*Inputs!$B$23*Inputs!$B$24*CI20*Inputs!$B$16))*Inputs!$B$19)</f>
        <v>0.0262845654093019</v>
      </c>
      <c r="CQ20" s="15" t="n">
        <f aca="false">(CO20-CP20)*(1-EXP(-Inputs!$B$25*Inputs!$B$14*Inputs!$B$17*Inputs!$B$26/(CI20*Inputs!$B$16/0.866)))</f>
        <v>0.00752660018167461</v>
      </c>
      <c r="CR20" s="15" t="n">
        <f aca="false">(CO20-CP20-CQ20)*(1-Inputs!$B$19)</f>
        <v>0.00346420705042629</v>
      </c>
      <c r="CS20" s="15" t="n">
        <f aca="false">(CL20+CM20+CN20+CP20+CQ20+CR20)*(1+Inputs!$B$27)</f>
        <v>0.311554665356065</v>
      </c>
      <c r="CT20" s="15" t="n">
        <f aca="false">Inputs!$B$52/(1-CS20-G20)</f>
        <v>194520.241503583</v>
      </c>
      <c r="CU20" s="15" t="n">
        <f aca="false">CT20/Inputs!$B$34</f>
        <v>324.200402505972</v>
      </c>
      <c r="CV20" s="15" t="n">
        <f aca="false">B20^2/CU20</f>
        <v>11.1042428453915</v>
      </c>
      <c r="CW20" s="15" t="n">
        <f aca="false">Inputs!$B$54*H20/(Inputs!$B$35*F20+E20*H20^2/(PI()*CV20*Inputs!$B$36))</f>
        <v>19.3279815818483</v>
      </c>
      <c r="CX20" s="15" t="n">
        <f aca="false">EXP(-Inputs!$B$11*Inputs!$B$14*Inputs!$B$17/(Inputs!$B$51*CW20*Inputs!$B$16))</f>
        <v>0.753575108945643</v>
      </c>
      <c r="CY20" s="15" t="n">
        <f aca="false">Inputs!$B$50*Inputs!$B$18*CX20*Inputs!$B$19</f>
        <v>0.736336497618257</v>
      </c>
      <c r="CZ20" s="15" t="n">
        <f aca="false">1-CY20</f>
        <v>0.263663502381743</v>
      </c>
      <c r="DA20" s="15" t="n">
        <f aca="false">Inputs!$B$20*CZ20</f>
        <v>0.00790990507145228</v>
      </c>
      <c r="DB20" s="15" t="n">
        <f aca="false">0.8*(1-Inputs!$B$50)*(CY20-DA20)</f>
        <v>0.00175449411822098</v>
      </c>
      <c r="DC20" s="15" t="n">
        <f aca="false">CY20-DA20-DB20</f>
        <v>0.726672098428584</v>
      </c>
      <c r="DD20" s="15" t="n">
        <f aca="false">DC20*(1-Inputs!$B$18*EXP(-Inputs!$B$21*Inputs!$B$14*Inputs!$B$17/(Inputs!$B$22*Inputs!$B$23*Inputs!$B$24*CW20*Inputs!$B$16))*Inputs!$B$19)</f>
        <v>0.0262842038934096</v>
      </c>
      <c r="DE20" s="15" t="n">
        <f aca="false">(DC20-DD20)*(1-EXP(-Inputs!$B$25*Inputs!$B$14*Inputs!$B$17*Inputs!$B$26/(CW20*Inputs!$B$16/0.866)))</f>
        <v>0.00752613117038699</v>
      </c>
      <c r="DF20" s="15" t="n">
        <f aca="false">(DC20-DD20-DE20)*(1-Inputs!$B$19)</f>
        <v>0.00346430881682394</v>
      </c>
      <c r="DG20" s="15" t="n">
        <f aca="false">(CZ20+DA20+DB20+DD20+DE20+DF20)*(1+Inputs!$B$27)</f>
        <v>0.311534353088393</v>
      </c>
      <c r="DH20" s="15" t="n">
        <f aca="false">Inputs!$B$52/(1-DG20-G20)</f>
        <v>194496.686406558</v>
      </c>
      <c r="DI20" s="15" t="n">
        <f aca="false">DH20/Inputs!$B$34</f>
        <v>324.16114401093</v>
      </c>
      <c r="DJ20" s="15" t="n">
        <f aca="false">B20^2/DI20</f>
        <v>11.1055876575961</v>
      </c>
      <c r="DK20" s="15" t="n">
        <f aca="false">Inputs!$B$54*H20/(Inputs!$B$35*F20+E20*H20^2/(PI()*DJ20*Inputs!$B$36))</f>
        <v>19.3286559160103</v>
      </c>
      <c r="DL20" s="15" t="n">
        <f aca="false">EXP(-Inputs!$B$11*Inputs!$B$14*Inputs!$B$17/(Inputs!$B$51*DK20*Inputs!$B$16))</f>
        <v>0.753582547284415</v>
      </c>
      <c r="DM20" s="15" t="n">
        <f aca="false">Inputs!$B$50*Inputs!$B$18*DL20*Inputs!$B$19</f>
        <v>0.736343765799298</v>
      </c>
      <c r="DN20" s="15" t="n">
        <f aca="false">1-DM20</f>
        <v>0.263656234200702</v>
      </c>
      <c r="DO20" s="15" t="n">
        <f aca="false">Inputs!$B$20*DN20</f>
        <v>0.00790968702602106</v>
      </c>
      <c r="DP20" s="15" t="n">
        <f aca="false">0.8*(1-Inputs!$B$50)*(DM20-DO20)</f>
        <v>0.00175451214960595</v>
      </c>
      <c r="DQ20" s="15" t="n">
        <f aca="false">DM20-DO20-DP20</f>
        <v>0.726679566623671</v>
      </c>
      <c r="DR20" s="15" t="n">
        <f aca="false">DQ20*(1-Inputs!$B$18*EXP(-Inputs!$B$21*Inputs!$B$14*Inputs!$B$17/(Inputs!$B$22*Inputs!$B$23*Inputs!$B$24*DK20*Inputs!$B$16))*Inputs!$B$19)</f>
        <v>0.0262840655915193</v>
      </c>
      <c r="DS20" s="15" t="n">
        <f aca="false">(DQ20-DR20)*(1-EXP(-Inputs!$B$25*Inputs!$B$14*Inputs!$B$17*Inputs!$B$26/(DK20*Inputs!$B$16/0.866)))</f>
        <v>0.0075259517500554</v>
      </c>
      <c r="DT20" s="15" t="n">
        <f aca="false">(DQ20-DR20-DS20)*(1-Inputs!$B$19)</f>
        <v>0.00346434774641048</v>
      </c>
      <c r="DU20" s="15" t="n">
        <f aca="false">(DN20+DO20+DP20+DR20+DS20+DT20)*(1+Inputs!$B$27)</f>
        <v>0.311526582859707</v>
      </c>
      <c r="DV20" s="15" t="n">
        <f aca="false">Inputs!$B$52/(1-DU20-G20)</f>
        <v>194487.677178586</v>
      </c>
      <c r="DW20" s="15" t="n">
        <f aca="false">DV20/Inputs!$B$34</f>
        <v>324.146128630976</v>
      </c>
      <c r="DX20" s="15" t="n">
        <f aca="false">B20^2/DW20</f>
        <v>11.1061021003228</v>
      </c>
      <c r="DY20" s="15" t="n">
        <f aca="false">Inputs!$B$54*H20/(Inputs!$B$35*F20+E20*H20^2/(PI()*DX20*Inputs!$B$36))</f>
        <v>19.328913844187</v>
      </c>
      <c r="DZ20" s="15" t="n">
        <f aca="false">EXP(-Inputs!$B$11*Inputs!$B$14*Inputs!$B$17/(Inputs!$B$51*DY20*Inputs!$B$16))</f>
        <v>0.753585392279997</v>
      </c>
      <c r="EA20" s="15" t="n">
        <f aca="false">Inputs!$B$50*Inputs!$B$18*DZ20*Inputs!$B$19</f>
        <v>0.736346545713413</v>
      </c>
      <c r="EB20" s="15" t="n">
        <f aca="false">1-EA20</f>
        <v>0.263653454286587</v>
      </c>
      <c r="EC20" s="15" t="n">
        <f aca="false">Inputs!$B$20*EB20</f>
        <v>0.0079096036285976</v>
      </c>
      <c r="ED20" s="15" t="n">
        <f aca="false">0.8*(1-Inputs!$B$50)*(EA20-EC20)</f>
        <v>0.00175451904620103</v>
      </c>
      <c r="EE20" s="15" t="n">
        <f aca="false">EA20-EC20-ED20</f>
        <v>0.726682423038615</v>
      </c>
      <c r="EF20" s="15" t="n">
        <f aca="false">EE20*(1-Inputs!$B$18*EXP(-Inputs!$B$21*Inputs!$B$14*Inputs!$B$17/(Inputs!$B$22*Inputs!$B$23*Inputs!$B$24*DY20*Inputs!$B$16))*Inputs!$B$19)</f>
        <v>0.0262840126929718</v>
      </c>
      <c r="EG20" s="15" t="n">
        <f aca="false">(EE20-EF20)*(1-EXP(-Inputs!$B$25*Inputs!$B$14*Inputs!$B$17*Inputs!$B$26/(DY20*Inputs!$B$16/0.866)))</f>
        <v>0.0075258831250238</v>
      </c>
      <c r="EH20" s="15" t="n">
        <f aca="false">(EE20-EF20-EG20)*(1-Inputs!$B$19)</f>
        <v>0.0034643626361031</v>
      </c>
      <c r="EI20" s="15" t="n">
        <f aca="false">(EB20+EC20+ED20+EF20+EG20+EH20)*(1+Inputs!$B$27)</f>
        <v>0.31152361092173</v>
      </c>
      <c r="EJ20" s="15" t="n">
        <f aca="false">Inputs!$B$52/(1-EI20-G20)</f>
        <v>194484.231571864</v>
      </c>
      <c r="EK20" s="15" t="n">
        <f aca="false">EJ20/Inputs!$B$34</f>
        <v>324.140385953106</v>
      </c>
      <c r="EL20" s="15" t="n">
        <f aca="false">B20^2/EK20</f>
        <v>11.106298863113</v>
      </c>
      <c r="EM20" s="15" t="n">
        <f aca="false">Inputs!$B$54*H20/(Inputs!$B$35*F20+E20*H20^2/(PI()*EL20*Inputs!$B$36))</f>
        <v>19.3290124914248</v>
      </c>
      <c r="EN20" s="15" t="n">
        <f aca="false">EXP(-Inputs!$B$11*Inputs!$B$14*Inputs!$B$17/(Inputs!$B$51*EM20*Inputs!$B$16))</f>
        <v>0.753586480360076</v>
      </c>
      <c r="EO20" s="15" t="n">
        <f aca="false">Inputs!$B$50*Inputs!$B$18*EN20*Inputs!$B$19</f>
        <v>0.736347608902822</v>
      </c>
      <c r="EP20" s="15" t="n">
        <f aca="false">1-EO20</f>
        <v>0.263652391097178</v>
      </c>
      <c r="EQ20" s="15" t="n">
        <f aca="false">Inputs!$B$20*EP20</f>
        <v>0.00790957173291534</v>
      </c>
      <c r="ER20" s="15" t="n">
        <f aca="false">0.8*(1-Inputs!$B$50)*(EO20-EQ20)</f>
        <v>0.00175452168383174</v>
      </c>
      <c r="ES20" s="15" t="n">
        <f aca="false">EO20-EQ20-ER20</f>
        <v>0.726683515486075</v>
      </c>
      <c r="ET20" s="15" t="n">
        <f aca="false">ES20*(1-Inputs!$B$18*EXP(-Inputs!$B$21*Inputs!$B$14*Inputs!$B$17/(Inputs!$B$22*Inputs!$B$23*Inputs!$B$24*EM20*Inputs!$B$16))*Inputs!$B$19)</f>
        <v>0.0262839924615303</v>
      </c>
      <c r="EU20" s="15" t="n">
        <f aca="false">(ES20-ET20)*(1-EXP(-Inputs!$B$25*Inputs!$B$14*Inputs!$B$17*Inputs!$B$26/(EM20*Inputs!$B$16/0.866)))</f>
        <v>0.0075258568789811</v>
      </c>
      <c r="EV20" s="15" t="n">
        <f aca="false">(ES20-ET20-EU20)*(1-Inputs!$B$19)</f>
        <v>0.00346436833072782</v>
      </c>
      <c r="EW20" s="15" t="n">
        <f aca="false">(EP20+EQ20+ER20+ET20+EU20+EV20)*(1+Inputs!$B$27)</f>
        <v>0.31152247429172</v>
      </c>
      <c r="EX20" s="15" t="n">
        <f aca="false">Inputs!$B$52/(1-EW20-G20)</f>
        <v>194482.913817551</v>
      </c>
      <c r="EY20" s="15" t="n">
        <f aca="false">EX20/Inputs!$B$34</f>
        <v>324.138189695919</v>
      </c>
      <c r="EZ20" s="15" t="n">
        <f aca="false">B20^2/EY20</f>
        <v>11.1063741158585</v>
      </c>
      <c r="FA20" s="15" t="n">
        <f aca="false">Inputs!$B$54*H20/(Inputs!$B$35*F20+E20*H20^2/(PI()*EZ20*Inputs!$B$36))</f>
        <v>19.3290502188124</v>
      </c>
      <c r="FB20" s="15" t="n">
        <f aca="false">EXP(-Inputs!$B$11*Inputs!$B$14*Inputs!$B$17/(Inputs!$B$51*FA20*Inputs!$B$16))</f>
        <v>0.75358689649104</v>
      </c>
      <c r="FC20" s="15" t="n">
        <f aca="false">Inputs!$B$50*Inputs!$B$18*FB20*Inputs!$B$19</f>
        <v>0.73634801551447</v>
      </c>
      <c r="FD20" s="15" t="n">
        <f aca="false">1-FC20</f>
        <v>0.26365198448553</v>
      </c>
      <c r="FE20" s="15" t="n">
        <f aca="false">Inputs!$B$20*FD20</f>
        <v>0.00790955953456591</v>
      </c>
      <c r="FF20" s="15" t="n">
        <f aca="false">0.8*(1-Inputs!$B$50)*(FC20-FE20)</f>
        <v>0.00175452269258085</v>
      </c>
      <c r="FG20" s="15" t="n">
        <f aca="false">FC20-FE20-FF20</f>
        <v>0.726683933287323</v>
      </c>
      <c r="FH20" s="15" t="n">
        <f aca="false">FG20*(1-Inputs!$B$18*EXP(-Inputs!$B$21*Inputs!$B$14*Inputs!$B$17/(Inputs!$B$22*Inputs!$B$23*Inputs!$B$24*FA20*Inputs!$B$16))*Inputs!$B$19)</f>
        <v>0.0262839847240871</v>
      </c>
      <c r="FI20" s="15" t="n">
        <f aca="false">(FG20-FH20)*(1-EXP(-Inputs!$B$25*Inputs!$B$14*Inputs!$B$17*Inputs!$B$26/(FA20*Inputs!$B$16/0.866)))</f>
        <v>0.00752584684129118</v>
      </c>
      <c r="FJ20" s="15" t="n">
        <f aca="false">(FG20-FH20-FI20)*(1-Inputs!$B$19)</f>
        <v>0.00346437050860973</v>
      </c>
      <c r="FK20" s="15" t="n">
        <f aca="false">(FD20+FE20+FF20+FH20+FI20+FJ20)*(1+Inputs!$B$27)</f>
        <v>0.311522039593025</v>
      </c>
      <c r="FL20" s="15" t="n">
        <f aca="false">Inputs!$B$52/(1-FK20-G20)</f>
        <v>194482.409853457</v>
      </c>
      <c r="FM20" s="15" t="n">
        <f aca="false">FL20/Inputs!$B$34</f>
        <v>324.137349755761</v>
      </c>
      <c r="FN20" s="15" t="n">
        <f aca="false">B20^2/FM20</f>
        <v>11.1064028959101</v>
      </c>
      <c r="FO20" s="15" t="n">
        <f aca="false">Inputs!$B$54*H20/(Inputs!$B$35*F20+E20*H20^2/(PI()*FN20*Inputs!$B$36))</f>
        <v>19.3290646473745</v>
      </c>
      <c r="FP20" s="15" t="n">
        <f aca="false">EXP(-Inputs!$B$11*Inputs!$B$14*Inputs!$B$17/(Inputs!$B$51*FO20*Inputs!$B$16))</f>
        <v>0.753587055636901</v>
      </c>
      <c r="FQ20" s="15" t="n">
        <f aca="false">Inputs!$B$50*Inputs!$B$18*FP20*Inputs!$B$19</f>
        <v>0.736348171019746</v>
      </c>
      <c r="FR20" s="15" t="n">
        <f aca="false">1-FQ20</f>
        <v>0.263651828980254</v>
      </c>
      <c r="FS20" s="15" t="n">
        <f aca="false">Inputs!$B$20*FR20</f>
        <v>0.00790955486940761</v>
      </c>
      <c r="FT20" s="15" t="n">
        <f aca="false">0.8*(1-Inputs!$B$50)*(FQ20-FS20)</f>
        <v>0.00175452307836864</v>
      </c>
      <c r="FU20" s="15" t="n">
        <f aca="false">FQ20-FS20-FT20</f>
        <v>0.72668409307197</v>
      </c>
      <c r="FV20" s="15" t="n">
        <f aca="false">FU20*(1-Inputs!$B$18*EXP(-Inputs!$B$21*Inputs!$B$14*Inputs!$B$17/(Inputs!$B$22*Inputs!$B$23*Inputs!$B$24*FO20*Inputs!$B$16))*Inputs!$B$19)</f>
        <v>0.026283981764962</v>
      </c>
      <c r="FW20" s="15" t="n">
        <f aca="false">(FU20-FV20)*(1-EXP(-Inputs!$B$25*Inputs!$B$14*Inputs!$B$17*Inputs!$B$26/(FO20*Inputs!$B$16/0.866)))</f>
        <v>0.00752584300245676</v>
      </c>
      <c r="FX20" s="15" t="n">
        <f aca="false">(FU20-FV20-FW20)*(1-Inputs!$B$19)</f>
        <v>0.00346437134152276</v>
      </c>
      <c r="FY20" s="15" t="n">
        <f aca="false">(FR20+FS20+FT20+FV20+FW20+FX20)*(1+Inputs!$B$27)</f>
        <v>0.311521873346082</v>
      </c>
      <c r="FZ20" s="15" t="n">
        <f aca="false">Inputs!$B$52/(1-FY20-G20)</f>
        <v>194482.217117222</v>
      </c>
      <c r="GA20" s="15" t="n">
        <f aca="false">FZ20/Inputs!$B$34</f>
        <v>324.137028528703</v>
      </c>
      <c r="GB20" s="15" t="n">
        <f aca="false">B20^2/GA20</f>
        <v>11.1064139026042</v>
      </c>
      <c r="GC20" s="15" t="n">
        <f aca="false">Inputs!$B$54*H20/(Inputs!$B$35*F20+E20*H20^2/(PI()*GB20*Inputs!$B$36))</f>
        <v>19.3290701654455</v>
      </c>
      <c r="GD20" s="15" t="n">
        <f aca="false">EXP(-Inputs!$B$11*Inputs!$B$14*Inputs!$B$17/(Inputs!$B$51*GC20*Inputs!$B$16))</f>
        <v>0.753587116500718</v>
      </c>
      <c r="GE20" s="15" t="n">
        <f aca="false">Inputs!$B$50*Inputs!$B$18*GD20*Inputs!$B$19</f>
        <v>0.736348230491257</v>
      </c>
      <c r="GF20" s="15" t="n">
        <f aca="false">1-GE20</f>
        <v>0.263651769508743</v>
      </c>
      <c r="GG20" s="15" t="n">
        <f aca="false">Inputs!$B$20*GF20</f>
        <v>0.00790955308526229</v>
      </c>
      <c r="GH20" s="15" t="n">
        <f aca="false">0.8*(1-Inputs!$B$50)*(GE20-GG20)</f>
        <v>0.0017545232259095</v>
      </c>
      <c r="GI20" s="15" t="n">
        <f aca="false">GE20-GG20-GH20</f>
        <v>0.726684154180085</v>
      </c>
      <c r="GJ20" s="15" t="n">
        <f aca="false">GI20*(1-Inputs!$B$18*EXP(-Inputs!$B$21*Inputs!$B$14*Inputs!$B$17/(Inputs!$B$22*Inputs!$B$23*Inputs!$B$24*GC20*Inputs!$B$16))*Inputs!$B$19)</f>
        <v>0.0262839806332721</v>
      </c>
      <c r="GK20" s="15" t="n">
        <f aca="false">(GI20-GJ20)*(1-EXP(-Inputs!$B$25*Inputs!$B$14*Inputs!$B$17*Inputs!$B$26/(GC20*Inputs!$B$16/0.866)))</f>
        <v>0.00752584153433068</v>
      </c>
      <c r="GL20" s="15" t="n">
        <f aca="false">(GI20-GJ20-GK20)*(1-Inputs!$B$19)</f>
        <v>0.00346437166006241</v>
      </c>
      <c r="GM20" s="15" t="n">
        <f aca="false">(GF20+GG20+GH20+GJ20+GK20+GL20)*(1+Inputs!$B$27)</f>
        <v>0.311521809766523</v>
      </c>
      <c r="GN20" s="15" t="n">
        <f aca="false">Inputs!$B$52/(1-GM20-G20)</f>
        <v>194482.143407186</v>
      </c>
      <c r="GO20" s="15" t="n">
        <f aca="false">GN20/Inputs!$B$34</f>
        <v>324.136905678643</v>
      </c>
      <c r="GP20" s="15" t="n">
        <f aca="false">B20^2/GO20</f>
        <v>11.1064181120095</v>
      </c>
      <c r="GQ20" s="15" t="n">
        <f aca="false">Inputs!$B$54*H20/(Inputs!$B$35*F20+E20*H20^2/(PI()*GP20*Inputs!$B$36))</f>
        <v>19.3290722757771</v>
      </c>
      <c r="GR20" s="15" t="n">
        <f aca="false">EXP(-Inputs!$B$11*Inputs!$B$14*Inputs!$B$17/(Inputs!$B$51*GQ20*Inputs!$B$16))</f>
        <v>0.753587139777474</v>
      </c>
      <c r="GS20" s="15" t="n">
        <f aca="false">Inputs!$B$50*Inputs!$B$18*GR20*Inputs!$B$19</f>
        <v>0.73634825323554</v>
      </c>
      <c r="GT20" s="15" t="n">
        <f aca="false">1-GS20</f>
        <v>0.26365174676446</v>
      </c>
      <c r="GU20" s="15" t="n">
        <f aca="false">Inputs!$B$20*GT20</f>
        <v>0.00790955240293381</v>
      </c>
      <c r="GV20" s="15" t="n">
        <f aca="false">0.8*(1-Inputs!$B$50)*(GS20-GU20)</f>
        <v>0.00175452328233502</v>
      </c>
      <c r="GW20" s="15" t="n">
        <f aca="false">GS20-GU20-GV20</f>
        <v>0.726684177550271</v>
      </c>
      <c r="GX20" s="15" t="n">
        <f aca="false">GW20*(1-Inputs!$B$18*EXP(-Inputs!$B$21*Inputs!$B$14*Inputs!$B$17/(Inputs!$B$22*Inputs!$B$23*Inputs!$B$24*GQ20*Inputs!$B$16))*Inputs!$B$19)</f>
        <v>0.0262839802004687</v>
      </c>
      <c r="GY20" s="15" t="n">
        <f aca="false">(GW20-GX20)*(1-EXP(-Inputs!$B$25*Inputs!$B$14*Inputs!$B$17*Inputs!$B$26/(GQ20*Inputs!$B$16/0.866)))</f>
        <v>0.00752584097286058</v>
      </c>
      <c r="GZ20" s="15" t="n">
        <f aca="false">(GW20-GX20-GY20)*(1-Inputs!$B$19)</f>
        <v>0.00346437178188471</v>
      </c>
      <c r="HA20" s="15" t="n">
        <f aca="false">(GT20+GU20+GV20+GX20+GY20+GZ20)*(1+Inputs!$B$27)</f>
        <v>0.311521785451158</v>
      </c>
      <c r="HB20" s="15" t="n">
        <f aca="false">Inputs!$B$52/(1-HA20-G20)</f>
        <v>194482.115217537</v>
      </c>
      <c r="HC20" s="15" t="n">
        <f aca="false">HB20/Inputs!$B$34</f>
        <v>324.136858695894</v>
      </c>
      <c r="HD20" s="15" t="n">
        <f aca="false">B20^2/HC20</f>
        <v>11.1064197218544</v>
      </c>
      <c r="HE20" s="15" t="n">
        <f aca="false">Inputs!$B$54*H20/(Inputs!$B$35*F20+E20*H20^2/(PI()*HD20*Inputs!$B$36))</f>
        <v>19.3290730828519</v>
      </c>
      <c r="HF20" s="15" t="n">
        <f aca="false">EXP(-Inputs!$B$11*Inputs!$B$14*Inputs!$B$17/(Inputs!$B$51*HE20*Inputs!$B$16))</f>
        <v>0.753587148679432</v>
      </c>
      <c r="HG20" s="15" t="n">
        <f aca="false">Inputs!$B$50*Inputs!$B$18*HF20*Inputs!$B$19</f>
        <v>0.736348261933858</v>
      </c>
      <c r="HH20" s="15" t="n">
        <f aca="false">1-HG20</f>
        <v>0.263651738066142</v>
      </c>
      <c r="HI20" s="15" t="n">
        <f aca="false">Inputs!$B$20*HH20</f>
        <v>0.00790955214198426</v>
      </c>
      <c r="HJ20" s="15" t="n">
        <f aca="false">0.8*(1-Inputs!$B$50)*(HG20-HI20)</f>
        <v>0.00175452330391439</v>
      </c>
      <c r="HK20" s="15" t="n">
        <f aca="false">HG20-HI20-HJ20</f>
        <v>0.726684186487959</v>
      </c>
      <c r="HL20" s="15" t="n">
        <f aca="false">HK20*(1-Inputs!$B$18*EXP(-Inputs!$B$21*Inputs!$B$14*Inputs!$B$17/(Inputs!$B$22*Inputs!$B$23*Inputs!$B$24*HE20*Inputs!$B$16))*Inputs!$B$19)</f>
        <v>0.0262839800349474</v>
      </c>
      <c r="HM20" s="15" t="n">
        <f aca="false">(HK20-HL20)*(1-EXP(-Inputs!$B$25*Inputs!$B$14*Inputs!$B$17*Inputs!$B$26/(HE20*Inputs!$B$16/0.866)))</f>
        <v>0.00752584075813206</v>
      </c>
      <c r="HN20" s="15" t="n">
        <f aca="false">(HK20-HL20-HM20)*(1-Inputs!$B$19)</f>
        <v>0.0034643718284744</v>
      </c>
      <c r="HO20" s="15" t="n">
        <f aca="false">(HH20+HI20+HJ20+HL20+HM20+HN20)*(1+Inputs!$B$27)</f>
        <v>0.311521776151995</v>
      </c>
      <c r="HP20" s="15" t="n">
        <f aca="false">Inputs!$B$52/(1-HO20-G20)</f>
        <v>194482.104436696</v>
      </c>
      <c r="HQ20" s="15" t="n">
        <f aca="false">HP20/Inputs!$B$34</f>
        <v>324.136840727826</v>
      </c>
      <c r="HR20" s="15" t="n">
        <f aca="false">B20^2/HQ20</f>
        <v>11.1064203375231</v>
      </c>
      <c r="HS20" s="15" t="n">
        <f aca="false">Inputs!$B$54*H20/(Inputs!$B$35*F20+E20*H20^2/(PI()*HR20*Inputs!$B$36))</f>
        <v>19.3290733915094</v>
      </c>
      <c r="HT20" s="15" t="n">
        <f aca="false">EXP(-Inputs!$B$11*Inputs!$B$14*Inputs!$B$17/(Inputs!$B$51*HS20*Inputs!$B$16))</f>
        <v>0.753587152083894</v>
      </c>
      <c r="HU20" s="15" t="n">
        <f aca="false">Inputs!$B$50*Inputs!$B$18*HT20*Inputs!$B$19</f>
        <v>0.73634826526044</v>
      </c>
      <c r="HV20" s="15" t="n">
        <f aca="false">1-HU20</f>
        <v>0.26365173473956</v>
      </c>
      <c r="HW20" s="15" t="n">
        <f aca="false">Inputs!$B$20*HV20</f>
        <v>0.00790955204218679</v>
      </c>
      <c r="HX20" s="15" t="n">
        <f aca="false">0.8*(1-Inputs!$B$50)*(HU20-HW20)</f>
        <v>0.00175452331216719</v>
      </c>
      <c r="HY20" s="15" t="n">
        <f aca="false">HU20-HW20-HX20</f>
        <v>0.726684189906086</v>
      </c>
      <c r="HZ20" s="15" t="n">
        <f aca="false">HY20*(1-Inputs!$B$18*EXP(-Inputs!$B$21*Inputs!$B$14*Inputs!$B$17/(Inputs!$B$22*Inputs!$B$23*Inputs!$B$24*HS20*Inputs!$B$16))*Inputs!$B$19)</f>
        <v>0.0262839799716455</v>
      </c>
      <c r="IA20" s="15" t="n">
        <f aca="false">(HY20-HZ20)*(1-EXP(-Inputs!$B$25*Inputs!$B$14*Inputs!$B$17*Inputs!$B$26/(HS20*Inputs!$B$16/0.866)))</f>
        <v>0.00752584067601136</v>
      </c>
      <c r="IB20" s="15" t="n">
        <f aca="false">(HY20-HZ20-IA20)*(1-Inputs!$B$19)</f>
        <v>0.00346437184629215</v>
      </c>
      <c r="IC20" s="15" t="n">
        <f aca="false">(HV20+HW20+HX20+HZ20+IA20+IB20)*(1+Inputs!$B$27)</f>
        <v>0.311521772595626</v>
      </c>
      <c r="ID20" s="15" t="n">
        <f aca="false">Inputs!$B$52/(1-IC20-G20)</f>
        <v>194482.100313674</v>
      </c>
      <c r="IE20" s="15" t="n">
        <f aca="false">ID20/Inputs!$B$34</f>
        <v>324.136833856123</v>
      </c>
      <c r="IF20" s="15" t="n">
        <f aca="false">B20^2/IE20</f>
        <v>11.1064205729792</v>
      </c>
      <c r="IG20" s="15" t="n">
        <f aca="false">Inputs!$B$54*H20/(Inputs!$B$35*F20+E20*H20^2/(PI()*IF20*Inputs!$B$36))</f>
        <v>19.3290735095523</v>
      </c>
      <c r="IH20" s="15" t="n">
        <f aca="false">EXP(-Inputs!$B$11*Inputs!$B$14*Inputs!$B$17/(Inputs!$B$51*IG20*Inputs!$B$16))</f>
        <v>0.753587153385895</v>
      </c>
      <c r="II20" s="15" t="n">
        <f aca="false">Inputs!$B$50*Inputs!$B$18*IH20*Inputs!$B$19</f>
        <v>0.736348266532657</v>
      </c>
      <c r="IJ20" s="15" t="n">
        <f aca="false">1-II20</f>
        <v>0.263651733467343</v>
      </c>
      <c r="IK20" s="15" t="n">
        <f aca="false">Inputs!$B$20*IJ20</f>
        <v>0.00790955200402028</v>
      </c>
      <c r="IL20" s="15" t="n">
        <f aca="false">0.8*(1-Inputs!$B$50)*(II20-IK20)</f>
        <v>0.00175452331532339</v>
      </c>
      <c r="IM20" s="15" t="n">
        <f aca="false">II20-IK20-IL20</f>
        <v>0.726684191213314</v>
      </c>
      <c r="IN20" s="15" t="n">
        <f aca="false">IM20*(1-Inputs!$B$18*EXP(-Inputs!$B$21*Inputs!$B$14*Inputs!$B$17/(Inputs!$B$22*Inputs!$B$23*Inputs!$B$24*IG20*Inputs!$B$16))*Inputs!$B$19)</f>
        <v>0.0262839799474363</v>
      </c>
      <c r="IO20" s="15" t="n">
        <f aca="false">(IM20-IN20)*(1-EXP(-Inputs!$B$25*Inputs!$B$14*Inputs!$B$17*Inputs!$B$26/(IG20*Inputs!$B$16/0.866)))</f>
        <v>0.00752584064460516</v>
      </c>
      <c r="IP20" s="15" t="n">
        <f aca="false">(IM20-IN20-IO20)*(1-Inputs!$B$19)</f>
        <v>0.00346437185310636</v>
      </c>
      <c r="IQ20" s="15" t="n">
        <f aca="false">(IJ20+IK20+IL20+IN20+IO20+IP20)*(1+Inputs!$B$27)</f>
        <v>0.31152177123553</v>
      </c>
      <c r="IR20" s="15" t="n">
        <f aca="false">Inputs!$B$52/(1-IQ20-G20)</f>
        <v>194482.098736867</v>
      </c>
      <c r="IS20" s="15" t="n">
        <f aca="false">IR20/Inputs!$B$34</f>
        <v>324.136831228112</v>
      </c>
      <c r="IT20" s="15" t="n">
        <f aca="false">B20^2/IS20</f>
        <v>11.106420663027</v>
      </c>
      <c r="IU20" s="15" t="n">
        <f aca="false">Inputs!$B$54*H20/(Inputs!$B$35*F20+E20*H20^2/(PI()*IT20*Inputs!$B$36))</f>
        <v>19.3290735546966</v>
      </c>
      <c r="IV20" s="15" t="n">
        <f aca="false">EXP(-Inputs!$B$11*Inputs!$B$14*Inputs!$B$17/(Inputs!$B$51*IU20*Inputs!$B$16))</f>
        <v>0.753587153883832</v>
      </c>
      <c r="IW20" s="15" t="n">
        <f aca="false">Inputs!$B$50*Inputs!$B$18*IV20*Inputs!$B$19</f>
        <v>0.736348267019204</v>
      </c>
      <c r="IX20" s="15" t="n">
        <f aca="false">1-IW20</f>
        <v>0.263651732980796</v>
      </c>
      <c r="IY20" s="15" t="n">
        <f aca="false">Inputs!$B$20*IX20</f>
        <v>0.00790955198942389</v>
      </c>
      <c r="IZ20" s="15" t="n">
        <f aca="false">0.8*(1-Inputs!$B$50)*(IW20-IY20)</f>
        <v>0.00175452331653045</v>
      </c>
      <c r="JA20" s="15" t="n">
        <f aca="false">IW20-IY20-IZ20</f>
        <v>0.726684191713249</v>
      </c>
      <c r="JB20" s="15" t="n">
        <f aca="false">JA20*(1-Inputs!$B$18*EXP(-Inputs!$B$21*Inputs!$B$14*Inputs!$B$17/(Inputs!$B$22*Inputs!$B$23*Inputs!$B$24*IU20*Inputs!$B$16))*Inputs!$B$19)</f>
        <v>0.0262839799381777</v>
      </c>
      <c r="JC20" s="15" t="n">
        <f aca="false">(JA20-JB20)*(1-EXP(-Inputs!$B$25*Inputs!$B$14*Inputs!$B$17*Inputs!$B$26/(IU20*Inputs!$B$16/0.866)))</f>
        <v>0.00752584063259415</v>
      </c>
      <c r="JD20" s="15" t="n">
        <f aca="false">(JA20-JB20-JC20)*(1-Inputs!$B$19)</f>
        <v>0.00346437185571239</v>
      </c>
      <c r="JE20" s="15" t="n">
        <f aca="false">(IX20+IY20+IZ20+JB20+JC20+JD20)*(1+Inputs!$B$27)</f>
        <v>0.311521770715375</v>
      </c>
      <c r="JF20" s="15" t="n">
        <f aca="false">Inputs!$B$52/(1-JE20-G20)</f>
        <v>194482.098133834</v>
      </c>
      <c r="JG20" s="15" t="n">
        <f aca="false">JF20/Inputs!$B$34</f>
        <v>324.136830223056</v>
      </c>
      <c r="JH20" s="15" t="n">
        <f aca="false">B20^2/JG20</f>
        <v>11.1064206974649</v>
      </c>
      <c r="JI20" s="15" t="n">
        <f aca="false">Inputs!$B$54*H20/(Inputs!$B$35*F20+E20*H20^2/(PI()*JH20*Inputs!$B$36))</f>
        <v>19.3290735719615</v>
      </c>
      <c r="JJ20" s="15" t="n">
        <f aca="false">EXP(-Inputs!$B$11*Inputs!$B$14*Inputs!$B$17/(Inputs!$B$51*JI20*Inputs!$B$16))</f>
        <v>0.753587154074263</v>
      </c>
      <c r="JK20" s="15" t="n">
        <f aca="false">Inputs!$B$50*Inputs!$B$18*JJ20*Inputs!$B$19</f>
        <v>0.736348267205279</v>
      </c>
      <c r="JL20" s="15" t="n">
        <f aca="false">1-JK20</f>
        <v>0.263651732794722</v>
      </c>
      <c r="JM20" s="15" t="n">
        <f aca="false">Inputs!$B$20*JL20</f>
        <v>0.00790955198384165</v>
      </c>
      <c r="JN20" s="15" t="n">
        <f aca="false">0.8*(1-Inputs!$B$50)*(JK20-JM20)</f>
        <v>0.00175452331699208</v>
      </c>
      <c r="JO20" s="15" t="n">
        <f aca="false">JK20-JM20-JN20</f>
        <v>0.726684191904445</v>
      </c>
      <c r="JP20" s="15" t="n">
        <f aca="false">JO20*(1-Inputs!$B$18*EXP(-Inputs!$B$21*Inputs!$B$14*Inputs!$B$17/(Inputs!$B$22*Inputs!$B$23*Inputs!$B$24*JI20*Inputs!$B$16))*Inputs!$B$19)</f>
        <v>0.0262839799346369</v>
      </c>
      <c r="JQ20" s="15" t="n">
        <f aca="false">(JO20-JP20)*(1-EXP(-Inputs!$B$25*Inputs!$B$14*Inputs!$B$17*Inputs!$B$26/(JI20*Inputs!$B$16/0.866)))</f>
        <v>0.00752584062800072</v>
      </c>
      <c r="JR20" s="15" t="n">
        <f aca="false">(JO20-JP20-JQ20)*(1-Inputs!$B$19)</f>
        <v>0.00346437185670904</v>
      </c>
      <c r="JS20" s="15" t="n">
        <f aca="false">(JL20+JM20+JN20+JP20+JQ20+JR20)*(1+Inputs!$B$27)</f>
        <v>0.311521770516447</v>
      </c>
      <c r="JT20" s="15" t="n">
        <f aca="false">Inputs!$B$52/(1-JS20-G20)</f>
        <v>194482.09790321</v>
      </c>
      <c r="JU20" s="15" t="n">
        <f aca="false">JT20/Inputs!$B$34</f>
        <v>324.136829838683</v>
      </c>
      <c r="JV20" s="15" t="n">
        <f aca="false">B20^2/JU20</f>
        <v>11.1064207106353</v>
      </c>
      <c r="JW20" s="15" t="n">
        <f aca="false">Inputs!$B$54*H20/(Inputs!$B$35*F20+E20*H20^2/(PI()*JV20*Inputs!$B$36))</f>
        <v>19.3290735785643</v>
      </c>
      <c r="JX20" s="15" t="n">
        <f aca="false">EXP(-Inputs!$B$11*Inputs!$B$14*Inputs!$B$17/(Inputs!$B$51*JW20*Inputs!$B$16))</f>
        <v>0.753587154147092</v>
      </c>
      <c r="JY20" s="15" t="n">
        <f aca="false">Inputs!$B$50*Inputs!$B$18*JX20*Inputs!$B$19</f>
        <v>0.736348267276441</v>
      </c>
      <c r="JZ20" s="15" t="n">
        <f aca="false">1-JY20</f>
        <v>0.263651732723559</v>
      </c>
      <c r="KA20" s="15" t="n">
        <f aca="false">Inputs!$B$20*JZ20</f>
        <v>0.00790955198170678</v>
      </c>
      <c r="KB20" s="15" t="n">
        <f aca="false">0.8*(1-Inputs!$B$50)*(JY20-KA20)</f>
        <v>0.00175452331716862</v>
      </c>
      <c r="KC20" s="15" t="n">
        <f aca="false">JY20-KA20-KB20</f>
        <v>0.726684191977565</v>
      </c>
      <c r="KD20" s="15" t="n">
        <f aca="false">KC20*(1-Inputs!$B$18*EXP(-Inputs!$B$21*Inputs!$B$14*Inputs!$B$17/(Inputs!$B$22*Inputs!$B$23*Inputs!$B$24*JW20*Inputs!$B$16))*Inputs!$B$19)</f>
        <v>0.0262839799332828</v>
      </c>
      <c r="KE20" s="15" t="n">
        <f aca="false">(KC20-KD20)*(1-EXP(-Inputs!$B$25*Inputs!$B$14*Inputs!$B$17*Inputs!$B$26/(JW20*Inputs!$B$16/0.866)))</f>
        <v>0.00752584062624397</v>
      </c>
      <c r="KF20" s="15" t="n">
        <f aca="false">(KC20-KD20-KE20)*(1-Inputs!$B$19)</f>
        <v>0.0034643718570902</v>
      </c>
      <c r="KG20" s="15" t="n">
        <f aca="false">(JZ20+KA20+KB20+KD20+KE20+KF20)*(1+Inputs!$B$27)</f>
        <v>0.311521770440369</v>
      </c>
      <c r="KH20" s="15" t="n">
        <f aca="false">Inputs!$B$52/(1-KG20-G20)</f>
        <v>194482.09781501</v>
      </c>
      <c r="KI20" s="15" t="n">
        <f aca="false">KH20/Inputs!$B$34</f>
        <v>324.136829691683</v>
      </c>
      <c r="KJ20" s="15" t="n">
        <f aca="false">B20^2/KI20</f>
        <v>11.1064207156721</v>
      </c>
      <c r="KK20" s="15" t="n">
        <f aca="false">Inputs!$B$54*H20/(Inputs!$B$35*F20+E20*H20^2/(PI()*KJ20*Inputs!$B$36))</f>
        <v>19.3290735810895</v>
      </c>
      <c r="KL20" s="15" t="n">
        <f aca="false">EXP(-Inputs!$B$11*Inputs!$B$14*Inputs!$B$17/(Inputs!$B$51*KK20*Inputs!$B$16))</f>
        <v>0.753587154174944</v>
      </c>
      <c r="KM20" s="15" t="n">
        <f aca="false">Inputs!$B$50*Inputs!$B$18*KL20*Inputs!$B$19</f>
        <v>0.736348267303656</v>
      </c>
      <c r="KN20" s="15" t="n">
        <f aca="false">1-KM20</f>
        <v>0.263651732696344</v>
      </c>
      <c r="KO20" s="15" t="n">
        <f aca="false">Inputs!$B$20*KN20</f>
        <v>0.00790955198089032</v>
      </c>
      <c r="KP20" s="15" t="n">
        <f aca="false">0.8*(1-Inputs!$B$50)*(KM20-KO20)</f>
        <v>0.00175452331723614</v>
      </c>
      <c r="KQ20" s="15" t="n">
        <f aca="false">KM20-KO20-KP20</f>
        <v>0.72668419200553</v>
      </c>
      <c r="KR20" s="15" t="n">
        <f aca="false">KQ20*(1-Inputs!$B$18*EXP(-Inputs!$B$21*Inputs!$B$14*Inputs!$B$17/(Inputs!$B$22*Inputs!$B$23*Inputs!$B$24*KK20*Inputs!$B$16))*Inputs!$B$19)</f>
        <v>0.0262839799327649</v>
      </c>
      <c r="KS20" s="15" t="n">
        <f aca="false">(KQ20-KR20)*(1-EXP(-Inputs!$B$25*Inputs!$B$14*Inputs!$B$17*Inputs!$B$26/(KK20*Inputs!$B$16/0.866)))</f>
        <v>0.0075258406255721</v>
      </c>
      <c r="KT20" s="15" t="n">
        <f aca="false">(KQ20-KR20-KS20)*(1-Inputs!$B$19)</f>
        <v>0.00346437185723597</v>
      </c>
      <c r="KU20" s="15" t="n">
        <f aca="false">(KN20+KO20+KP20+KR20+KS20+KT20)*(1+Inputs!$B$27)</f>
        <v>0.311521770411274</v>
      </c>
      <c r="KV20" s="15" t="n">
        <f aca="false">Inputs!$B$52/(1-KU20-G20)</f>
        <v>194482.097781279</v>
      </c>
      <c r="KW20" s="15" t="n">
        <f aca="false">KV20/Inputs!$B$34</f>
        <v>324.136829635465</v>
      </c>
      <c r="KX20" s="15" t="n">
        <f aca="false">B20^2/KW20</f>
        <v>11.1064207175984</v>
      </c>
      <c r="KY20" s="15" t="n">
        <f aca="false">Inputs!$B$54*H20/(Inputs!$B$35*F20+E20*H20^2/(PI()*KX20*Inputs!$B$36))</f>
        <v>19.3290735820552</v>
      </c>
      <c r="KZ20" s="15" t="n">
        <f aca="false">EXP(-Inputs!$B$11*Inputs!$B$14*Inputs!$B$17/(Inputs!$B$51*KY20*Inputs!$B$16))</f>
        <v>0.753587154185596</v>
      </c>
      <c r="LA20" s="15" t="n">
        <f aca="false">Inputs!$B$50*Inputs!$B$18*KZ20*Inputs!$B$19</f>
        <v>0.736348267314064</v>
      </c>
      <c r="LB20" s="15" t="n">
        <f aca="false">1-LA20</f>
        <v>0.263651732685936</v>
      </c>
      <c r="LC20" s="15" t="n">
        <f aca="false">Inputs!$B$20*LB20</f>
        <v>0.00790955198057808</v>
      </c>
      <c r="LD20" s="15" t="n">
        <f aca="false">0.8*(1-Inputs!$B$50)*(LA20-LC20)</f>
        <v>0.00175452331726196</v>
      </c>
      <c r="LE20" s="15" t="n">
        <f aca="false">LA20-LC20-LD20</f>
        <v>0.726684192016224</v>
      </c>
      <c r="LF20" s="15" t="n">
        <f aca="false">LE20*(1-Inputs!$B$18*EXP(-Inputs!$B$21*Inputs!$B$14*Inputs!$B$17/(Inputs!$B$22*Inputs!$B$23*Inputs!$B$24*KY20*Inputs!$B$16))*Inputs!$B$19)</f>
        <v>0.0262839799325669</v>
      </c>
      <c r="LG20" s="15" t="n">
        <f aca="false">(LE20-LF20)*(1-EXP(-Inputs!$B$25*Inputs!$B$14*Inputs!$B$17*Inputs!$B$26/(KY20*Inputs!$B$16/0.866)))</f>
        <v>0.0075258406253152</v>
      </c>
      <c r="LH20" s="15" t="n">
        <f aca="false">(LE20-LF20-LG20)*(1-Inputs!$B$19)</f>
        <v>0.00346437185729171</v>
      </c>
      <c r="LI20" s="15" t="n">
        <f aca="false">(LB20+LC20+LD20+LF20+LG20+LH20)*(1+Inputs!$B$27)</f>
        <v>0.311521770400147</v>
      </c>
      <c r="LJ20" s="15" t="n">
        <f aca="false">Inputs!$B$52/(1-LI20-G20)</f>
        <v>194482.097768379</v>
      </c>
      <c r="LK20" s="15" t="n">
        <f aca="false">LJ20/Inputs!$B$34</f>
        <v>324.136829613965</v>
      </c>
      <c r="LL20" s="15" t="n">
        <f aca="false">B20^2/LK20</f>
        <v>11.1064207183351</v>
      </c>
      <c r="LM20" s="15" t="n">
        <f aca="false">Inputs!$B$54*H20/(Inputs!$B$35*F20+E20*H20^2/(PI()*LL20*Inputs!$B$36))</f>
        <v>19.3290735824246</v>
      </c>
      <c r="LN20" s="15" t="n">
        <f aca="false">EXP(-Inputs!$B$11*Inputs!$B$14*Inputs!$B$17/(Inputs!$B$51*LM20*Inputs!$B$16))</f>
        <v>0.75358715418967</v>
      </c>
      <c r="LO20" s="15" t="n">
        <f aca="false">Inputs!$B$50*Inputs!$B$18*LN20*Inputs!$B$19</f>
        <v>0.736348267318045</v>
      </c>
      <c r="LP20" s="15" t="n">
        <f aca="false">1-LO20</f>
        <v>0.263651732681955</v>
      </c>
      <c r="LQ20" s="15" t="n">
        <f aca="false">Inputs!$B$20*LP20</f>
        <v>0.00790955198045866</v>
      </c>
      <c r="LR20" s="15" t="n">
        <f aca="false">0.8*(1-Inputs!$B$50)*(LO20-LQ20)</f>
        <v>0.00175452331727183</v>
      </c>
      <c r="LS20" s="15" t="n">
        <f aca="false">LO20-LQ20-LR20</f>
        <v>0.726684192020314</v>
      </c>
      <c r="LT20" s="15" t="n">
        <f aca="false">LS20*(1-Inputs!$B$18*EXP(-Inputs!$B$21*Inputs!$B$14*Inputs!$B$17/(Inputs!$B$22*Inputs!$B$23*Inputs!$B$24*LM20*Inputs!$B$16))*Inputs!$B$19)</f>
        <v>0.0262839799324911</v>
      </c>
      <c r="LU20" s="15" t="n">
        <f aca="false">(LS20-LT20)*(1-EXP(-Inputs!$B$25*Inputs!$B$14*Inputs!$B$17*Inputs!$B$26/(LM20*Inputs!$B$16/0.866)))</f>
        <v>0.00752584062521688</v>
      </c>
      <c r="LV20" s="15" t="n">
        <f aca="false">(LS20-LT20-LU20)*(1-Inputs!$B$19)</f>
        <v>0.00346437185731303</v>
      </c>
      <c r="LW20" s="15" t="n">
        <f aca="false">(LP20+LQ20+LR20+LT20+LU20+LV20)*(1+Inputs!$B$27)</f>
        <v>0.311521770395891</v>
      </c>
      <c r="LX20" s="15" t="n">
        <f aca="false">Inputs!$B$52/(1-LW20-G20)</f>
        <v>194482.097763445</v>
      </c>
      <c r="LY20" s="15" t="n">
        <f aca="false">LX20/Inputs!$B$34</f>
        <v>324.136829605742</v>
      </c>
      <c r="LZ20" s="15" t="n">
        <f aca="false">B20^2/LY20</f>
        <v>11.1064207186169</v>
      </c>
      <c r="MA20" s="15" t="n">
        <f aca="false">Inputs!$B$54*H20/(Inputs!$B$35*F20+E20*H20^2/(PI()*LZ20*Inputs!$B$36))</f>
        <v>19.3290735825658</v>
      </c>
      <c r="MB20" s="15" t="n">
        <f aca="false">EXP(-Inputs!$B$11*Inputs!$B$14*Inputs!$B$17/(Inputs!$B$51*MA20*Inputs!$B$16))</f>
        <v>0.753587154191228</v>
      </c>
      <c r="MC20" s="15" t="n">
        <f aca="false">Inputs!$B$50*Inputs!$B$18*MB20*Inputs!$B$19</f>
        <v>0.736348267319567</v>
      </c>
      <c r="MD20" s="15" t="n">
        <f aca="false">1-MC20</f>
        <v>0.263651732680433</v>
      </c>
      <c r="ME20" s="15" t="n">
        <f aca="false">Inputs!$B$20*MD20</f>
        <v>0.00790955198041299</v>
      </c>
      <c r="MF20" s="15" t="n">
        <f aca="false">0.8*(1-Inputs!$B$50)*(MC20-ME20)</f>
        <v>0.00175452331727561</v>
      </c>
      <c r="MG20" s="15" t="n">
        <f aca="false">MC20-ME20-MF20</f>
        <v>0.726684192021878</v>
      </c>
      <c r="MH20" s="15" t="n">
        <f aca="false">MG20*(1-Inputs!$B$18*EXP(-Inputs!$B$21*Inputs!$B$14*Inputs!$B$17/(Inputs!$B$22*Inputs!$B$23*Inputs!$B$24*MA20*Inputs!$B$16))*Inputs!$B$19)</f>
        <v>0.0262839799324621</v>
      </c>
      <c r="MI20" s="15" t="n">
        <f aca="false">(MG20-MH20)*(1-EXP(-Inputs!$B$25*Inputs!$B$14*Inputs!$B$17*Inputs!$B$26/(MA20*Inputs!$B$16/0.866)))</f>
        <v>0.00752584062517933</v>
      </c>
      <c r="MJ20" s="15" t="n">
        <f aca="false">(MG20-MH20-MI20)*(1-Inputs!$B$19)</f>
        <v>0.00346437185732119</v>
      </c>
      <c r="MK20" s="15" t="n">
        <f aca="false">(MD20+ME20+MF20+MH20+MI20+MJ20)*(1+Inputs!$B$27)</f>
        <v>0.311521770394263</v>
      </c>
      <c r="ML20" s="15" t="n">
        <f aca="false">Inputs!$B$52/(1-MK20-G20)</f>
        <v>194482.097761558</v>
      </c>
      <c r="MM20" s="15" t="n">
        <f aca="false">ML20/Inputs!$B$34</f>
        <v>324.136829602597</v>
      </c>
      <c r="MN20" s="15" t="n">
        <f aca="false">B20^2/MM20</f>
        <v>11.1064207187246</v>
      </c>
      <c r="MO20" s="15" t="n">
        <f aca="false">Inputs!$B$54*H20/(Inputs!$B$35*F20+E20*H20^2/(PI()*MN20*Inputs!$B$36))</f>
        <v>19.3290735826198</v>
      </c>
      <c r="MP20" s="15" t="n">
        <f aca="false">EXP(-Inputs!$B$11*Inputs!$B$14*Inputs!$B$17/(Inputs!$B$51*MO20*Inputs!$B$16))</f>
        <v>0.753587154191823</v>
      </c>
      <c r="MQ20" s="15" t="n">
        <f aca="false">Inputs!$B$50*Inputs!$B$18*MP20*Inputs!$B$19</f>
        <v>0.736348267320149</v>
      </c>
      <c r="MR20" s="15" t="n">
        <f aca="false">1-MQ20</f>
        <v>0.263651732679851</v>
      </c>
      <c r="MS20" s="15" t="n">
        <f aca="false">Inputs!$B$20*MR20</f>
        <v>0.00790955198039553</v>
      </c>
      <c r="MT20" s="15" t="n">
        <f aca="false">0.8*(1-Inputs!$B$50)*(MQ20-MS20)</f>
        <v>0.00175452331727705</v>
      </c>
      <c r="MU20" s="15" t="n">
        <f aca="false">MQ20-MS20-MT20</f>
        <v>0.726684192022477</v>
      </c>
      <c r="MV20" s="15" t="n">
        <f aca="false">MU20*(1-Inputs!$B$18*EXP(-Inputs!$B$21*Inputs!$B$14*Inputs!$B$17/(Inputs!$B$22*Inputs!$B$23*Inputs!$B$24*MO20*Inputs!$B$16))*Inputs!$B$19)</f>
        <v>0.026283979932451</v>
      </c>
      <c r="MW20" s="15" t="n">
        <f aca="false">(MU20-MV20)*(1-EXP(-Inputs!$B$25*Inputs!$B$14*Inputs!$B$17*Inputs!$B$26/(MO20*Inputs!$B$16/0.866)))</f>
        <v>0.00752584062516496</v>
      </c>
      <c r="MX20" s="15" t="n">
        <f aca="false">(MU20-MV20-MW20)*(1-Inputs!$B$19)</f>
        <v>0.00346437185732431</v>
      </c>
      <c r="MY20" s="15" t="n">
        <f aca="false">(MR20+MS20+MT20+MV20+MW20+MX20)*(1+Inputs!$B$27)</f>
        <v>0.311521770393641</v>
      </c>
      <c r="MZ20" s="15" t="n">
        <f aca="false">Inputs!$B$52/(1-MY20-G20)</f>
        <v>194482.097760837</v>
      </c>
      <c r="NA20" s="15" t="n">
        <f aca="false">MZ20/Inputs!$B$34</f>
        <v>324.136829601395</v>
      </c>
      <c r="NB20" s="15" t="n">
        <f aca="false">B20^2/NA20</f>
        <v>11.1064207187658</v>
      </c>
      <c r="NC20" s="15" t="n">
        <f aca="false">Inputs!$B$54*H20/(Inputs!$B$35*F20+E20*H20^2/(PI()*NB20*Inputs!$B$36))</f>
        <v>19.3290735826405</v>
      </c>
      <c r="ND20" s="15" t="n">
        <f aca="false">EXP(-Inputs!$B$11*Inputs!$B$14*Inputs!$B$17/(Inputs!$B$51*NC20*Inputs!$B$16))</f>
        <v>0.753587154192051</v>
      </c>
      <c r="NE20" s="15" t="n">
        <f aca="false">Inputs!$B$50*Inputs!$B$18*ND20*Inputs!$B$19</f>
        <v>0.736348267320372</v>
      </c>
      <c r="NF20" s="15" t="n">
        <f aca="false">1-NE20</f>
        <v>0.263651732679628</v>
      </c>
      <c r="NG20" s="15" t="n">
        <f aca="false">Inputs!$B$20*NF20</f>
        <v>0.00790955198038885</v>
      </c>
      <c r="NH20" s="15" t="n">
        <f aca="false">0.8*(1-Inputs!$B$50)*(NE20-NG20)</f>
        <v>0.00175452331727761</v>
      </c>
      <c r="NI20" s="15" t="n">
        <f aca="false">NE20-NG20-NH20</f>
        <v>0.726684192022705</v>
      </c>
      <c r="NJ20" s="15" t="n">
        <f aca="false">NI20*(1-Inputs!$B$18*EXP(-Inputs!$B$21*Inputs!$B$14*Inputs!$B$17/(Inputs!$B$22*Inputs!$B$23*Inputs!$B$24*NC20*Inputs!$B$16))*Inputs!$B$19)</f>
        <v>0.0262839799324468</v>
      </c>
      <c r="NK20" s="15" t="n">
        <f aca="false">(NI20-NJ20)*(1-EXP(-Inputs!$B$25*Inputs!$B$14*Inputs!$B$17*Inputs!$B$26/(NC20*Inputs!$B$16/0.866)))</f>
        <v>0.00752584062515946</v>
      </c>
      <c r="NL20" s="15" t="n">
        <f aca="false">(NI20-NJ20-NK20)*(1-Inputs!$B$19)</f>
        <v>0.0034643718573255</v>
      </c>
      <c r="NM20" s="15" t="n">
        <f aca="false">(NF20+NG20+NH20+NJ20+NK20+NL20)*(1+Inputs!$B$27)</f>
        <v>0.311521770393403</v>
      </c>
      <c r="NN20" s="15" t="n">
        <f aca="false">Inputs!$B$52/(1-NM20-G20)</f>
        <v>194482.097760561</v>
      </c>
    </row>
    <row r="21" customFormat="false" ht="15" hidden="false" customHeight="false" outlineLevel="0" collapsed="false">
      <c r="A21" s="21" t="s">
        <v>501</v>
      </c>
      <c r="B21" s="21" t="n">
        <v>60</v>
      </c>
      <c r="C21" s="22" t="n">
        <v>0.15</v>
      </c>
      <c r="D21" s="23" t="n">
        <f aca="false">B21*C21</f>
        <v>9</v>
      </c>
      <c r="E21" s="24" t="n">
        <f aca="false">IF(C21=0,1,(1+0.45*C21)/(1.04+2.81*C21))</f>
        <v>0.73041395826206</v>
      </c>
      <c r="F21" s="24" t="n">
        <f aca="false">1+Inputs!$B$42*D21</f>
        <v>1.045</v>
      </c>
      <c r="G21" s="25" t="n">
        <f aca="false">Inputs!$B$31+Inputs!$B$43*(B21/Inputs!$B$32-1)+Inputs!$B$44+Inputs!$B$45*D21</f>
        <v>0.522525</v>
      </c>
      <c r="H21" s="22" t="n">
        <f aca="false">Inputs!$B$38</f>
        <v>0.5</v>
      </c>
      <c r="I21" s="23" t="n">
        <f aca="false">Inputs!$B$40</f>
        <v>2.4</v>
      </c>
      <c r="J21" s="26" t="n">
        <f aca="false">NN21/Inputs!$B$34</f>
        <v>321.726052681465</v>
      </c>
      <c r="K21" s="23" t="n">
        <f aca="false">B21^2/J21</f>
        <v>11.1896440154453</v>
      </c>
      <c r="L21" s="23" t="n">
        <f aca="false">2*K21</f>
        <v>22.3792880308907</v>
      </c>
      <c r="M21" s="22" t="n">
        <f aca="false">NC21</f>
        <v>19.5975036724875</v>
      </c>
      <c r="N21" s="23" t="n">
        <f aca="false">B21/SQRT(E21)</f>
        <v>70.2047857613276</v>
      </c>
      <c r="O21" s="24" t="n">
        <f aca="false">NM21</f>
        <v>0.308464751850044</v>
      </c>
      <c r="P21" s="23" t="n">
        <f aca="false">NN21/1000</f>
        <v>193.035631608879</v>
      </c>
      <c r="Q21" s="23" t="n">
        <f aca="false">G21*NN21/1000</f>
        <v>100.865943406429</v>
      </c>
      <c r="R21" s="23" t="n">
        <f aca="false">NM21*NN21/1000</f>
        <v>59.5446882024494</v>
      </c>
      <c r="S21" s="23" t="n">
        <f aca="false">NM21*NN21/Inputs!$B$28/1000</f>
        <v>79.3929176032659</v>
      </c>
      <c r="T21" s="27" t="n">
        <f aca="false">R21/Sweep!$R$5-1</f>
        <v>-0.0472334864549818</v>
      </c>
      <c r="U21" s="27" t="n">
        <f aca="false">R21/SUMIFS(Sweep!$R:$R,Sweep!$A:$A,"Conventional",Sweep!$B:$B,B21)-1</f>
        <v>-0.119150228550116</v>
      </c>
      <c r="V21" s="26" t="n">
        <f aca="false">2*0.54*(J21/2)^1.5/SQRT(L21)*Inputs!$B$46*Inputs!$B$47</f>
        <v>43.5508449888091</v>
      </c>
      <c r="W21" s="28" t="n">
        <f aca="false">MIN(1,V21/S21)</f>
        <v>0.548548237091335</v>
      </c>
      <c r="X21" s="26" t="n">
        <f aca="false">1.23*SQRT(2*Inputs!$B$41*NN21*Inputs!$B$49/(1.225*J21*I21))/0.5144</f>
        <v>133.62967568068</v>
      </c>
      <c r="Y21" s="29" t="n">
        <f aca="false">(11000+6341.6*LN(0.36392/(2*Inputs!$B$50*Inputs!$B$18*(1+ND21)/2*Inputs!$B$34*Inputs!$B$49/((Inputs!$B$12*295.07)^2*H21))))/0.3048</f>
        <v>38583.5470182288</v>
      </c>
      <c r="Z21" s="26" t="n">
        <f aca="false">NN21-MZ21</f>
        <v>-5.98374754190445E-008</v>
      </c>
      <c r="AA21" s="30" t="str">
        <f aca="false">IF(ABS(NN21-MZ21)&lt;10,"Yes","No")</f>
        <v>Yes</v>
      </c>
      <c r="AC21" s="15" t="n">
        <f aca="false">Inputs!$B$52/(1-0.3154-G21)/Inputs!$B$34</f>
        <v>335.492827394725</v>
      </c>
      <c r="AD21" s="15" t="n">
        <f aca="false">B21^2/AC21</f>
        <v>10.7304827586207</v>
      </c>
      <c r="AE21" s="15" t="n">
        <f aca="false">Inputs!$B$54*H21/(Inputs!$B$35*F21+E21*H21^2/(PI()*AD21*Inputs!$B$36))</f>
        <v>19.3755835420632</v>
      </c>
      <c r="AF21" s="15" t="n">
        <f aca="false">EXP(-Inputs!$B$11*Inputs!$B$14*Inputs!$B$17/(Inputs!$B$51*AE21*Inputs!$B$16))</f>
        <v>0.754099096891349</v>
      </c>
      <c r="AG21" s="15" t="n">
        <f aca="false">Inputs!$B$50*Inputs!$B$18*AF21*Inputs!$B$19</f>
        <v>0.736848498935917</v>
      </c>
      <c r="AH21" s="15" t="n">
        <f aca="false">1-AG21</f>
        <v>0.263151501064083</v>
      </c>
      <c r="AI21" s="15" t="n">
        <f aca="false">Inputs!$B$20*AH21</f>
        <v>0.0078945450319225</v>
      </c>
      <c r="AJ21" s="15" t="n">
        <f aca="false">0.8*(1-Inputs!$B$50)*(AG21-AI21)</f>
        <v>0.00175576432500479</v>
      </c>
      <c r="AK21" s="15" t="n">
        <f aca="false">AG21-AI21-AJ21</f>
        <v>0.727198189578989</v>
      </c>
      <c r="AL21" s="15" t="n">
        <f aca="false">AK21*(1-Inputs!$B$18*EXP(-Inputs!$B$21*Inputs!$B$14*Inputs!$B$17/(Inputs!$B$22*Inputs!$B$23*Inputs!$B$24*AE21*Inputs!$B$16))*Inputs!$B$19)</f>
        <v>0.0262744500719754</v>
      </c>
      <c r="AM21" s="15" t="n">
        <f aca="false">(AK21-AL21)*(1-EXP(-Inputs!$B$25*Inputs!$B$14*Inputs!$B$17*Inputs!$B$26/(AE21*Inputs!$B$16/0.866)))</f>
        <v>0.0075134843579127</v>
      </c>
      <c r="AN21" s="15" t="n">
        <f aca="false">(AK21-AL21-AM21)*(1-Inputs!$B$19)</f>
        <v>0.00346705127574551</v>
      </c>
      <c r="AO21" s="15" t="n">
        <f aca="false">(AH21+AI21+AJ21+AL21+AM21+AN21)*(1+Inputs!$B$27)</f>
        <v>0.310986966515024</v>
      </c>
      <c r="AP21" s="15" t="n">
        <f aca="false">Inputs!$B$52/(1-AO21-G21)</f>
        <v>195960.029781625</v>
      </c>
      <c r="AQ21" s="15" t="n">
        <f aca="false">AP21/Inputs!$B$34</f>
        <v>326.600049636041</v>
      </c>
      <c r="AR21" s="15" t="n">
        <f aca="false">B21^2/AQ21</f>
        <v>11.0226560100398</v>
      </c>
      <c r="AS21" s="15" t="n">
        <f aca="false">Inputs!$B$54*H21/(Inputs!$B$35*F21+E21*H21^2/(PI()*AR21*Inputs!$B$36))</f>
        <v>19.5183559922402</v>
      </c>
      <c r="AT21" s="15" t="n">
        <f aca="false">EXP(-Inputs!$B$11*Inputs!$B$14*Inputs!$B$17/(Inputs!$B$51*AS21*Inputs!$B$16))</f>
        <v>0.755657513034828</v>
      </c>
      <c r="AU21" s="15" t="n">
        <f aca="false">Inputs!$B$50*Inputs!$B$18*AT21*Inputs!$B$19</f>
        <v>0.738371265109188</v>
      </c>
      <c r="AV21" s="15" t="n">
        <f aca="false">1-AU21</f>
        <v>0.261628734890813</v>
      </c>
      <c r="AW21" s="15" t="n">
        <f aca="false">Inputs!$B$20*AV21</f>
        <v>0.00784886204672437</v>
      </c>
      <c r="AX21" s="15" t="n">
        <f aca="false">0.8*(1-Inputs!$B$50)*(AU21-AW21)</f>
        <v>0.00175954210419547</v>
      </c>
      <c r="AY21" s="15" t="n">
        <f aca="false">AU21-AW21-AX21</f>
        <v>0.728762860958268</v>
      </c>
      <c r="AZ21" s="15" t="n">
        <f aca="false">AY21*(1-Inputs!$B$18*EXP(-Inputs!$B$21*Inputs!$B$14*Inputs!$B$17/(Inputs!$B$22*Inputs!$B$23*Inputs!$B$24*AS21*Inputs!$B$16))*Inputs!$B$19)</f>
        <v>0.0262453059890221</v>
      </c>
      <c r="BA21" s="15" t="n">
        <f aca="false">(AY21-AZ21)*(1-EXP(-Inputs!$B$25*Inputs!$B$14*Inputs!$B$17*Inputs!$B$26/(AS21*Inputs!$B$16/0.866)))</f>
        <v>0.00747577880128926</v>
      </c>
      <c r="BB21" s="15" t="n">
        <f aca="false">(AY21-AZ21-BA21)*(1-Inputs!$B$19)</f>
        <v>0.00347520888083978</v>
      </c>
      <c r="BC21" s="15" t="n">
        <f aca="false">(AV21+AW21+AX21+AZ21+BA21+BB21)*(1+Inputs!$B$27)</f>
        <v>0.309358733011022</v>
      </c>
      <c r="BD21" s="15" t="n">
        <f aca="false">Inputs!$B$52/(1-BC21-G21)</f>
        <v>194062.12488729</v>
      </c>
      <c r="BE21" s="15" t="n">
        <f aca="false">BD21/Inputs!$B$34</f>
        <v>323.43687481215</v>
      </c>
      <c r="BF21" s="15" t="n">
        <f aca="false">B21^2/BE21</f>
        <v>11.1304562972013</v>
      </c>
      <c r="BG21" s="15" t="n">
        <f aca="false">Inputs!$B$54*H21/(Inputs!$B$35*F21+E21*H21^2/(PI()*BF21*Inputs!$B$36))</f>
        <v>19.5696490293562</v>
      </c>
      <c r="BH21" s="15" t="n">
        <f aca="false">EXP(-Inputs!$B$11*Inputs!$B$14*Inputs!$B$17/(Inputs!$B$51*BG21*Inputs!$B$16))</f>
        <v>0.756212620256856</v>
      </c>
      <c r="BI21" s="15" t="n">
        <f aca="false">Inputs!$B$50*Inputs!$B$18*BH21*Inputs!$B$19</f>
        <v>0.738913673825742</v>
      </c>
      <c r="BJ21" s="15" t="n">
        <f aca="false">1-BI21</f>
        <v>0.261086326174258</v>
      </c>
      <c r="BK21" s="15" t="n">
        <f aca="false">Inputs!$B$20*BJ21</f>
        <v>0.00783258978522775</v>
      </c>
      <c r="BL21" s="15" t="n">
        <f aca="false">0.8*(1-Inputs!$B$50)*(BI21-BK21)</f>
        <v>0.00176088774766866</v>
      </c>
      <c r="BM21" s="15" t="n">
        <f aca="false">BI21-BK21-BL21</f>
        <v>0.729320196292845</v>
      </c>
      <c r="BN21" s="15" t="n">
        <f aca="false">BM21*(1-Inputs!$B$18*EXP(-Inputs!$B$21*Inputs!$B$14*Inputs!$B$17/(Inputs!$B$22*Inputs!$B$23*Inputs!$B$24*BG21*Inputs!$B$16))*Inputs!$B$19)</f>
        <v>0.0262348761988564</v>
      </c>
      <c r="BO21" s="15" t="n">
        <f aca="false">(BM21-BN21)*(1-EXP(-Inputs!$B$25*Inputs!$B$14*Inputs!$B$17*Inputs!$B$26/(BG21*Inputs!$B$16/0.866)))</f>
        <v>0.00746231483361923</v>
      </c>
      <c r="BP21" s="15" t="n">
        <f aca="false">(BM21-BN21-BO21)*(1-Inputs!$B$19)</f>
        <v>0.00347811502630185</v>
      </c>
      <c r="BQ21" s="15" t="n">
        <f aca="false">(BJ21+BK21+BL21+BN21+BO21+BP21)*(1+Inputs!$B$27)</f>
        <v>0.30877867509523</v>
      </c>
      <c r="BR21" s="15" t="n">
        <f aca="false">Inputs!$B$52/(1-BQ21-G21)</f>
        <v>193394.847329466</v>
      </c>
      <c r="BS21" s="15" t="n">
        <f aca="false">BR21/Inputs!$B$34</f>
        <v>322.32474554911</v>
      </c>
      <c r="BT21" s="15" t="n">
        <f aca="false">B21^2/BS21</f>
        <v>11.1688601316262</v>
      </c>
      <c r="BU21" s="15" t="n">
        <f aca="false">Inputs!$B$54*H21/(Inputs!$B$35*F21+E21*H21^2/(PI()*BT21*Inputs!$B$36))</f>
        <v>19.5877470775637</v>
      </c>
      <c r="BV21" s="15" t="n">
        <f aca="false">EXP(-Inputs!$B$11*Inputs!$B$14*Inputs!$B$17/(Inputs!$B$51*BU21*Inputs!$B$16))</f>
        <v>0.756407885282803</v>
      </c>
      <c r="BW21" s="15" t="n">
        <f aca="false">Inputs!$B$50*Inputs!$B$18*BV21*Inputs!$B$19</f>
        <v>0.739104472013747</v>
      </c>
      <c r="BX21" s="15" t="n">
        <f aca="false">1-BW21</f>
        <v>0.260895527986253</v>
      </c>
      <c r="BY21" s="15" t="n">
        <f aca="false">Inputs!$B$20*BX21</f>
        <v>0.00782686583958758</v>
      </c>
      <c r="BZ21" s="15" t="n">
        <f aca="false">0.8*(1-Inputs!$B$50)*(BW21-BY21)</f>
        <v>0.00176136109245193</v>
      </c>
      <c r="CA21" s="15" t="n">
        <f aca="false">BW21-BY21-BZ21</f>
        <v>0.729516245081708</v>
      </c>
      <c r="CB21" s="15" t="n">
        <f aca="false">CA21*(1-Inputs!$B$18*EXP(-Inputs!$B$21*Inputs!$B$14*Inputs!$B$17/(Inputs!$B$22*Inputs!$B$23*Inputs!$B$24*BU21*Inputs!$B$16))*Inputs!$B$19)</f>
        <v>0.0262312013329289</v>
      </c>
      <c r="CC21" s="15" t="n">
        <f aca="false">(CA21-CB21)*(1-EXP(-Inputs!$B$25*Inputs!$B$14*Inputs!$B$17*Inputs!$B$26/(BU21*Inputs!$B$16/0.866)))</f>
        <v>0.00745757458556157</v>
      </c>
      <c r="CD21" s="15" t="n">
        <f aca="false">(CA21-CB21-CC21)*(1-Inputs!$B$19)</f>
        <v>0.00347913734581609</v>
      </c>
      <c r="CE21" s="15" t="n">
        <f aca="false">(BX21+BY21+BZ21+CB21+CC21+CD21)*(1+Inputs!$B$27)</f>
        <v>0.308574623187147</v>
      </c>
      <c r="CF21" s="15" t="n">
        <f aca="false">Inputs!$B$52/(1-CE21-G21)</f>
        <v>193161.20316386</v>
      </c>
      <c r="CG21" s="15" t="n">
        <f aca="false">CF21/Inputs!$B$34</f>
        <v>321.935338606433</v>
      </c>
      <c r="CH21" s="15" t="n">
        <f aca="false">B21^2/CG21</f>
        <v>11.1823697751958</v>
      </c>
      <c r="CI21" s="15" t="n">
        <f aca="false">Inputs!$B$54*H21/(Inputs!$B$35*F21+E21*H21^2/(PI()*CH21*Inputs!$B$36))</f>
        <v>19.5940919408284</v>
      </c>
      <c r="CJ21" s="15" t="n">
        <f aca="false">EXP(-Inputs!$B$11*Inputs!$B$14*Inputs!$B$17/(Inputs!$B$51*CI21*Inputs!$B$16))</f>
        <v>0.756476268350245</v>
      </c>
      <c r="CK21" s="15" t="n">
        <f aca="false">Inputs!$B$50*Inputs!$B$18*CJ21*Inputs!$B$19</f>
        <v>0.739171290765825</v>
      </c>
      <c r="CL21" s="15" t="n">
        <f aca="false">1-CK21</f>
        <v>0.260828709234175</v>
      </c>
      <c r="CM21" s="15" t="n">
        <f aca="false">Inputs!$B$20*CL21</f>
        <v>0.00782486127702524</v>
      </c>
      <c r="CN21" s="15" t="n">
        <f aca="false">0.8*(1-Inputs!$B$50)*(CK21-CM21)</f>
        <v>0.00176152686083816</v>
      </c>
      <c r="CO21" s="15" t="n">
        <f aca="false">CK21-CM21-CN21</f>
        <v>0.729584902627962</v>
      </c>
      <c r="CP21" s="15" t="n">
        <f aca="false">CO21*(1-Inputs!$B$18*EXP(-Inputs!$B$21*Inputs!$B$14*Inputs!$B$17/(Inputs!$B$22*Inputs!$B$23*Inputs!$B$24*CI21*Inputs!$B$16))*Inputs!$B$19)</f>
        <v>0.0262299136242073</v>
      </c>
      <c r="CQ21" s="15" t="n">
        <f aca="false">(CO21-CP21)*(1-EXP(-Inputs!$B$25*Inputs!$B$14*Inputs!$B$17*Inputs!$B$26/(CI21*Inputs!$B$16/0.866)))</f>
        <v>0.0074559140096787</v>
      </c>
      <c r="CR21" s="15" t="n">
        <f aca="false">(CO21-CP21-CQ21)*(1-Inputs!$B$19)</f>
        <v>0.00347949537497038</v>
      </c>
      <c r="CS21" s="15" t="n">
        <f aca="false">(CL21+CM21+CN21+CP21+CQ21+CR21)*(1+Inputs!$B$27)</f>
        <v>0.308503161642037</v>
      </c>
      <c r="CT21" s="15" t="n">
        <f aca="false">Inputs!$B$52/(1-CS21-G21)</f>
        <v>193079.511456132</v>
      </c>
      <c r="CU21" s="15" t="n">
        <f aca="false">CT21/Inputs!$B$34</f>
        <v>321.79918576022</v>
      </c>
      <c r="CV21" s="15" t="n">
        <f aca="false">B21^2/CU21</f>
        <v>11.1871010223203</v>
      </c>
      <c r="CW21" s="15" t="n">
        <f aca="false">Inputs!$B$54*H21/(Inputs!$B$35*F21+E21*H21^2/(PI()*CV21*Inputs!$B$36))</f>
        <v>19.5963113385947</v>
      </c>
      <c r="CX21" s="15" t="n">
        <f aca="false">EXP(-Inputs!$B$11*Inputs!$B$14*Inputs!$B$17/(Inputs!$B$51*CW21*Inputs!$B$16))</f>
        <v>0.756500179370424</v>
      </c>
      <c r="CY21" s="15" t="n">
        <f aca="false">Inputs!$B$50*Inputs!$B$18*CX21*Inputs!$B$19</f>
        <v>0.739194654802992</v>
      </c>
      <c r="CZ21" s="15" t="n">
        <f aca="false">1-CY21</f>
        <v>0.260805345197008</v>
      </c>
      <c r="DA21" s="15" t="n">
        <f aca="false">Inputs!$B$20*CZ21</f>
        <v>0.00782416035591025</v>
      </c>
      <c r="DB21" s="15" t="n">
        <f aca="false">0.8*(1-Inputs!$B$50)*(CY21-DA21)</f>
        <v>0.0017615848238892</v>
      </c>
      <c r="DC21" s="15" t="n">
        <f aca="false">CY21-DA21-DB21</f>
        <v>0.729608909623192</v>
      </c>
      <c r="DD21" s="15" t="n">
        <f aca="false">DC21*(1-Inputs!$B$18*EXP(-Inputs!$B$21*Inputs!$B$14*Inputs!$B$17/(Inputs!$B$22*Inputs!$B$23*Inputs!$B$24*CW21*Inputs!$B$16))*Inputs!$B$19)</f>
        <v>0.0262294632688383</v>
      </c>
      <c r="DE21" s="15" t="n">
        <f aca="false">(DC21-DD21)*(1-EXP(-Inputs!$B$25*Inputs!$B$14*Inputs!$B$17*Inputs!$B$26/(CW21*Inputs!$B$16/0.866)))</f>
        <v>0.00745533330545068</v>
      </c>
      <c r="DF21" s="15" t="n">
        <f aca="false">(DC21-DD21-DE21)*(1-Inputs!$B$19)</f>
        <v>0.00347962056524452</v>
      </c>
      <c r="DG21" s="15" t="n">
        <f aca="false">(CZ21+DA21+DB21+DD21+DE21+DF21)*(1+Inputs!$B$27)</f>
        <v>0.30847817403889</v>
      </c>
      <c r="DH21" s="15" t="n">
        <f aca="false">Inputs!$B$52/(1-DG21-G21)</f>
        <v>193050.963025234</v>
      </c>
      <c r="DI21" s="15" t="n">
        <f aca="false">DH21/Inputs!$B$34</f>
        <v>321.751605042056</v>
      </c>
      <c r="DJ21" s="15" t="n">
        <f aca="false">B21^2/DI21</f>
        <v>11.1887553739769</v>
      </c>
      <c r="DK21" s="15" t="n">
        <f aca="false">Inputs!$B$54*H21/(Inputs!$B$35*F21+E21*H21^2/(PI()*DJ21*Inputs!$B$36))</f>
        <v>19.5970870600318</v>
      </c>
      <c r="DL21" s="15" t="n">
        <f aca="false">EXP(-Inputs!$B$11*Inputs!$B$14*Inputs!$B$17/(Inputs!$B$51*DK21*Inputs!$B$16))</f>
        <v>0.7565085356245</v>
      </c>
      <c r="DM21" s="15" t="n">
        <f aca="false">Inputs!$B$50*Inputs!$B$18*DL21*Inputs!$B$19</f>
        <v>0.739202819901316</v>
      </c>
      <c r="DN21" s="15" t="n">
        <f aca="false">1-DM21</f>
        <v>0.260797180098684</v>
      </c>
      <c r="DO21" s="15" t="n">
        <f aca="false">Inputs!$B$20*DN21</f>
        <v>0.00782391540296052</v>
      </c>
      <c r="DP21" s="15" t="n">
        <f aca="false">0.8*(1-Inputs!$B$50)*(DM21-DO21)</f>
        <v>0.00176160508040598</v>
      </c>
      <c r="DQ21" s="15" t="n">
        <f aca="false">DM21-DO21-DP21</f>
        <v>0.729617299417949</v>
      </c>
      <c r="DR21" s="15" t="n">
        <f aca="false">DQ21*(1-Inputs!$B$18*EXP(-Inputs!$B$21*Inputs!$B$14*Inputs!$B$17/(Inputs!$B$22*Inputs!$B$23*Inputs!$B$24*DK21*Inputs!$B$16))*Inputs!$B$19)</f>
        <v>0.0262293058706613</v>
      </c>
      <c r="DS21" s="15" t="n">
        <f aca="false">(DQ21-DR21)*(1-EXP(-Inputs!$B$25*Inputs!$B$14*Inputs!$B$17*Inputs!$B$26/(DK21*Inputs!$B$16/0.866)))</f>
        <v>0.00745513035741339</v>
      </c>
      <c r="DT21" s="15" t="n">
        <f aca="false">(DQ21-DR21-DS21)*(1-Inputs!$B$19)</f>
        <v>0.00347966431594938</v>
      </c>
      <c r="DU21" s="15" t="n">
        <f aca="false">(DN21+DO21+DP21+DR21+DS21+DT21)*(1+Inputs!$B$27)</f>
        <v>0.308469441529453</v>
      </c>
      <c r="DV21" s="15" t="n">
        <f aca="false">Inputs!$B$52/(1-DU21-G21)</f>
        <v>193040.988090848</v>
      </c>
      <c r="DW21" s="15" t="n">
        <f aca="false">DV21/Inputs!$B$34</f>
        <v>321.734980151413</v>
      </c>
      <c r="DX21" s="15" t="n">
        <f aca="false">B21^2/DW21</f>
        <v>11.1893335263259</v>
      </c>
      <c r="DY21" s="15" t="n">
        <f aca="false">Inputs!$B$54*H21/(Inputs!$B$35*F21+E21*H21^2/(PI()*DX21*Inputs!$B$36))</f>
        <v>19.5973581146405</v>
      </c>
      <c r="DZ21" s="15" t="n">
        <f aca="false">EXP(-Inputs!$B$11*Inputs!$B$14*Inputs!$B$17/(Inputs!$B$51*DY21*Inputs!$B$16))</f>
        <v>0.756511455354401</v>
      </c>
      <c r="EA21" s="15" t="n">
        <f aca="false">Inputs!$B$50*Inputs!$B$18*DZ21*Inputs!$B$19</f>
        <v>0.739205672840145</v>
      </c>
      <c r="EB21" s="15" t="n">
        <f aca="false">1-EA21</f>
        <v>0.260794327159855</v>
      </c>
      <c r="EC21" s="15" t="n">
        <f aca="false">Inputs!$B$20*EB21</f>
        <v>0.00782382981479564</v>
      </c>
      <c r="ED21" s="15" t="n">
        <f aca="false">0.8*(1-Inputs!$B$50)*(EA21-EC21)</f>
        <v>0.0017616121581656</v>
      </c>
      <c r="EE21" s="15" t="n">
        <f aca="false">EA21-EC21-ED21</f>
        <v>0.729620230867184</v>
      </c>
      <c r="EF21" s="15" t="n">
        <f aca="false">EE21*(1-Inputs!$B$18*EXP(-Inputs!$B$21*Inputs!$B$14*Inputs!$B$17/(Inputs!$B$22*Inputs!$B$23*Inputs!$B$24*DY21*Inputs!$B$16))*Inputs!$B$19)</f>
        <v>0.0262292508733434</v>
      </c>
      <c r="EG21" s="15" t="n">
        <f aca="false">(EE21-EF21)*(1-EXP(-Inputs!$B$25*Inputs!$B$14*Inputs!$B$17*Inputs!$B$26/(DY21*Inputs!$B$16/0.866)))</f>
        <v>0.00745505944510791</v>
      </c>
      <c r="EH21" s="15" t="n">
        <f aca="false">(EE21-EF21-EG21)*(1-Inputs!$B$19)</f>
        <v>0.00347967960274367</v>
      </c>
      <c r="EI21" s="15" t="n">
        <f aca="false">(EB21+EC21+ED21+EF21+EG21+EH21)*(1+Inputs!$B$27)</f>
        <v>0.308466390331173</v>
      </c>
      <c r="EJ21" s="15" t="n">
        <f aca="false">Inputs!$B$52/(1-EI21-G21)</f>
        <v>193037.503023833</v>
      </c>
      <c r="EK21" s="15" t="n">
        <f aca="false">EJ21/Inputs!$B$34</f>
        <v>321.729171706388</v>
      </c>
      <c r="EL21" s="15" t="n">
        <f aca="false">B21^2/EK21</f>
        <v>11.1895355366948</v>
      </c>
      <c r="EM21" s="15" t="n">
        <f aca="false">Inputs!$B$54*H21/(Inputs!$B$35*F21+E21*H21^2/(PI()*EL21*Inputs!$B$36))</f>
        <v>19.5974528181313</v>
      </c>
      <c r="EN21" s="15" t="n">
        <f aca="false">EXP(-Inputs!$B$11*Inputs!$B$14*Inputs!$B$17/(Inputs!$B$51*EM21*Inputs!$B$16))</f>
        <v>0.756512475459443</v>
      </c>
      <c r="EO21" s="15" t="n">
        <f aca="false">Inputs!$B$50*Inputs!$B$18*EN21*Inputs!$B$19</f>
        <v>0.739206669609499</v>
      </c>
      <c r="EP21" s="15" t="n">
        <f aca="false">1-EO21</f>
        <v>0.260793330390501</v>
      </c>
      <c r="EQ21" s="15" t="n">
        <f aca="false">Inputs!$B$20*EP21</f>
        <v>0.00782379991171503</v>
      </c>
      <c r="ER21" s="15" t="n">
        <f aca="false">0.8*(1-Inputs!$B$50)*(EO21-EQ21)</f>
        <v>0.00176161463101704</v>
      </c>
      <c r="ES21" s="15" t="n">
        <f aca="false">EO21-EQ21-ER21</f>
        <v>0.729621255066767</v>
      </c>
      <c r="ET21" s="15" t="n">
        <f aca="false">ES21*(1-Inputs!$B$18*EXP(-Inputs!$B$21*Inputs!$B$14*Inputs!$B$17/(Inputs!$B$22*Inputs!$B$23*Inputs!$B$24*EM21*Inputs!$B$16))*Inputs!$B$19)</f>
        <v>0.0262292316580292</v>
      </c>
      <c r="EU21" s="15" t="n">
        <f aca="false">(ES21-ET21)*(1-EXP(-Inputs!$B$25*Inputs!$B$14*Inputs!$B$17*Inputs!$B$26/(EM21*Inputs!$B$16/0.866)))</f>
        <v>0.00745503466941454</v>
      </c>
      <c r="EV21" s="15" t="n">
        <f aca="false">(ES21-ET21-EU21)*(1-Inputs!$B$19)</f>
        <v>0.00347968494369662</v>
      </c>
      <c r="EW21" s="15" t="n">
        <f aca="false">(EP21+EQ21+ER21+ET21+EU21+EV21)*(1+Inputs!$B$27)</f>
        <v>0.308465324292987</v>
      </c>
      <c r="EX21" s="15" t="n">
        <f aca="false">Inputs!$B$52/(1-EW21-G21)</f>
        <v>193036.285428753</v>
      </c>
      <c r="EY21" s="15" t="n">
        <f aca="false">EX21/Inputs!$B$34</f>
        <v>321.727142381255</v>
      </c>
      <c r="EZ21" s="15" t="n">
        <f aca="false">B21^2/EY21</f>
        <v>11.1896061157747</v>
      </c>
      <c r="FA21" s="15" t="n">
        <f aca="false">Inputs!$B$54*H21/(Inputs!$B$35*F21+E21*H21^2/(PI()*EZ21*Inputs!$B$36))</f>
        <v>19.5974859053735</v>
      </c>
      <c r="FB21" s="15" t="n">
        <f aca="false">EXP(-Inputs!$B$11*Inputs!$B$14*Inputs!$B$17/(Inputs!$B$51*FA21*Inputs!$B$16))</f>
        <v>0.756512831858906</v>
      </c>
      <c r="FC21" s="15" t="n">
        <f aca="false">Inputs!$B$50*Inputs!$B$18*FB21*Inputs!$B$19</f>
        <v>0.739207017856049</v>
      </c>
      <c r="FD21" s="15" t="n">
        <f aca="false">1-FC21</f>
        <v>0.260792982143951</v>
      </c>
      <c r="FE21" s="15" t="n">
        <f aca="false">Inputs!$B$20*FD21</f>
        <v>0.00782378946431852</v>
      </c>
      <c r="FF21" s="15" t="n">
        <f aca="false">0.8*(1-Inputs!$B$50)*(FC21-FE21)</f>
        <v>0.00176161549497015</v>
      </c>
      <c r="FG21" s="15" t="n">
        <f aca="false">FC21-FE21-FF21</f>
        <v>0.729621612896761</v>
      </c>
      <c r="FH21" s="15" t="n">
        <f aca="false">FG21*(1-Inputs!$B$18*EXP(-Inputs!$B$21*Inputs!$B$14*Inputs!$B$17/(Inputs!$B$22*Inputs!$B$23*Inputs!$B$24*FA21*Inputs!$B$16))*Inputs!$B$19)</f>
        <v>0.0262292249446536</v>
      </c>
      <c r="FI21" s="15" t="n">
        <f aca="false">(FG21-FH21)*(1-EXP(-Inputs!$B$25*Inputs!$B$14*Inputs!$B$17*Inputs!$B$26/(FA21*Inputs!$B$16/0.866)))</f>
        <v>0.00745502601338638</v>
      </c>
      <c r="FJ21" s="15" t="n">
        <f aca="false">(FG21-FH21-FI21)*(1-Inputs!$B$19)</f>
        <v>0.00347968680969361</v>
      </c>
      <c r="FK21" s="15" t="n">
        <f aca="false">(FD21+FE21+FF21+FH21+FI21+FJ21)*(1+Inputs!$B$27)</f>
        <v>0.308464951845586</v>
      </c>
      <c r="FL21" s="15" t="n">
        <f aca="false">Inputs!$B$52/(1-FK21-G21)</f>
        <v>193035.860034739</v>
      </c>
      <c r="FM21" s="15" t="n">
        <f aca="false">FL21/Inputs!$B$34</f>
        <v>321.726433391232</v>
      </c>
      <c r="FN21" s="15" t="n">
        <f aca="false">B21^2/FM21</f>
        <v>11.1896307743612</v>
      </c>
      <c r="FO21" s="15" t="n">
        <f aca="false">Inputs!$B$54*H21/(Inputs!$B$35*F21+E21*H21^2/(PI()*FN21*Inputs!$B$36))</f>
        <v>19.5974974651663</v>
      </c>
      <c r="FP21" s="15" t="n">
        <f aca="false">EXP(-Inputs!$B$11*Inputs!$B$14*Inputs!$B$17/(Inputs!$B$51*FO21*Inputs!$B$16))</f>
        <v>0.756512956375051</v>
      </c>
      <c r="FQ21" s="15" t="n">
        <f aca="false">Inputs!$B$50*Inputs!$B$18*FP21*Inputs!$B$19</f>
        <v>0.739207139523792</v>
      </c>
      <c r="FR21" s="15" t="n">
        <f aca="false">1-FQ21</f>
        <v>0.260792860476208</v>
      </c>
      <c r="FS21" s="15" t="n">
        <f aca="false">Inputs!$B$20*FR21</f>
        <v>0.00782378581428624</v>
      </c>
      <c r="FT21" s="15" t="n">
        <f aca="false">0.8*(1-Inputs!$B$50)*(FQ21-FS21)</f>
        <v>0.00176161579681155</v>
      </c>
      <c r="FU21" s="15" t="n">
        <f aca="false">FQ21-FS21-FT21</f>
        <v>0.729621737912694</v>
      </c>
      <c r="FV21" s="15" t="n">
        <f aca="false">FU21*(1-Inputs!$B$18*EXP(-Inputs!$B$21*Inputs!$B$14*Inputs!$B$17/(Inputs!$B$22*Inputs!$B$23*Inputs!$B$24*FO21*Inputs!$B$16))*Inputs!$B$19)</f>
        <v>0.0262292225991828</v>
      </c>
      <c r="FW21" s="15" t="n">
        <f aca="false">(FU21-FV21)*(1-EXP(-Inputs!$B$25*Inputs!$B$14*Inputs!$B$17*Inputs!$B$26/(FO21*Inputs!$B$16/0.866)))</f>
        <v>0.00745502298920712</v>
      </c>
      <c r="FX21" s="15" t="n">
        <f aca="false">(FU21-FV21-FW21)*(1-Inputs!$B$19)</f>
        <v>0.00347968746162153</v>
      </c>
      <c r="FY21" s="15" t="n">
        <f aca="false">(FR21+FS21+FT21+FV21+FW21+FX21)*(1+Inputs!$B$27)</f>
        <v>0.308464821722729</v>
      </c>
      <c r="FZ21" s="15" t="n">
        <f aca="false">Inputs!$B$52/(1-FY21-G21)</f>
        <v>193035.711414237</v>
      </c>
      <c r="GA21" s="15" t="n">
        <f aca="false">FZ21/Inputs!$B$34</f>
        <v>321.726185690395</v>
      </c>
      <c r="GB21" s="15" t="n">
        <f aca="false">B21^2/GA21</f>
        <v>11.1896393893917</v>
      </c>
      <c r="GC21" s="15" t="n">
        <f aca="false">Inputs!$B$54*H21/(Inputs!$B$35*F21+E21*H21^2/(PI()*GB21*Inputs!$B$36))</f>
        <v>19.5975015038305</v>
      </c>
      <c r="GD21" s="15" t="n">
        <f aca="false">EXP(-Inputs!$B$11*Inputs!$B$14*Inputs!$B$17/(Inputs!$B$51*GC21*Inputs!$B$16))</f>
        <v>0.756512999877436</v>
      </c>
      <c r="GE21" s="15" t="n">
        <f aca="false">Inputs!$B$50*Inputs!$B$18*GD21*Inputs!$B$19</f>
        <v>0.739207182031026</v>
      </c>
      <c r="GF21" s="15" t="n">
        <f aca="false">1-GE21</f>
        <v>0.260792817968974</v>
      </c>
      <c r="GG21" s="15" t="n">
        <f aca="false">Inputs!$B$20*GF21</f>
        <v>0.00782378453906922</v>
      </c>
      <c r="GH21" s="15" t="n">
        <f aca="false">0.8*(1-Inputs!$B$50)*(GE21-GG21)</f>
        <v>0.00176161590226631</v>
      </c>
      <c r="GI21" s="15" t="n">
        <f aca="false">GE21-GG21-GH21</f>
        <v>0.729621781589691</v>
      </c>
      <c r="GJ21" s="15" t="n">
        <f aca="false">GI21*(1-Inputs!$B$18*EXP(-Inputs!$B$21*Inputs!$B$14*Inputs!$B$17/(Inputs!$B$22*Inputs!$B$23*Inputs!$B$24*GC21*Inputs!$B$16))*Inputs!$B$19)</f>
        <v>0.0262292217797419</v>
      </c>
      <c r="GK21" s="15" t="n">
        <f aca="false">(GI21-GJ21)*(1-EXP(-Inputs!$B$25*Inputs!$B$14*Inputs!$B$17*Inputs!$B$26/(GC21*Inputs!$B$16/0.866)))</f>
        <v>0.00745502193264506</v>
      </c>
      <c r="GL21" s="15" t="n">
        <f aca="false">(GI21-GJ21-GK21)*(1-Inputs!$B$19)</f>
        <v>0.00347968768938652</v>
      </c>
      <c r="GM21" s="15" t="n">
        <f aca="false">(GF21+GG21+GH21+GJ21+GK21+GL21)*(1+Inputs!$B$27)</f>
        <v>0.308464776261519</v>
      </c>
      <c r="GN21" s="15" t="n">
        <f aca="false">Inputs!$B$52/(1-GM21-G21)</f>
        <v>193035.659490532</v>
      </c>
      <c r="GO21" s="15" t="n">
        <f aca="false">GN21/Inputs!$B$34</f>
        <v>321.726099150887</v>
      </c>
      <c r="GP21" s="15" t="n">
        <f aca="false">B21^2/GO21</f>
        <v>11.1896423992374</v>
      </c>
      <c r="GQ21" s="15" t="n">
        <f aca="false">Inputs!$B$54*H21/(Inputs!$B$35*F21+E21*H21^2/(PI()*GP21*Inputs!$B$36))</f>
        <v>19.5975029148233</v>
      </c>
      <c r="GR21" s="15" t="n">
        <f aca="false">EXP(-Inputs!$B$11*Inputs!$B$14*Inputs!$B$17/(Inputs!$B$51*GQ21*Inputs!$B$16))</f>
        <v>0.756513015075912</v>
      </c>
      <c r="GS21" s="15" t="n">
        <f aca="false">Inputs!$B$50*Inputs!$B$18*GR21*Inputs!$B$19</f>
        <v>0.739207196881825</v>
      </c>
      <c r="GT21" s="15" t="n">
        <f aca="false">1-GS21</f>
        <v>0.260792803118175</v>
      </c>
      <c r="GU21" s="15" t="n">
        <f aca="false">Inputs!$B$20*GT21</f>
        <v>0.00782378409354525</v>
      </c>
      <c r="GV21" s="15" t="n">
        <f aca="false">0.8*(1-Inputs!$B$50)*(GS21-GU21)</f>
        <v>0.00176161593910915</v>
      </c>
      <c r="GW21" s="15" t="n">
        <f aca="false">GS21-GU21-GV21</f>
        <v>0.729621796849171</v>
      </c>
      <c r="GX21" s="15" t="n">
        <f aca="false">GW21*(1-Inputs!$B$18*EXP(-Inputs!$B$21*Inputs!$B$14*Inputs!$B$17/(Inputs!$B$22*Inputs!$B$23*Inputs!$B$24*GQ21*Inputs!$B$16))*Inputs!$B$19)</f>
        <v>0.026229221493453</v>
      </c>
      <c r="GY21" s="15" t="n">
        <f aca="false">(GW21-GX21)*(1-EXP(-Inputs!$B$25*Inputs!$B$14*Inputs!$B$17*Inputs!$B$26/(GQ21*Inputs!$B$16/0.866)))</f>
        <v>0.0074550215635128</v>
      </c>
      <c r="GZ21" s="15" t="n">
        <f aca="false">(GW21-GX21-GY21)*(1-Inputs!$B$19)</f>
        <v>0.00347968776896103</v>
      </c>
      <c r="HA21" s="15" t="n">
        <f aca="false">(GT21+GU21+GV21+GX21+GY21+GZ21)*(1+Inputs!$B$27)</f>
        <v>0.308464760378686</v>
      </c>
      <c r="HB21" s="15" t="n">
        <f aca="false">Inputs!$B$52/(1-HA21-G21)</f>
        <v>193035.641349897</v>
      </c>
      <c r="HC21" s="15" t="n">
        <f aca="false">HB21/Inputs!$B$34</f>
        <v>321.726068916494</v>
      </c>
      <c r="HD21" s="15" t="n">
        <f aca="false">B21^2/HC21</f>
        <v>11.1896434507904</v>
      </c>
      <c r="HE21" s="15" t="n">
        <f aca="false">Inputs!$B$54*H21/(Inputs!$B$35*F21+E21*H21^2/(PI()*HD21*Inputs!$B$36))</f>
        <v>19.5975034077833</v>
      </c>
      <c r="HF21" s="15" t="n">
        <f aca="false">EXP(-Inputs!$B$11*Inputs!$B$14*Inputs!$B$17/(Inputs!$B$51*HE21*Inputs!$B$16))</f>
        <v>0.756513020385818</v>
      </c>
      <c r="HG21" s="15" t="n">
        <f aca="false">Inputs!$B$50*Inputs!$B$18*HF21*Inputs!$B$19</f>
        <v>0.739207202070263</v>
      </c>
      <c r="HH21" s="15" t="n">
        <f aca="false">1-HG21</f>
        <v>0.260792797929737</v>
      </c>
      <c r="HI21" s="15" t="n">
        <f aca="false">Inputs!$B$20*HH21</f>
        <v>0.0078237839378921</v>
      </c>
      <c r="HJ21" s="15" t="n">
        <f aca="false">0.8*(1-Inputs!$B$50)*(HG21-HI21)</f>
        <v>0.00176161595198098</v>
      </c>
      <c r="HK21" s="15" t="n">
        <f aca="false">HG21-HI21-HJ21</f>
        <v>0.72962180218039</v>
      </c>
      <c r="HL21" s="15" t="n">
        <f aca="false">HK21*(1-Inputs!$B$18*EXP(-Inputs!$B$21*Inputs!$B$14*Inputs!$B$17/(Inputs!$B$22*Inputs!$B$23*Inputs!$B$24*HE21*Inputs!$B$16))*Inputs!$B$19)</f>
        <v>0.0262292213934319</v>
      </c>
      <c r="HM21" s="15" t="n">
        <f aca="false">(HK21-HL21)*(1-EXP(-Inputs!$B$25*Inputs!$B$14*Inputs!$B$17*Inputs!$B$26/(HE21*Inputs!$B$16/0.866)))</f>
        <v>0.00745502143454872</v>
      </c>
      <c r="HN21" s="15" t="n">
        <f aca="false">(HK21-HL21-HM21)*(1-Inputs!$B$19)</f>
        <v>0.00347968779676205</v>
      </c>
      <c r="HO21" s="15" t="n">
        <f aca="false">(HH21+HI21+HJ21+HL21+HM21+HN21)*(1+Inputs!$B$27)</f>
        <v>0.308464754829686</v>
      </c>
      <c r="HP21" s="15" t="n">
        <f aca="false">Inputs!$B$52/(1-HO21-G21)</f>
        <v>193035.635012086</v>
      </c>
      <c r="HQ21" s="15" t="n">
        <f aca="false">HP21/Inputs!$B$34</f>
        <v>321.726058353477</v>
      </c>
      <c r="HR21" s="15" t="n">
        <f aca="false">B21^2/HQ21</f>
        <v>11.1896438181725</v>
      </c>
      <c r="HS21" s="15" t="n">
        <f aca="false">Inputs!$B$54*H21/(Inputs!$B$35*F21+E21*H21^2/(PI()*HR21*Inputs!$B$36))</f>
        <v>19.5975035800092</v>
      </c>
      <c r="HT21" s="15" t="n">
        <f aca="false">EXP(-Inputs!$B$11*Inputs!$B$14*Inputs!$B$17/(Inputs!$B$51*HS21*Inputs!$B$16))</f>
        <v>0.756513022240945</v>
      </c>
      <c r="HU21" s="15" t="n">
        <f aca="false">Inputs!$B$50*Inputs!$B$18*HT21*Inputs!$B$19</f>
        <v>0.739207203882953</v>
      </c>
      <c r="HV21" s="15" t="n">
        <f aca="false">1-HU21</f>
        <v>0.260792796117047</v>
      </c>
      <c r="HW21" s="15" t="n">
        <f aca="false">Inputs!$B$20*HV21</f>
        <v>0.00782378388351142</v>
      </c>
      <c r="HX21" s="15" t="n">
        <f aca="false">0.8*(1-Inputs!$B$50)*(HU21-HW21)</f>
        <v>0.00176161595647801</v>
      </c>
      <c r="HY21" s="15" t="n">
        <f aca="false">HU21-HW21-HX21</f>
        <v>0.729621804042963</v>
      </c>
      <c r="HZ21" s="15" t="n">
        <f aca="false">HY21*(1-Inputs!$B$18*EXP(-Inputs!$B$21*Inputs!$B$14*Inputs!$B$17/(Inputs!$B$22*Inputs!$B$23*Inputs!$B$24*HS21*Inputs!$B$16))*Inputs!$B$19)</f>
        <v>0.0262292213584874</v>
      </c>
      <c r="IA21" s="15" t="n">
        <f aca="false">(HY21-HZ21)*(1-EXP(-Inputs!$B$25*Inputs!$B$14*Inputs!$B$17*Inputs!$B$26/(HS21*Inputs!$B$16/0.866)))</f>
        <v>0.00745502138949242</v>
      </c>
      <c r="IB21" s="15" t="n">
        <f aca="false">(HY21-HZ21-IA21)*(1-Inputs!$B$19)</f>
        <v>0.00347968780647492</v>
      </c>
      <c r="IC21" s="15" t="n">
        <f aca="false">(HV21+HW21+HX21+HZ21+IA21+IB21)*(1+Inputs!$B$27)</f>
        <v>0.308464752891026</v>
      </c>
      <c r="ID21" s="15" t="n">
        <f aca="false">Inputs!$B$52/(1-IC21-G21)</f>
        <v>193035.632797839</v>
      </c>
      <c r="IE21" s="15" t="n">
        <f aca="false">ID21/Inputs!$B$34</f>
        <v>321.726054663066</v>
      </c>
      <c r="IF21" s="15" t="n">
        <f aca="false">B21^2/IE21</f>
        <v>11.1896439465252</v>
      </c>
      <c r="IG21" s="15" t="n">
        <f aca="false">Inputs!$B$54*H21/(Inputs!$B$35*F21+E21*H21^2/(PI()*IF21*Inputs!$B$36))</f>
        <v>19.5975036401799</v>
      </c>
      <c r="IH21" s="15" t="n">
        <f aca="false">EXP(-Inputs!$B$11*Inputs!$B$14*Inputs!$B$17/(Inputs!$B$51*IG21*Inputs!$B$16))</f>
        <v>0.756513022889072</v>
      </c>
      <c r="II21" s="15" t="n">
        <f aca="false">Inputs!$B$50*Inputs!$B$18*IH21*Inputs!$B$19</f>
        <v>0.739207204516254</v>
      </c>
      <c r="IJ21" s="15" t="n">
        <f aca="false">1-II21</f>
        <v>0.260792795483746</v>
      </c>
      <c r="IK21" s="15" t="n">
        <f aca="false">Inputs!$B$20*IJ21</f>
        <v>0.00782378386451239</v>
      </c>
      <c r="IL21" s="15" t="n">
        <f aca="false">0.8*(1-Inputs!$B$50)*(II21-IK21)</f>
        <v>0.00176161595804915</v>
      </c>
      <c r="IM21" s="15" t="n">
        <f aca="false">II21-IK21-IL21</f>
        <v>0.729621804693692</v>
      </c>
      <c r="IN21" s="15" t="n">
        <f aca="false">IM21*(1-Inputs!$B$18*EXP(-Inputs!$B$21*Inputs!$B$14*Inputs!$B$17/(Inputs!$B$22*Inputs!$B$23*Inputs!$B$24*IG21*Inputs!$B$16))*Inputs!$B$19)</f>
        <v>0.0262292213462789</v>
      </c>
      <c r="IO21" s="15" t="n">
        <f aca="false">(IM21-IN21)*(1-EXP(-Inputs!$B$25*Inputs!$B$14*Inputs!$B$17*Inputs!$B$26/(IG21*Inputs!$B$16/0.866)))</f>
        <v>0.00745502137375102</v>
      </c>
      <c r="IP21" s="15" t="n">
        <f aca="false">(IM21-IN21-IO21)*(1-Inputs!$B$19)</f>
        <v>0.00347968780986831</v>
      </c>
      <c r="IQ21" s="15" t="n">
        <f aca="false">(IJ21+IK21+IL21+IN21+IO21+IP21)*(1+Inputs!$B$27)</f>
        <v>0.308464752213715</v>
      </c>
      <c r="IR21" s="15" t="n">
        <f aca="false">Inputs!$B$52/(1-IQ21-G21)</f>
        <v>193035.632024246</v>
      </c>
      <c r="IS21" s="15" t="n">
        <f aca="false">IR21/Inputs!$B$34</f>
        <v>321.726053373743</v>
      </c>
      <c r="IT21" s="15" t="n">
        <f aca="false">B21^2/IS21</f>
        <v>11.1896439913679</v>
      </c>
      <c r="IU21" s="15" t="n">
        <f aca="false">Inputs!$B$54*H21/(Inputs!$B$35*F21+E21*H21^2/(PI()*IT21*Inputs!$B$36))</f>
        <v>19.5975036612018</v>
      </c>
      <c r="IV21" s="15" t="n">
        <f aca="false">EXP(-Inputs!$B$11*Inputs!$B$14*Inputs!$B$17/(Inputs!$B$51*IU21*Inputs!$B$16))</f>
        <v>0.756513023115509</v>
      </c>
      <c r="IW21" s="15" t="n">
        <f aca="false">Inputs!$B$50*Inputs!$B$18*IV21*Inputs!$B$19</f>
        <v>0.73920720473751</v>
      </c>
      <c r="IX21" s="15" t="n">
        <f aca="false">1-IW21</f>
        <v>0.26079279526249</v>
      </c>
      <c r="IY21" s="15" t="n">
        <f aca="false">Inputs!$B$20*IX21</f>
        <v>0.00782378385787469</v>
      </c>
      <c r="IZ21" s="15" t="n">
        <f aca="false">0.8*(1-Inputs!$B$50)*(IW21-IY21)</f>
        <v>0.00176161595859806</v>
      </c>
      <c r="JA21" s="15" t="n">
        <f aca="false">IW21-IY21-IZ21</f>
        <v>0.729621804921038</v>
      </c>
      <c r="JB21" s="15" t="n">
        <f aca="false">JA21*(1-Inputs!$B$18*EXP(-Inputs!$B$21*Inputs!$B$14*Inputs!$B$17/(Inputs!$B$22*Inputs!$B$23*Inputs!$B$24*IU21*Inputs!$B$16))*Inputs!$B$19)</f>
        <v>0.0262292213420136</v>
      </c>
      <c r="JC21" s="15" t="n">
        <f aca="false">(JA21-JB21)*(1-EXP(-Inputs!$B$25*Inputs!$B$14*Inputs!$B$17*Inputs!$B$26/(IU21*Inputs!$B$16/0.866)))</f>
        <v>0.00745502136825147</v>
      </c>
      <c r="JD21" s="15" t="n">
        <f aca="false">(JA21-JB21-JC21)*(1-Inputs!$B$19)</f>
        <v>0.00347968781105387</v>
      </c>
      <c r="JE21" s="15" t="n">
        <f aca="false">(IX21+IY21+IZ21+JB21+JC21+JD21)*(1+Inputs!$B$27)</f>
        <v>0.308464751977082</v>
      </c>
      <c r="JF21" s="15" t="n">
        <f aca="false">Inputs!$B$52/(1-JE21-G21)</f>
        <v>193035.631753975</v>
      </c>
      <c r="JG21" s="15" t="n">
        <f aca="false">JF21/Inputs!$B$34</f>
        <v>321.726052923292</v>
      </c>
      <c r="JH21" s="15" t="n">
        <f aca="false">B21^2/JG21</f>
        <v>11.1896440070346</v>
      </c>
      <c r="JI21" s="15" t="n">
        <f aca="false">Inputs!$B$54*H21/(Inputs!$B$35*F21+E21*H21^2/(PI()*JH21*Inputs!$B$36))</f>
        <v>19.5975036685463</v>
      </c>
      <c r="JJ21" s="15" t="n">
        <f aca="false">EXP(-Inputs!$B$11*Inputs!$B$14*Inputs!$B$17/(Inputs!$B$51*JI21*Inputs!$B$16))</f>
        <v>0.756513023194619</v>
      </c>
      <c r="JK21" s="15" t="n">
        <f aca="false">Inputs!$B$50*Inputs!$B$18*JJ21*Inputs!$B$19</f>
        <v>0.739207204814811</v>
      </c>
      <c r="JL21" s="15" t="n">
        <f aca="false">1-JK21</f>
        <v>0.260792795185189</v>
      </c>
      <c r="JM21" s="15" t="n">
        <f aca="false">Inputs!$B$20*JL21</f>
        <v>0.00782378385555567</v>
      </c>
      <c r="JN21" s="15" t="n">
        <f aca="false">0.8*(1-Inputs!$B$50)*(JK21-JM21)</f>
        <v>0.00176161595878983</v>
      </c>
      <c r="JO21" s="15" t="n">
        <f aca="false">JK21-JM21-JN21</f>
        <v>0.729621805000466</v>
      </c>
      <c r="JP21" s="15" t="n">
        <f aca="false">JO21*(1-Inputs!$B$18*EXP(-Inputs!$B$21*Inputs!$B$14*Inputs!$B$17/(Inputs!$B$22*Inputs!$B$23*Inputs!$B$24*JI21*Inputs!$B$16))*Inputs!$B$19)</f>
        <v>0.0262292213405234</v>
      </c>
      <c r="JQ21" s="15" t="n">
        <f aca="false">(JO21-JP21)*(1-EXP(-Inputs!$B$25*Inputs!$B$14*Inputs!$B$17*Inputs!$B$26/(JI21*Inputs!$B$16/0.866)))</f>
        <v>0.0074550213663301</v>
      </c>
      <c r="JR21" s="15" t="n">
        <f aca="false">(JO21-JP21-JQ21)*(1-Inputs!$B$19)</f>
        <v>0.00347968781146806</v>
      </c>
      <c r="JS21" s="15" t="n">
        <f aca="false">(JL21+JM21+JN21+JP21+JQ21+JR21)*(1+Inputs!$B$27)</f>
        <v>0.308464751894409</v>
      </c>
      <c r="JT21" s="15" t="n">
        <f aca="false">Inputs!$B$52/(1-JS21-G21)</f>
        <v>193035.63165955</v>
      </c>
      <c r="JU21" s="15" t="n">
        <f aca="false">JT21/Inputs!$B$34</f>
        <v>321.726052765917</v>
      </c>
      <c r="JV21" s="15" t="n">
        <f aca="false">B21^2/JU21</f>
        <v>11.1896440125081</v>
      </c>
      <c r="JW21" s="15" t="n">
        <f aca="false">Inputs!$B$54*H21/(Inputs!$B$35*F21+E21*H21^2/(PI()*JV21*Inputs!$B$36))</f>
        <v>19.5975036711122</v>
      </c>
      <c r="JX21" s="15" t="n">
        <f aca="false">EXP(-Inputs!$B$11*Inputs!$B$14*Inputs!$B$17/(Inputs!$B$51*JW21*Inputs!$B$16))</f>
        <v>0.756513023222258</v>
      </c>
      <c r="JY21" s="15" t="n">
        <f aca="false">Inputs!$B$50*Inputs!$B$18*JX21*Inputs!$B$19</f>
        <v>0.739207204841818</v>
      </c>
      <c r="JZ21" s="15" t="n">
        <f aca="false">1-JY21</f>
        <v>0.260792795158182</v>
      </c>
      <c r="KA21" s="15" t="n">
        <f aca="false">Inputs!$B$20*JZ21</f>
        <v>0.00782378385474546</v>
      </c>
      <c r="KB21" s="15" t="n">
        <f aca="false">0.8*(1-Inputs!$B$50)*(JY21-KA21)</f>
        <v>0.00176161595885683</v>
      </c>
      <c r="KC21" s="15" t="n">
        <f aca="false">JY21-KA21-KB21</f>
        <v>0.729621805028216</v>
      </c>
      <c r="KD21" s="15" t="n">
        <f aca="false">KC21*(1-Inputs!$B$18*EXP(-Inputs!$B$21*Inputs!$B$14*Inputs!$B$17/(Inputs!$B$22*Inputs!$B$23*Inputs!$B$24*JW21*Inputs!$B$16))*Inputs!$B$19)</f>
        <v>0.0262292213400028</v>
      </c>
      <c r="KE21" s="15" t="n">
        <f aca="false">(KC21-KD21)*(1-EXP(-Inputs!$B$25*Inputs!$B$14*Inputs!$B$17*Inputs!$B$26/(JW21*Inputs!$B$16/0.866)))</f>
        <v>0.00745502136565881</v>
      </c>
      <c r="KF21" s="15" t="n">
        <f aca="false">(KC21-KD21-KE21)*(1-Inputs!$B$19)</f>
        <v>0.00347968781161277</v>
      </c>
      <c r="KG21" s="15" t="n">
        <f aca="false">(JZ21+KA21+KB21+KD21+KE21+KF21)*(1+Inputs!$B$27)</f>
        <v>0.308464751865526</v>
      </c>
      <c r="KH21" s="15" t="n">
        <f aca="false">Inputs!$B$52/(1-KG21-G21)</f>
        <v>193035.631626561</v>
      </c>
      <c r="KI21" s="15" t="n">
        <f aca="false">KH21/Inputs!$B$34</f>
        <v>321.726052710935</v>
      </c>
      <c r="KJ21" s="15" t="n">
        <f aca="false">B21^2/KI21</f>
        <v>11.1896440144204</v>
      </c>
      <c r="KK21" s="15" t="n">
        <f aca="false">Inputs!$B$54*H21/(Inputs!$B$35*F21+E21*H21^2/(PI()*KJ21*Inputs!$B$36))</f>
        <v>19.5975036720087</v>
      </c>
      <c r="KL21" s="15" t="n">
        <f aca="false">EXP(-Inputs!$B$11*Inputs!$B$14*Inputs!$B$17/(Inputs!$B$51*KK21*Inputs!$B$16))</f>
        <v>0.756513023231915</v>
      </c>
      <c r="KM21" s="15" t="n">
        <f aca="false">Inputs!$B$50*Inputs!$B$18*KL21*Inputs!$B$19</f>
        <v>0.739207204851253</v>
      </c>
      <c r="KN21" s="15" t="n">
        <f aca="false">1-KM21</f>
        <v>0.260792795148747</v>
      </c>
      <c r="KO21" s="15" t="n">
        <f aca="false">Inputs!$B$20*KN21</f>
        <v>0.00782378385446241</v>
      </c>
      <c r="KP21" s="15" t="n">
        <f aca="false">0.8*(1-Inputs!$B$50)*(KM21-KO21)</f>
        <v>0.00176161595888024</v>
      </c>
      <c r="KQ21" s="15" t="n">
        <f aca="false">KM21-KO21-KP21</f>
        <v>0.729621805037911</v>
      </c>
      <c r="KR21" s="15" t="n">
        <f aca="false">KQ21*(1-Inputs!$B$18*EXP(-Inputs!$B$21*Inputs!$B$14*Inputs!$B$17/(Inputs!$B$22*Inputs!$B$23*Inputs!$B$24*KK21*Inputs!$B$16))*Inputs!$B$19)</f>
        <v>0.0262292213398209</v>
      </c>
      <c r="KS21" s="15" t="n">
        <f aca="false">(KQ21-KR21)*(1-EXP(-Inputs!$B$25*Inputs!$B$14*Inputs!$B$17*Inputs!$B$26/(KK21*Inputs!$B$16/0.866)))</f>
        <v>0.00745502136542426</v>
      </c>
      <c r="KT21" s="15" t="n">
        <f aca="false">(KQ21-KR21-KS21)*(1-Inputs!$B$19)</f>
        <v>0.00347968781166333</v>
      </c>
      <c r="KU21" s="15" t="n">
        <f aca="false">(KN21+KO21+KP21+KR21+KS21+KT21)*(1+Inputs!$B$27)</f>
        <v>0.308464751855435</v>
      </c>
      <c r="KV21" s="15" t="n">
        <f aca="false">Inputs!$B$52/(1-KU21-G21)</f>
        <v>193035.631615036</v>
      </c>
      <c r="KW21" s="15" t="n">
        <f aca="false">KV21/Inputs!$B$34</f>
        <v>321.726052691726</v>
      </c>
      <c r="KX21" s="15" t="n">
        <f aca="false">B21^2/KW21</f>
        <v>11.1896440150884</v>
      </c>
      <c r="KY21" s="15" t="n">
        <f aca="false">Inputs!$B$54*H21/(Inputs!$B$35*F21+E21*H21^2/(PI()*KX21*Inputs!$B$36))</f>
        <v>19.5975036723219</v>
      </c>
      <c r="KZ21" s="15" t="n">
        <f aca="false">EXP(-Inputs!$B$11*Inputs!$B$14*Inputs!$B$17/(Inputs!$B$51*KY21*Inputs!$B$16))</f>
        <v>0.756513023235288</v>
      </c>
      <c r="LA21" s="15" t="n">
        <f aca="false">Inputs!$B$50*Inputs!$B$18*KZ21*Inputs!$B$19</f>
        <v>0.73920720485455</v>
      </c>
      <c r="LB21" s="15" t="n">
        <f aca="false">1-LA21</f>
        <v>0.26079279514545</v>
      </c>
      <c r="LC21" s="15" t="n">
        <f aca="false">Inputs!$B$20*LB21</f>
        <v>0.00782378385436351</v>
      </c>
      <c r="LD21" s="15" t="n">
        <f aca="false">0.8*(1-Inputs!$B$50)*(LA21-LC21)</f>
        <v>0.00176161595888842</v>
      </c>
      <c r="LE21" s="15" t="n">
        <f aca="false">LA21-LC21-LD21</f>
        <v>0.729621805041298</v>
      </c>
      <c r="LF21" s="15" t="n">
        <f aca="false">LE21*(1-Inputs!$B$18*EXP(-Inputs!$B$21*Inputs!$B$14*Inputs!$B$17/(Inputs!$B$22*Inputs!$B$23*Inputs!$B$24*KY21*Inputs!$B$16))*Inputs!$B$19)</f>
        <v>0.0262292213397573</v>
      </c>
      <c r="LG21" s="15" t="n">
        <f aca="false">(LE21-LF21)*(1-EXP(-Inputs!$B$25*Inputs!$B$14*Inputs!$B$17*Inputs!$B$26/(KY21*Inputs!$B$16/0.866)))</f>
        <v>0.00745502136534237</v>
      </c>
      <c r="LH21" s="15" t="n">
        <f aca="false">(LE21-LF21-LG21)*(1-Inputs!$B$19)</f>
        <v>0.00347968781168099</v>
      </c>
      <c r="LI21" s="15" t="n">
        <f aca="false">(LB21+LC21+LD21+LF21+LG21+LH21)*(1+Inputs!$B$27)</f>
        <v>0.308464751851909</v>
      </c>
      <c r="LJ21" s="15" t="n">
        <f aca="false">Inputs!$B$52/(1-LI21-G21)</f>
        <v>193035.631611009</v>
      </c>
      <c r="LK21" s="15" t="n">
        <f aca="false">LJ21/Inputs!$B$34</f>
        <v>321.726052685015</v>
      </c>
      <c r="LL21" s="15" t="n">
        <f aca="false">B21^2/LK21</f>
        <v>11.1896440153219</v>
      </c>
      <c r="LM21" s="15" t="n">
        <f aca="false">Inputs!$B$54*H21/(Inputs!$B$35*F21+E21*H21^2/(PI()*LL21*Inputs!$B$36))</f>
        <v>19.5975036724313</v>
      </c>
      <c r="LN21" s="15" t="n">
        <f aca="false">EXP(-Inputs!$B$11*Inputs!$B$14*Inputs!$B$17/(Inputs!$B$51*LM21*Inputs!$B$16))</f>
        <v>0.756513023236467</v>
      </c>
      <c r="LO21" s="15" t="n">
        <f aca="false">Inputs!$B$50*Inputs!$B$18*LN21*Inputs!$B$19</f>
        <v>0.739207204855701</v>
      </c>
      <c r="LP21" s="15" t="n">
        <f aca="false">1-LO21</f>
        <v>0.260792795144299</v>
      </c>
      <c r="LQ21" s="15" t="n">
        <f aca="false">Inputs!$B$20*LP21</f>
        <v>0.00782378385432896</v>
      </c>
      <c r="LR21" s="15" t="n">
        <f aca="false">0.8*(1-Inputs!$B$50)*(LO21-LQ21)</f>
        <v>0.00176161595889127</v>
      </c>
      <c r="LS21" s="15" t="n">
        <f aca="false">LO21-LQ21-LR21</f>
        <v>0.729621805042481</v>
      </c>
      <c r="LT21" s="15" t="n">
        <f aca="false">LS21*(1-Inputs!$B$18*EXP(-Inputs!$B$21*Inputs!$B$14*Inputs!$B$17/(Inputs!$B$22*Inputs!$B$23*Inputs!$B$24*LM21*Inputs!$B$16))*Inputs!$B$19)</f>
        <v>0.0262292213397351</v>
      </c>
      <c r="LU21" s="15" t="n">
        <f aca="false">(LS21-LT21)*(1-EXP(-Inputs!$B$25*Inputs!$B$14*Inputs!$B$17*Inputs!$B$26/(LM21*Inputs!$B$16/0.866)))</f>
        <v>0.00745502136531368</v>
      </c>
      <c r="LV21" s="15" t="n">
        <f aca="false">(LS21-LT21-LU21)*(1-Inputs!$B$19)</f>
        <v>0.00347968781168716</v>
      </c>
      <c r="LW21" s="15" t="n">
        <f aca="false">(LP21+LQ21+LR21+LT21+LU21+LV21)*(1+Inputs!$B$27)</f>
        <v>0.308464751850678</v>
      </c>
      <c r="LX21" s="15" t="n">
        <f aca="false">Inputs!$B$52/(1-LW21-G21)</f>
        <v>193035.631609602</v>
      </c>
      <c r="LY21" s="15" t="n">
        <f aca="false">LX21/Inputs!$B$34</f>
        <v>321.72605268267</v>
      </c>
      <c r="LZ21" s="15" t="n">
        <f aca="false">B21^2/LY21</f>
        <v>11.1896440154034</v>
      </c>
      <c r="MA21" s="15" t="n">
        <f aca="false">Inputs!$B$54*H21/(Inputs!$B$35*F21+E21*H21^2/(PI()*LZ21*Inputs!$B$36))</f>
        <v>19.5975036724695</v>
      </c>
      <c r="MB21" s="15" t="n">
        <f aca="false">EXP(-Inputs!$B$11*Inputs!$B$14*Inputs!$B$17/(Inputs!$B$51*MA21*Inputs!$B$16))</f>
        <v>0.756513023236879</v>
      </c>
      <c r="MC21" s="15" t="n">
        <f aca="false">Inputs!$B$50*Inputs!$B$18*MB21*Inputs!$B$19</f>
        <v>0.739207204856104</v>
      </c>
      <c r="MD21" s="15" t="n">
        <f aca="false">1-MC21</f>
        <v>0.260792795143896</v>
      </c>
      <c r="ME21" s="15" t="n">
        <f aca="false">Inputs!$B$20*MD21</f>
        <v>0.00782378385431689</v>
      </c>
      <c r="MF21" s="15" t="n">
        <f aca="false">0.8*(1-Inputs!$B$50)*(MC21-ME21)</f>
        <v>0.00176161595889227</v>
      </c>
      <c r="MG21" s="15" t="n">
        <f aca="false">MC21-ME21-MF21</f>
        <v>0.729621805042895</v>
      </c>
      <c r="MH21" s="15" t="n">
        <f aca="false">MG21*(1-Inputs!$B$18*EXP(-Inputs!$B$21*Inputs!$B$14*Inputs!$B$17/(Inputs!$B$22*Inputs!$B$23*Inputs!$B$24*MA21*Inputs!$B$16))*Inputs!$B$19)</f>
        <v>0.0262292213397273</v>
      </c>
      <c r="MI21" s="15" t="n">
        <f aca="false">(MG21-MH21)*(1-EXP(-Inputs!$B$25*Inputs!$B$14*Inputs!$B$17*Inputs!$B$26/(MA21*Inputs!$B$16/0.866)))</f>
        <v>0.0074550213653037</v>
      </c>
      <c r="MJ21" s="15" t="n">
        <f aca="false">(MG21-MH21-MI21)*(1-Inputs!$B$19)</f>
        <v>0.00347968781168932</v>
      </c>
      <c r="MK21" s="15" t="n">
        <f aca="false">(MD21+ME21+MF21+MH21+MI21+MJ21)*(1+Inputs!$B$27)</f>
        <v>0.308464751850247</v>
      </c>
      <c r="ML21" s="15" t="n">
        <f aca="false">Inputs!$B$52/(1-MK21-G21)</f>
        <v>193035.63160911</v>
      </c>
      <c r="MM21" s="15" t="n">
        <f aca="false">ML21/Inputs!$B$34</f>
        <v>321.72605268185</v>
      </c>
      <c r="MN21" s="15" t="n">
        <f aca="false">B21^2/MM21</f>
        <v>11.1896440154319</v>
      </c>
      <c r="MO21" s="15" t="n">
        <f aca="false">Inputs!$B$54*H21/(Inputs!$B$35*F21+E21*H21^2/(PI()*MN21*Inputs!$B$36))</f>
        <v>19.5975036724829</v>
      </c>
      <c r="MP21" s="15" t="n">
        <f aca="false">EXP(-Inputs!$B$11*Inputs!$B$14*Inputs!$B$17/(Inputs!$B$51*MO21*Inputs!$B$16))</f>
        <v>0.756513023237023</v>
      </c>
      <c r="MQ21" s="15" t="n">
        <f aca="false">Inputs!$B$50*Inputs!$B$18*MP21*Inputs!$B$19</f>
        <v>0.739207204856244</v>
      </c>
      <c r="MR21" s="15" t="n">
        <f aca="false">1-MQ21</f>
        <v>0.260792795143756</v>
      </c>
      <c r="MS21" s="15" t="n">
        <f aca="false">Inputs!$B$20*MR21</f>
        <v>0.00782378385431267</v>
      </c>
      <c r="MT21" s="15" t="n">
        <f aca="false">0.8*(1-Inputs!$B$50)*(MQ21-MS21)</f>
        <v>0.00176161595889262</v>
      </c>
      <c r="MU21" s="15" t="n">
        <f aca="false">MQ21-MS21-MT21</f>
        <v>0.729621805043039</v>
      </c>
      <c r="MV21" s="15" t="n">
        <f aca="false">MU21*(1-Inputs!$B$18*EXP(-Inputs!$B$21*Inputs!$B$14*Inputs!$B$17/(Inputs!$B$22*Inputs!$B$23*Inputs!$B$24*MO21*Inputs!$B$16))*Inputs!$B$19)</f>
        <v>0.0262292213397246</v>
      </c>
      <c r="MW21" s="15" t="n">
        <f aca="false">(MU21-MV21)*(1-EXP(-Inputs!$B$25*Inputs!$B$14*Inputs!$B$17*Inputs!$B$26/(MO21*Inputs!$B$16/0.866)))</f>
        <v>0.00745502136530018</v>
      </c>
      <c r="MX21" s="15" t="n">
        <f aca="false">(MU21-MV21-MW21)*(1-Inputs!$B$19)</f>
        <v>0.00347968781169007</v>
      </c>
      <c r="MY21" s="15" t="n">
        <f aca="false">(MR21+MS21+MT21+MV21+MW21+MX21)*(1+Inputs!$B$27)</f>
        <v>0.308464751850097</v>
      </c>
      <c r="MZ21" s="15" t="n">
        <f aca="false">Inputs!$B$52/(1-MY21-G21)</f>
        <v>193035.631608939</v>
      </c>
      <c r="NA21" s="15" t="n">
        <f aca="false">MZ21/Inputs!$B$34</f>
        <v>321.726052681564</v>
      </c>
      <c r="NB21" s="15" t="n">
        <f aca="false">B21^2/NA21</f>
        <v>11.1896440154419</v>
      </c>
      <c r="NC21" s="15" t="n">
        <f aca="false">Inputs!$B$54*H21/(Inputs!$B$35*F21+E21*H21^2/(PI()*NB21*Inputs!$B$36))</f>
        <v>19.5975036724875</v>
      </c>
      <c r="ND21" s="15" t="n">
        <f aca="false">EXP(-Inputs!$B$11*Inputs!$B$14*Inputs!$B$17/(Inputs!$B$51*NC21*Inputs!$B$16))</f>
        <v>0.756513023237073</v>
      </c>
      <c r="NE21" s="15" t="n">
        <f aca="false">Inputs!$B$50*Inputs!$B$18*ND21*Inputs!$B$19</f>
        <v>0.739207204856293</v>
      </c>
      <c r="NF21" s="15" t="n">
        <f aca="false">1-NE21</f>
        <v>0.260792795143707</v>
      </c>
      <c r="NG21" s="15" t="n">
        <f aca="false">Inputs!$B$20*NF21</f>
        <v>0.0078237838543112</v>
      </c>
      <c r="NH21" s="15" t="n">
        <f aca="false">0.8*(1-Inputs!$B$50)*(NE21-NG21)</f>
        <v>0.00176161595889274</v>
      </c>
      <c r="NI21" s="15" t="n">
        <f aca="false">NE21-NG21-NH21</f>
        <v>0.729621805043089</v>
      </c>
      <c r="NJ21" s="15" t="n">
        <f aca="false">NI21*(1-Inputs!$B$18*EXP(-Inputs!$B$21*Inputs!$B$14*Inputs!$B$17/(Inputs!$B$22*Inputs!$B$23*Inputs!$B$24*NC21*Inputs!$B$16))*Inputs!$B$19)</f>
        <v>0.0262292213397237</v>
      </c>
      <c r="NK21" s="15" t="n">
        <f aca="false">(NI21-NJ21)*(1-EXP(-Inputs!$B$25*Inputs!$B$14*Inputs!$B$17*Inputs!$B$26/(NC21*Inputs!$B$16/0.866)))</f>
        <v>0.00745502136529901</v>
      </c>
      <c r="NL21" s="15" t="n">
        <f aca="false">(NI21-NJ21-NK21)*(1-Inputs!$B$19)</f>
        <v>0.00347968781169034</v>
      </c>
      <c r="NM21" s="15" t="n">
        <f aca="false">(NF21+NG21+NH21+NJ21+NK21+NL21)*(1+Inputs!$B$27)</f>
        <v>0.308464751850044</v>
      </c>
      <c r="NN21" s="15" t="n">
        <f aca="false">Inputs!$B$52/(1-NM21-G21)</f>
        <v>193035.631608879</v>
      </c>
    </row>
    <row r="22" customFormat="false" ht="15" hidden="false" customHeight="false" outlineLevel="0" collapsed="false">
      <c r="A22" s="21" t="s">
        <v>501</v>
      </c>
      <c r="B22" s="21" t="n">
        <v>60</v>
      </c>
      <c r="C22" s="22" t="n">
        <v>0.2</v>
      </c>
      <c r="D22" s="23" t="n">
        <f aca="false">B22*C22</f>
        <v>12</v>
      </c>
      <c r="E22" s="24" t="n">
        <f aca="false">IF(C22=0,1,(1+0.45*C22)/(1.04+2.81*C22))</f>
        <v>0.68039950062422</v>
      </c>
      <c r="F22" s="24" t="n">
        <f aca="false">1+Inputs!$B$42*D22</f>
        <v>1.06</v>
      </c>
      <c r="G22" s="25" t="n">
        <f aca="false">Inputs!$B$31+Inputs!$B$43*(B22/Inputs!$B$32-1)+Inputs!$B$44+Inputs!$B$45*D22</f>
        <v>0.524325</v>
      </c>
      <c r="H22" s="22" t="n">
        <f aca="false">Inputs!$B$38</f>
        <v>0.5</v>
      </c>
      <c r="I22" s="23" t="n">
        <f aca="false">Inputs!$B$40</f>
        <v>2.4</v>
      </c>
      <c r="J22" s="26" t="n">
        <f aca="false">NN22/Inputs!$B$34</f>
        <v>321.934319039321</v>
      </c>
      <c r="K22" s="23" t="n">
        <f aca="false">B22^2/J22</f>
        <v>11.1824051897999</v>
      </c>
      <c r="L22" s="23" t="n">
        <f aca="false">2*K22</f>
        <v>22.3648103795998</v>
      </c>
      <c r="M22" s="22" t="n">
        <f aca="false">NC22</f>
        <v>19.7486789357916</v>
      </c>
      <c r="N22" s="23" t="n">
        <f aca="false">B22/SQRT(E22)</f>
        <v>72.7393234386458</v>
      </c>
      <c r="O22" s="24" t="n">
        <f aca="false">NM22</f>
        <v>0.306774088279064</v>
      </c>
      <c r="P22" s="23" t="n">
        <f aca="false">NN22/1000</f>
        <v>193.160591423593</v>
      </c>
      <c r="Q22" s="23" t="n">
        <f aca="false">G22*NN22/1000</f>
        <v>101.278927098175</v>
      </c>
      <c r="R22" s="23" t="n">
        <f aca="false">NM22*NN22/1000</f>
        <v>59.2566643254175</v>
      </c>
      <c r="S22" s="23" t="n">
        <f aca="false">NM22*NN22/Inputs!$B$28/1000</f>
        <v>79.0088857672234</v>
      </c>
      <c r="T22" s="27" t="n">
        <f aca="false">R22/Sweep!$R$5-1</f>
        <v>-0.0518421176095254</v>
      </c>
      <c r="U22" s="27" t="n">
        <f aca="false">R22/SUMIFS(Sweep!$R:$R,Sweep!$A:$A,"Conventional",Sweep!$B:$B,B22)-1</f>
        <v>-0.123410990910531</v>
      </c>
      <c r="V22" s="26" t="n">
        <f aca="false">2*0.54*(J22/2)^1.5/SQRT(L22)*Inputs!$B$46*Inputs!$B$47</f>
        <v>43.6072477049623</v>
      </c>
      <c r="W22" s="28" t="n">
        <f aca="false">MIN(1,V22/S22)</f>
        <v>0.551928397439225</v>
      </c>
      <c r="X22" s="26" t="n">
        <f aca="false">1.23*SQRT(2*Inputs!$B$41*NN22*Inputs!$B$49/(1.225*J22*I22))/0.5144</f>
        <v>133.62967568068</v>
      </c>
      <c r="Y22" s="29" t="n">
        <f aca="false">(11000+6341.6*LN(0.36392/(2*Inputs!$B$50*Inputs!$B$18*(1+ND22)/2*Inputs!$B$34*Inputs!$B$49/((Inputs!$B$12*295.07)^2*H22))))/0.3048</f>
        <v>38564.3949748755</v>
      </c>
      <c r="Z22" s="26" t="n">
        <f aca="false">NN22-MZ22</f>
        <v>-1.57451722770929E-008</v>
      </c>
      <c r="AA22" s="30" t="str">
        <f aca="false">IF(ABS(NN22-MZ22)&lt;10,"Yes","No")</f>
        <v>Yes</v>
      </c>
      <c r="AC22" s="15" t="n">
        <f aca="false">Inputs!$B$52/(1-0.3154-G22)/Inputs!$B$34</f>
        <v>339.260645765091</v>
      </c>
      <c r="AD22" s="15" t="n">
        <f aca="false">B22^2/AC22</f>
        <v>10.6113103448276</v>
      </c>
      <c r="AE22" s="15" t="n">
        <f aca="false">Inputs!$B$54*H22/(Inputs!$B$35*F22+E22*H22^2/(PI()*AD22*Inputs!$B$36))</f>
        <v>19.4850159387125</v>
      </c>
      <c r="AF22" s="15" t="n">
        <f aca="false">EXP(-Inputs!$B$11*Inputs!$B$14*Inputs!$B$17/(Inputs!$B$51*AE22*Inputs!$B$16))</f>
        <v>0.755295350545537</v>
      </c>
      <c r="AG22" s="15" t="n">
        <f aca="false">Inputs!$B$50*Inputs!$B$18*AF22*Inputs!$B$19</f>
        <v>0.738017387365924</v>
      </c>
      <c r="AH22" s="15" t="n">
        <f aca="false">1-AG22</f>
        <v>0.261982612634076</v>
      </c>
      <c r="AI22" s="15" t="n">
        <f aca="false">Inputs!$B$20*AH22</f>
        <v>0.00785947837902228</v>
      </c>
      <c r="AJ22" s="15" t="n">
        <f aca="false">0.8*(1-Inputs!$B$50)*(AG22-AI22)</f>
        <v>0.00175866418084912</v>
      </c>
      <c r="AK22" s="15" t="n">
        <f aca="false">AG22-AI22-AJ22</f>
        <v>0.728399244806053</v>
      </c>
      <c r="AL22" s="15" t="n">
        <f aca="false">AK22*(1-Inputs!$B$18*EXP(-Inputs!$B$21*Inputs!$B$14*Inputs!$B$17/(Inputs!$B$22*Inputs!$B$23*Inputs!$B$24*AE22*Inputs!$B$16))*Inputs!$B$19)</f>
        <v>0.0262520968056948</v>
      </c>
      <c r="AM22" s="15" t="n">
        <f aca="false">(AK22-AL22)*(1-EXP(-Inputs!$B$25*Inputs!$B$14*Inputs!$B$17*Inputs!$B$26/(AE22*Inputs!$B$16/0.866)))</f>
        <v>0.00748455353528175</v>
      </c>
      <c r="AN22" s="15" t="n">
        <f aca="false">(AK22-AL22-AM22)*(1-Inputs!$B$19)</f>
        <v>0.00347331297232538</v>
      </c>
      <c r="AO22" s="15" t="n">
        <f aca="false">(AH22+AI22+AJ22+AL22+AM22+AN22)*(1+Inputs!$B$27)</f>
        <v>0.309737150662771</v>
      </c>
      <c r="AP22" s="15" t="n">
        <f aca="false">Inputs!$B$52/(1-AO22-G22)</f>
        <v>196609.755582028</v>
      </c>
      <c r="AQ22" s="15" t="n">
        <f aca="false">AP22/Inputs!$B$34</f>
        <v>327.682925970047</v>
      </c>
      <c r="AR22" s="15" t="n">
        <f aca="false">B22^2/AQ22</f>
        <v>10.9862300250855</v>
      </c>
      <c r="AS22" s="15" t="n">
        <f aca="false">Inputs!$B$54*H22/(Inputs!$B$35*F22+E22*H22^2/(PI()*AR22*Inputs!$B$36))</f>
        <v>19.660412182532</v>
      </c>
      <c r="AT22" s="15" t="n">
        <f aca="false">EXP(-Inputs!$B$11*Inputs!$B$14*Inputs!$B$17/(Inputs!$B$51*AS22*Inputs!$B$16))</f>
        <v>0.757188774070631</v>
      </c>
      <c r="AU22" s="15" t="n">
        <f aca="false">Inputs!$B$50*Inputs!$B$18*AT22*Inputs!$B$19</f>
        <v>0.739867497368796</v>
      </c>
      <c r="AV22" s="15" t="n">
        <f aca="false">1-AU22</f>
        <v>0.260132502631204</v>
      </c>
      <c r="AW22" s="15" t="n">
        <f aca="false">Inputs!$B$20*AV22</f>
        <v>0.00780397507893612</v>
      </c>
      <c r="AX22" s="15" t="n">
        <f aca="false">0.8*(1-Inputs!$B$50)*(AU22-AW22)</f>
        <v>0.00176325405629554</v>
      </c>
      <c r="AY22" s="15" t="n">
        <f aca="false">AU22-AW22-AX22</f>
        <v>0.730300268233564</v>
      </c>
      <c r="AZ22" s="15" t="n">
        <f aca="false">AY22*(1-Inputs!$B$18*EXP(-Inputs!$B$21*Inputs!$B$14*Inputs!$B$17/(Inputs!$B$22*Inputs!$B$23*Inputs!$B$24*AS22*Inputs!$B$16))*Inputs!$B$19)</f>
        <v>0.0262164735178857</v>
      </c>
      <c r="BA22" s="15" t="n">
        <f aca="false">(AY22-AZ22)*(1-EXP(-Inputs!$B$25*Inputs!$B$14*Inputs!$B$17*Inputs!$B$26/(AS22*Inputs!$B$16/0.866)))</f>
        <v>0.00743859617260503</v>
      </c>
      <c r="BB22" s="15" t="n">
        <f aca="false">(AY22-AZ22-BA22)*(1-Inputs!$B$19)</f>
        <v>0.00348322599271537</v>
      </c>
      <c r="BC22" s="15" t="n">
        <f aca="false">(AV22+AW22+AX22+AZ22+BA22+BB22)*(1+Inputs!$B$27)</f>
        <v>0.307758541531991</v>
      </c>
      <c r="BD22" s="15" t="n">
        <f aca="false">Inputs!$B$52/(1-BC22-G22)</f>
        <v>194293.044872761</v>
      </c>
      <c r="BE22" s="15" t="n">
        <f aca="false">BD22/Inputs!$B$34</f>
        <v>323.821741454601</v>
      </c>
      <c r="BF22" s="15" t="n">
        <f aca="false">B22^2/BE22</f>
        <v>11.1172275951234</v>
      </c>
      <c r="BG22" s="15" t="n">
        <f aca="false">Inputs!$B$54*H22/(Inputs!$B$35*F22+E22*H22^2/(PI()*BF22*Inputs!$B$36))</f>
        <v>19.7196113221885</v>
      </c>
      <c r="BH22" s="15" t="n">
        <f aca="false">EXP(-Inputs!$B$11*Inputs!$B$14*Inputs!$B$17/(Inputs!$B$51*BG22*Inputs!$B$16))</f>
        <v>0.757821288131151</v>
      </c>
      <c r="BI22" s="15" t="n">
        <f aca="false">Inputs!$B$50*Inputs!$B$18*BH22*Inputs!$B$19</f>
        <v>0.740485542182762</v>
      </c>
      <c r="BJ22" s="15" t="n">
        <f aca="false">1-BI22</f>
        <v>0.259514457817238</v>
      </c>
      <c r="BK22" s="15" t="n">
        <f aca="false">Inputs!$B$20*BJ22</f>
        <v>0.00778543373451714</v>
      </c>
      <c r="BL22" s="15" t="n">
        <f aca="false">0.8*(1-Inputs!$B$50)*(BI22-BK22)</f>
        <v>0.00176478734280931</v>
      </c>
      <c r="BM22" s="15" t="n">
        <f aca="false">BI22-BK22-BL22</f>
        <v>0.730935321105436</v>
      </c>
      <c r="BN22" s="15" t="n">
        <f aca="false">BM22*(1-Inputs!$B$18*EXP(-Inputs!$B$21*Inputs!$B$14*Inputs!$B$17/(Inputs!$B$22*Inputs!$B$23*Inputs!$B$24*BG22*Inputs!$B$16))*Inputs!$B$19)</f>
        <v>0.0262045070916115</v>
      </c>
      <c r="BO22" s="15" t="n">
        <f aca="false">(BM22-BN22)*(1-EXP(-Inputs!$B$25*Inputs!$B$14*Inputs!$B$17*Inputs!$B$26/(BG22*Inputs!$B$16/0.866)))</f>
        <v>0.00742319850733291</v>
      </c>
      <c r="BP22" s="15" t="n">
        <f aca="false">(BM22-BN22-BO22)*(1-Inputs!$B$19)</f>
        <v>0.00348653807753246</v>
      </c>
      <c r="BQ22" s="15" t="n">
        <f aca="false">(BJ22+BK22+BL22+BN22+BO22+BP22)*(1+Inputs!$B$27)</f>
        <v>0.307097459338755</v>
      </c>
      <c r="BR22" s="15" t="n">
        <f aca="false">Inputs!$B$52/(1-BQ22-G22)</f>
        <v>193531.118510974</v>
      </c>
      <c r="BS22" s="15" t="n">
        <f aca="false">BR22/Inputs!$B$34</f>
        <v>322.551864184956</v>
      </c>
      <c r="BT22" s="15" t="n">
        <f aca="false">B22^2/BS22</f>
        <v>11.1609957955031</v>
      </c>
      <c r="BU22" s="15" t="n">
        <f aca="false">Inputs!$B$54*H22/(Inputs!$B$35*F22+E22*H22^2/(PI()*BT22*Inputs!$B$36))</f>
        <v>19.7391588848061</v>
      </c>
      <c r="BV22" s="15" t="n">
        <f aca="false">EXP(-Inputs!$B$11*Inputs!$B$14*Inputs!$B$17/(Inputs!$B$51*BU22*Inputs!$B$16))</f>
        <v>0.758029426581064</v>
      </c>
      <c r="BW22" s="15" t="n">
        <f aca="false">Inputs!$B$50*Inputs!$B$18*BV22*Inputs!$B$19</f>
        <v>0.74068891930524</v>
      </c>
      <c r="BX22" s="15" t="n">
        <f aca="false">1-BW22</f>
        <v>0.259311080694761</v>
      </c>
      <c r="BY22" s="15" t="n">
        <f aca="false">Inputs!$B$20*BX22</f>
        <v>0.00777933242084281</v>
      </c>
      <c r="BZ22" s="15" t="n">
        <f aca="false">0.8*(1-Inputs!$B$50)*(BW22-BY22)</f>
        <v>0.00176529189424645</v>
      </c>
      <c r="CA22" s="15" t="n">
        <f aca="false">BW22-BY22-BZ22</f>
        <v>0.73114429499015</v>
      </c>
      <c r="CB22" s="15" t="n">
        <f aca="false">CA22*(1-Inputs!$B$18*EXP(-Inputs!$B$21*Inputs!$B$14*Inputs!$B$17/(Inputs!$B$22*Inputs!$B$23*Inputs!$B$24*BU22*Inputs!$B$16))*Inputs!$B$19)</f>
        <v>0.0262005621177194</v>
      </c>
      <c r="CC22" s="15" t="n">
        <f aca="false">(CA22-CB22)*(1-EXP(-Inputs!$B$25*Inputs!$B$14*Inputs!$B$17*Inputs!$B$26/(BU22*Inputs!$B$16/0.866)))</f>
        <v>0.00741812672222882</v>
      </c>
      <c r="CD22" s="15" t="n">
        <f aca="false">(CA22-CB22-CC22)*(1-Inputs!$B$19)</f>
        <v>0.00348762803075101</v>
      </c>
      <c r="CE22" s="15" t="n">
        <f aca="false">(BX22+BY22+BZ22+CB22+CC22+CD22)*(1+Inputs!$B$27)</f>
        <v>0.306879907946191</v>
      </c>
      <c r="CF22" s="15" t="n">
        <f aca="false">Inputs!$B$52/(1-CE22-G22)</f>
        <v>193281.686114426</v>
      </c>
      <c r="CG22" s="15" t="n">
        <f aca="false">CF22/Inputs!$B$34</f>
        <v>322.136143524043</v>
      </c>
      <c r="CH22" s="15" t="n">
        <f aca="false">B22^2/CG22</f>
        <v>11.1753991980453</v>
      </c>
      <c r="CI22" s="15" t="n">
        <f aca="false">Inputs!$B$54*H22/(Inputs!$B$35*F22+E22*H22^2/(PI()*CH22*Inputs!$B$36))</f>
        <v>19.7455666077036</v>
      </c>
      <c r="CJ22" s="15" t="n">
        <f aca="false">EXP(-Inputs!$B$11*Inputs!$B$14*Inputs!$B$17/(Inputs!$B$51*CI22*Inputs!$B$16))</f>
        <v>0.758097577439102</v>
      </c>
      <c r="CK22" s="15" t="n">
        <f aca="false">Inputs!$B$50*Inputs!$B$18*CJ22*Inputs!$B$19</f>
        <v>0.740755511159883</v>
      </c>
      <c r="CL22" s="15" t="n">
        <f aca="false">1-CK22</f>
        <v>0.259244488840118</v>
      </c>
      <c r="CM22" s="15" t="n">
        <f aca="false">Inputs!$B$20*CL22</f>
        <v>0.00777733466520353</v>
      </c>
      <c r="CN22" s="15" t="n">
        <f aca="false">0.8*(1-Inputs!$B$50)*(CK22-CM22)</f>
        <v>0.0017654570997305</v>
      </c>
      <c r="CO22" s="15" t="n">
        <f aca="false">CK22-CM22-CN22</f>
        <v>0.731212719394949</v>
      </c>
      <c r="CP22" s="15" t="n">
        <f aca="false">CO22*(1-Inputs!$B$18*EXP(-Inputs!$B$21*Inputs!$B$14*Inputs!$B$17/(Inputs!$B$22*Inputs!$B$23*Inputs!$B$24*CI22*Inputs!$B$16))*Inputs!$B$19)</f>
        <v>0.0261992696347134</v>
      </c>
      <c r="CQ22" s="15" t="n">
        <f aca="false">(CO22-CP22)*(1-EXP(-Inputs!$B$25*Inputs!$B$14*Inputs!$B$17*Inputs!$B$26/(CI22*Inputs!$B$16/0.866)))</f>
        <v>0.00741646553334657</v>
      </c>
      <c r="CR22" s="15" t="n">
        <f aca="false">(CO22-CP22-CQ22)*(1-Inputs!$B$19)</f>
        <v>0.00348798492113445</v>
      </c>
      <c r="CS22" s="15" t="n">
        <f aca="false">(CL22+CM22+CN22+CP22+CQ22+CR22)*(1+Inputs!$B$27)</f>
        <v>0.306808673696329</v>
      </c>
      <c r="CT22" s="15" t="n">
        <f aca="false">Inputs!$B$52/(1-CS22-G22)</f>
        <v>193200.152535626</v>
      </c>
      <c r="CU22" s="15" t="n">
        <f aca="false">CT22/Inputs!$B$34</f>
        <v>322.000254226043</v>
      </c>
      <c r="CV22" s="15" t="n">
        <f aca="false">B22^2/CU22</f>
        <v>11.1801153966569</v>
      </c>
      <c r="CW22" s="15" t="n">
        <f aca="false">Inputs!$B$54*H22/(Inputs!$B$35*F22+E22*H22^2/(PI()*CV22*Inputs!$B$36))</f>
        <v>19.7476620437563</v>
      </c>
      <c r="CX22" s="15" t="n">
        <f aca="false">EXP(-Inputs!$B$11*Inputs!$B$14*Inputs!$B$17/(Inputs!$B$51*CW22*Inputs!$B$16))</f>
        <v>0.758119855679041</v>
      </c>
      <c r="CY22" s="15" t="n">
        <f aca="false">Inputs!$B$50*Inputs!$B$18*CX22*Inputs!$B$19</f>
        <v>0.740777279767915</v>
      </c>
      <c r="CZ22" s="15" t="n">
        <f aca="false">1-CY22</f>
        <v>0.259222720232085</v>
      </c>
      <c r="DA22" s="15" t="n">
        <f aca="false">Inputs!$B$20*CZ22</f>
        <v>0.00777668160696255</v>
      </c>
      <c r="DB22" s="15" t="n">
        <f aca="false">0.8*(1-Inputs!$B$50)*(CY22-DA22)</f>
        <v>0.00176551110473526</v>
      </c>
      <c r="DC22" s="15" t="n">
        <f aca="false">CY22-DA22-DB22</f>
        <v>0.731235087056217</v>
      </c>
      <c r="DD22" s="15" t="n">
        <f aca="false">DC22*(1-Inputs!$B$18*EXP(-Inputs!$B$21*Inputs!$B$14*Inputs!$B$17/(Inputs!$B$22*Inputs!$B$23*Inputs!$B$24*CW22*Inputs!$B$16))*Inputs!$B$19)</f>
        <v>0.0261988470439523</v>
      </c>
      <c r="DE22" s="15" t="n">
        <f aca="false">(DC22-DD22)*(1-EXP(-Inputs!$B$25*Inputs!$B$14*Inputs!$B$17*Inputs!$B$26/(CW22*Inputs!$B$16/0.866)))</f>
        <v>0.00741592244048224</v>
      </c>
      <c r="DF22" s="15" t="n">
        <f aca="false">(DC22-DD22-DE22)*(1-Inputs!$B$19)</f>
        <v>0.00348810158785892</v>
      </c>
      <c r="DG22" s="15" t="n">
        <f aca="false">(CZ22+DA22+DB22+DD22+DE22+DF22)*(1+Inputs!$B$27)</f>
        <v>0.306785387368124</v>
      </c>
      <c r="DH22" s="15" t="n">
        <f aca="false">Inputs!$B$52/(1-DG22-G22)</f>
        <v>193173.514294878</v>
      </c>
      <c r="DI22" s="15" t="n">
        <f aca="false">DH22/Inputs!$B$34</f>
        <v>321.95585715813</v>
      </c>
      <c r="DJ22" s="15" t="n">
        <f aca="false">B22^2/DI22</f>
        <v>11.1816571121794</v>
      </c>
      <c r="DK22" s="15" t="n">
        <f aca="false">Inputs!$B$54*H22/(Inputs!$B$35*F22+E22*H22^2/(PI()*DJ22*Inputs!$B$36))</f>
        <v>19.7483467504753</v>
      </c>
      <c r="DL22" s="15" t="n">
        <f aca="false">EXP(-Inputs!$B$11*Inputs!$B$14*Inputs!$B$17/(Inputs!$B$51*DK22*Inputs!$B$16))</f>
        <v>0.758127134455423</v>
      </c>
      <c r="DM22" s="15" t="n">
        <f aca="false">Inputs!$B$50*Inputs!$B$18*DL22*Inputs!$B$19</f>
        <v>0.740784392036678</v>
      </c>
      <c r="DN22" s="15" t="n">
        <f aca="false">1-DM22</f>
        <v>0.259215607963322</v>
      </c>
      <c r="DO22" s="15" t="n">
        <f aca="false">Inputs!$B$20*DN22</f>
        <v>0.00777646823889966</v>
      </c>
      <c r="DP22" s="15" t="n">
        <f aca="false">0.8*(1-Inputs!$B$50)*(DM22-DO22)</f>
        <v>0.00176552874932272</v>
      </c>
      <c r="DQ22" s="15" t="n">
        <f aca="false">DM22-DO22-DP22</f>
        <v>0.731242395048456</v>
      </c>
      <c r="DR22" s="15" t="n">
        <f aca="false">DQ22*(1-Inputs!$B$18*EXP(-Inputs!$B$21*Inputs!$B$14*Inputs!$B$17/(Inputs!$B$22*Inputs!$B$23*Inputs!$B$24*DK22*Inputs!$B$16))*Inputs!$B$19)</f>
        <v>0.0261987089656386</v>
      </c>
      <c r="DS22" s="15" t="n">
        <f aca="false">(DQ22-DR22)*(1-EXP(-Inputs!$B$25*Inputs!$B$14*Inputs!$B$17*Inputs!$B$26/(DK22*Inputs!$B$16/0.866)))</f>
        <v>0.00741574499437453</v>
      </c>
      <c r="DT22" s="15" t="n">
        <f aca="false">(DQ22-DR22-DS22)*(1-Inputs!$B$19)</f>
        <v>0.00348813970544222</v>
      </c>
      <c r="DU22" s="15" t="n">
        <f aca="false">(DN22+DO22+DP22+DR22+DS22+DT22)*(1+Inputs!$B$27)</f>
        <v>0.306777779212851</v>
      </c>
      <c r="DV22" s="15" t="n">
        <f aca="false">Inputs!$B$52/(1-DU22-G22)</f>
        <v>193164.812588096</v>
      </c>
      <c r="DW22" s="15" t="n">
        <f aca="false">DV22/Inputs!$B$34</f>
        <v>321.941354313494</v>
      </c>
      <c r="DX22" s="15" t="n">
        <f aca="false">B22^2/DW22</f>
        <v>11.1821608245285</v>
      </c>
      <c r="DY22" s="15" t="n">
        <f aca="false">Inputs!$B$54*H22/(Inputs!$B$35*F22+E22*H22^2/(PI()*DX22*Inputs!$B$36))</f>
        <v>19.7485704285789</v>
      </c>
      <c r="DZ22" s="15" t="n">
        <f aca="false">EXP(-Inputs!$B$11*Inputs!$B$14*Inputs!$B$17/(Inputs!$B$51*DY22*Inputs!$B$16))</f>
        <v>0.758129512171796</v>
      </c>
      <c r="EA22" s="15" t="n">
        <f aca="false">Inputs!$B$50*Inputs!$B$18*DZ22*Inputs!$B$19</f>
        <v>0.740786715360957</v>
      </c>
      <c r="EB22" s="15" t="n">
        <f aca="false">1-EA22</f>
        <v>0.259213284639043</v>
      </c>
      <c r="EC22" s="15" t="n">
        <f aca="false">Inputs!$B$20*EB22</f>
        <v>0.00777639853917129</v>
      </c>
      <c r="ED22" s="15" t="n">
        <f aca="false">0.8*(1-Inputs!$B$50)*(EA22-EC22)</f>
        <v>0.00176553451317949</v>
      </c>
      <c r="EE22" s="15" t="n">
        <f aca="false">EA22-EC22-ED22</f>
        <v>0.731244782308606</v>
      </c>
      <c r="EF22" s="15" t="n">
        <f aca="false">EE22*(1-Inputs!$B$18*EXP(-Inputs!$B$21*Inputs!$B$14*Inputs!$B$17/(Inputs!$B$22*Inputs!$B$23*Inputs!$B$24*DY22*Inputs!$B$16))*Inputs!$B$19)</f>
        <v>0.0261986638594341</v>
      </c>
      <c r="EG22" s="15" t="n">
        <f aca="false">(EE22-EF22)*(1-EXP(-Inputs!$B$25*Inputs!$B$14*Inputs!$B$17*Inputs!$B$26/(DY22*Inputs!$B$16/0.866)))</f>
        <v>0.00741568702841748</v>
      </c>
      <c r="EH22" s="15" t="n">
        <f aca="false">(EE22-EF22-EG22)*(1-Inputs!$B$19)</f>
        <v>0.00348815215710378</v>
      </c>
      <c r="EI22" s="15" t="n">
        <f aca="false">(EB22+EC22+ED22+EF22+EG22+EH22)*(1+Inputs!$B$27)</f>
        <v>0.306775293898558</v>
      </c>
      <c r="EJ22" s="15" t="n">
        <f aca="false">Inputs!$B$52/(1-EI22-G22)</f>
        <v>193161.97021921</v>
      </c>
      <c r="EK22" s="15" t="n">
        <f aca="false">EJ22/Inputs!$B$34</f>
        <v>321.936617032016</v>
      </c>
      <c r="EL22" s="15" t="n">
        <f aca="false">B22^2/EK22</f>
        <v>11.1823253694748</v>
      </c>
      <c r="EM22" s="15" t="n">
        <f aca="false">Inputs!$B$54*H22/(Inputs!$B$35*F22+E22*H22^2/(PI()*EL22*Inputs!$B$36))</f>
        <v>19.7486434930076</v>
      </c>
      <c r="EN22" s="15" t="n">
        <f aca="false">EXP(-Inputs!$B$11*Inputs!$B$14*Inputs!$B$17/(Inputs!$B$51*EM22*Inputs!$B$16))</f>
        <v>0.758130288842542</v>
      </c>
      <c r="EO22" s="15" t="n">
        <f aca="false">Inputs!$B$50*Inputs!$B$18*EN22*Inputs!$B$19</f>
        <v>0.740787474264762</v>
      </c>
      <c r="EP22" s="15" t="n">
        <f aca="false">1-EO22</f>
        <v>0.259212525735238</v>
      </c>
      <c r="EQ22" s="15" t="n">
        <f aca="false">Inputs!$B$20*EP22</f>
        <v>0.00777637577205715</v>
      </c>
      <c r="ER22" s="15" t="n">
        <f aca="false">0.8*(1-Inputs!$B$50)*(EO22-EQ22)</f>
        <v>0.00176553639591832</v>
      </c>
      <c r="ES22" s="15" t="n">
        <f aca="false">EO22-EQ22-ER22</f>
        <v>0.731245562096786</v>
      </c>
      <c r="ET22" s="15" t="n">
        <f aca="false">ES22*(1-Inputs!$B$18*EXP(-Inputs!$B$21*Inputs!$B$14*Inputs!$B$17/(Inputs!$B$22*Inputs!$B$23*Inputs!$B$24*EM22*Inputs!$B$16))*Inputs!$B$19)</f>
        <v>0.0261986491255866</v>
      </c>
      <c r="EU22" s="15" t="n">
        <f aca="false">(ES22-ET22)*(1-EXP(-Inputs!$B$25*Inputs!$B$14*Inputs!$B$17*Inputs!$B$26/(EM22*Inputs!$B$16/0.866)))</f>
        <v>0.00741566809401967</v>
      </c>
      <c r="EV22" s="15" t="n">
        <f aca="false">(ES22-ET22-EU22)*(1-Inputs!$B$19)</f>
        <v>0.0034881562243859</v>
      </c>
      <c r="EW22" s="15" t="n">
        <f aca="false">(EP22+EQ22+ER22+ET22+EU22+EV22)*(1+Inputs!$B$27)</f>
        <v>0.306774482081248</v>
      </c>
      <c r="EX22" s="15" t="n">
        <f aca="false">Inputs!$B$52/(1-EW22-G22)</f>
        <v>193161.041789664</v>
      </c>
      <c r="EY22" s="15" t="n">
        <f aca="false">EX22/Inputs!$B$34</f>
        <v>321.93506964944</v>
      </c>
      <c r="EZ22" s="15" t="n">
        <f aca="false">B22^2/EY22</f>
        <v>11.1823791173795</v>
      </c>
      <c r="FA22" s="15" t="n">
        <f aca="false">Inputs!$B$54*H22/(Inputs!$B$35*F22+E22*H22^2/(PI()*EZ22*Inputs!$B$36))</f>
        <v>19.7486673588428</v>
      </c>
      <c r="FB22" s="15" t="n">
        <f aca="false">EXP(-Inputs!$B$11*Inputs!$B$14*Inputs!$B$17/(Inputs!$B$51*FA22*Inputs!$B$16))</f>
        <v>0.758130542533948</v>
      </c>
      <c r="FC22" s="15" t="n">
        <f aca="false">Inputs!$B$50*Inputs!$B$18*FB22*Inputs!$B$19</f>
        <v>0.740787722152781</v>
      </c>
      <c r="FD22" s="15" t="n">
        <f aca="false">1-FC22</f>
        <v>0.259212277847219</v>
      </c>
      <c r="FE22" s="15" t="n">
        <f aca="false">Inputs!$B$20*FD22</f>
        <v>0.00777636833541658</v>
      </c>
      <c r="FF22" s="15" t="n">
        <f aca="false">0.8*(1-Inputs!$B$50)*(FC22-FE22)</f>
        <v>0.00176553701089533</v>
      </c>
      <c r="FG22" s="15" t="n">
        <f aca="false">FC22-FE22-FF22</f>
        <v>0.731245816806469</v>
      </c>
      <c r="FH22" s="15" t="n">
        <f aca="false">FG22*(1-Inputs!$B$18*EXP(-Inputs!$B$21*Inputs!$B$14*Inputs!$B$17/(Inputs!$B$22*Inputs!$B$23*Inputs!$B$24*FA22*Inputs!$B$16))*Inputs!$B$19)</f>
        <v>0.0261986443129181</v>
      </c>
      <c r="FI22" s="15" t="n">
        <f aca="false">(FG22-FH22)*(1-EXP(-Inputs!$B$25*Inputs!$B$14*Inputs!$B$17*Inputs!$B$26/(FA22*Inputs!$B$16/0.866)))</f>
        <v>0.0074156619092886</v>
      </c>
      <c r="FJ22" s="15" t="n">
        <f aca="false">(FG22-FH22-FI22)*(1-Inputs!$B$19)</f>
        <v>0.00348815755292131</v>
      </c>
      <c r="FK22" s="15" t="n">
        <f aca="false">(FD22+FE22+FF22+FH22+FI22+FJ22)*(1+Inputs!$B$27)</f>
        <v>0.306774216909565</v>
      </c>
      <c r="FL22" s="15" t="n">
        <f aca="false">Inputs!$B$52/(1-FK22-G22)</f>
        <v>193160.738529741</v>
      </c>
      <c r="FM22" s="15" t="n">
        <f aca="false">FL22/Inputs!$B$34</f>
        <v>321.934564216235</v>
      </c>
      <c r="FN22" s="15" t="n">
        <f aca="false">B22^2/FM22</f>
        <v>11.1823966735736</v>
      </c>
      <c r="FO22" s="15" t="n">
        <f aca="false">Inputs!$B$54*H22/(Inputs!$B$35*F22+E22*H22^2/(PI()*FN22*Inputs!$B$36))</f>
        <v>19.7486751543325</v>
      </c>
      <c r="FP22" s="15" t="n">
        <f aca="false">EXP(-Inputs!$B$11*Inputs!$B$14*Inputs!$B$17/(Inputs!$B$51*FO22*Inputs!$B$16))</f>
        <v>0.758130625399097</v>
      </c>
      <c r="FQ22" s="15" t="n">
        <f aca="false">Inputs!$B$50*Inputs!$B$18*FP22*Inputs!$B$19</f>
        <v>0.740787803122326</v>
      </c>
      <c r="FR22" s="15" t="n">
        <f aca="false">1-FQ22</f>
        <v>0.259212196877674</v>
      </c>
      <c r="FS22" s="15" t="n">
        <f aca="false">Inputs!$B$20*FR22</f>
        <v>0.00777636590633022</v>
      </c>
      <c r="FT22" s="15" t="n">
        <f aca="false">0.8*(1-Inputs!$B$50)*(FQ22-FS22)</f>
        <v>0.00176553721176995</v>
      </c>
      <c r="FU22" s="15" t="n">
        <f aca="false">FQ22-FS22-FT22</f>
        <v>0.731245900004226</v>
      </c>
      <c r="FV22" s="15" t="n">
        <f aca="false">FU22*(1-Inputs!$B$18*EXP(-Inputs!$B$21*Inputs!$B$14*Inputs!$B$17/(Inputs!$B$22*Inputs!$B$23*Inputs!$B$24*FO22*Inputs!$B$16))*Inputs!$B$19)</f>
        <v>0.0261986427409185</v>
      </c>
      <c r="FW22" s="15" t="n">
        <f aca="false">(FU22-FV22)*(1-EXP(-Inputs!$B$25*Inputs!$B$14*Inputs!$B$17*Inputs!$B$26/(FO22*Inputs!$B$16/0.866)))</f>
        <v>0.00741565988912216</v>
      </c>
      <c r="FX22" s="15" t="n">
        <f aca="false">(FU22-FV22-FW22)*(1-Inputs!$B$19)</f>
        <v>0.00348815798687093</v>
      </c>
      <c r="FY22" s="15" t="n">
        <f aca="false">(FR22+FS22+FT22+FV22+FW22+FX22)*(1+Inputs!$B$27)</f>
        <v>0.306774130294524</v>
      </c>
      <c r="FZ22" s="15" t="n">
        <f aca="false">Inputs!$B$52/(1-FY22-G22)</f>
        <v>193160.639473855</v>
      </c>
      <c r="GA22" s="15" t="n">
        <f aca="false">FZ22/Inputs!$B$34</f>
        <v>321.934399123091</v>
      </c>
      <c r="GB22" s="15" t="n">
        <f aca="false">B22^2/GA22</f>
        <v>11.1824024080867</v>
      </c>
      <c r="GC22" s="15" t="n">
        <f aca="false">Inputs!$B$54*H22/(Inputs!$B$35*F22+E22*H22^2/(PI()*GB22*Inputs!$B$36))</f>
        <v>19.7486777006285</v>
      </c>
      <c r="GD22" s="15" t="n">
        <f aca="false">EXP(-Inputs!$B$11*Inputs!$B$14*Inputs!$B$17/(Inputs!$B$51*GC22*Inputs!$B$16))</f>
        <v>0.758130652465916</v>
      </c>
      <c r="GE22" s="15" t="n">
        <f aca="false">Inputs!$B$50*Inputs!$B$18*GD22*Inputs!$B$19</f>
        <v>0.740787829569971</v>
      </c>
      <c r="GF22" s="15" t="n">
        <f aca="false">1-GE22</f>
        <v>0.259212170430029</v>
      </c>
      <c r="GG22" s="15" t="n">
        <f aca="false">Inputs!$B$20*GF22</f>
        <v>0.00777636511290088</v>
      </c>
      <c r="GH22" s="15" t="n">
        <f aca="false">0.8*(1-Inputs!$B$50)*(GE22-GG22)</f>
        <v>0.00176553727738302</v>
      </c>
      <c r="GI22" s="15" t="n">
        <f aca="false">GE22-GG22-GH22</f>
        <v>0.731245927179687</v>
      </c>
      <c r="GJ22" s="15" t="n">
        <f aca="false">GI22*(1-Inputs!$B$18*EXP(-Inputs!$B$21*Inputs!$B$14*Inputs!$B$17/(Inputs!$B$22*Inputs!$B$23*Inputs!$B$24*GC22*Inputs!$B$16))*Inputs!$B$19)</f>
        <v>0.0261986422274452</v>
      </c>
      <c r="GK22" s="15" t="n">
        <f aca="false">(GI22-GJ22)*(1-EXP(-Inputs!$B$25*Inputs!$B$14*Inputs!$B$17*Inputs!$B$26/(GC22*Inputs!$B$16/0.866)))</f>
        <v>0.00741565922926109</v>
      </c>
      <c r="GL22" s="15" t="n">
        <f aca="false">(GI22-GJ22-GK22)*(1-Inputs!$B$19)</f>
        <v>0.00348815812861491</v>
      </c>
      <c r="GM22" s="15" t="n">
        <f aca="false">(GF22+GG22+GH22+GJ22+GK22+GL22)*(1+Inputs!$B$27)</f>
        <v>0.306774102002851</v>
      </c>
      <c r="GN22" s="15" t="n">
        <f aca="false">Inputs!$B$52/(1-GM22-G22)</f>
        <v>193160.607118565</v>
      </c>
      <c r="GO22" s="15" t="n">
        <f aca="false">GN22/Inputs!$B$34</f>
        <v>321.934345197608</v>
      </c>
      <c r="GP22" s="15" t="n">
        <f aca="false">B22^2/GO22</f>
        <v>11.1824042811905</v>
      </c>
      <c r="GQ22" s="15" t="n">
        <f aca="false">Inputs!$B$54*H22/(Inputs!$B$35*F22+E22*H22^2/(PI()*GP22*Inputs!$B$36))</f>
        <v>19.7486785323425</v>
      </c>
      <c r="GR22" s="15" t="n">
        <f aca="false">EXP(-Inputs!$B$11*Inputs!$B$14*Inputs!$B$17/(Inputs!$B$51*GQ22*Inputs!$B$16))</f>
        <v>0.758130661306934</v>
      </c>
      <c r="GS22" s="15" t="n">
        <f aca="false">Inputs!$B$50*Inputs!$B$18*GR22*Inputs!$B$19</f>
        <v>0.740787838208743</v>
      </c>
      <c r="GT22" s="15" t="n">
        <f aca="false">1-GS22</f>
        <v>0.259212161791257</v>
      </c>
      <c r="GU22" s="15" t="n">
        <f aca="false">Inputs!$B$20*GT22</f>
        <v>0.00777636485373771</v>
      </c>
      <c r="GV22" s="15" t="n">
        <f aca="false">0.8*(1-Inputs!$B$50)*(GS22-GU22)</f>
        <v>0.00176553729881465</v>
      </c>
      <c r="GW22" s="15" t="n">
        <f aca="false">GS22-GU22-GV22</f>
        <v>0.731245936056191</v>
      </c>
      <c r="GX22" s="15" t="n">
        <f aca="false">GW22*(1-Inputs!$B$18*EXP(-Inputs!$B$21*Inputs!$B$14*Inputs!$B$17/(Inputs!$B$22*Inputs!$B$23*Inputs!$B$24*GQ22*Inputs!$B$16))*Inputs!$B$19)</f>
        <v>0.026198642059726</v>
      </c>
      <c r="GY22" s="15" t="n">
        <f aca="false">(GW22-GX22)*(1-EXP(-Inputs!$B$25*Inputs!$B$14*Inputs!$B$17*Inputs!$B$26/(GQ22*Inputs!$B$16/0.866)))</f>
        <v>0.00741565901372618</v>
      </c>
      <c r="GZ22" s="15" t="n">
        <f aca="false">(GW22-GX22-GY22)*(1-Inputs!$B$19)</f>
        <v>0.0034881581749137</v>
      </c>
      <c r="HA22" s="15" t="n">
        <f aca="false">(GT22+GU22+GV22+GX22+GY22+GZ22)*(1+Inputs!$B$27)</f>
        <v>0.306774092761752</v>
      </c>
      <c r="HB22" s="15" t="n">
        <f aca="false">Inputs!$B$52/(1-HA22-G22)</f>
        <v>193160.596550141</v>
      </c>
      <c r="HC22" s="15" t="n">
        <f aca="false">HB22/Inputs!$B$34</f>
        <v>321.934327583568</v>
      </c>
      <c r="HD22" s="15" t="n">
        <f aca="false">B22^2/HC22</f>
        <v>11.182404893015</v>
      </c>
      <c r="HE22" s="15" t="n">
        <f aca="false">Inputs!$B$54*H22/(Inputs!$B$35*F22+E22*H22^2/(PI()*HD22*Inputs!$B$36))</f>
        <v>19.7486788040107</v>
      </c>
      <c r="HF22" s="15" t="n">
        <f aca="false">EXP(-Inputs!$B$11*Inputs!$B$14*Inputs!$B$17/(Inputs!$B$51*HE22*Inputs!$B$16))</f>
        <v>0.758130664194734</v>
      </c>
      <c r="HG22" s="15" t="n">
        <f aca="false">Inputs!$B$50*Inputs!$B$18*HF22*Inputs!$B$19</f>
        <v>0.740787841030483</v>
      </c>
      <c r="HH22" s="15" t="n">
        <f aca="false">1-HG22</f>
        <v>0.259212158969517</v>
      </c>
      <c r="HI22" s="15" t="n">
        <f aca="false">Inputs!$B$20*HH22</f>
        <v>0.00777636476908552</v>
      </c>
      <c r="HJ22" s="15" t="n">
        <f aca="false">0.8*(1-Inputs!$B$50)*(HG22-HI22)</f>
        <v>0.00176553730581501</v>
      </c>
      <c r="HK22" s="15" t="n">
        <f aca="false">HG22-HI22-HJ22</f>
        <v>0.731245938955582</v>
      </c>
      <c r="HL22" s="15" t="n">
        <f aca="false">HK22*(1-Inputs!$B$18*EXP(-Inputs!$B$21*Inputs!$B$14*Inputs!$B$17/(Inputs!$B$22*Inputs!$B$23*Inputs!$B$24*HE22*Inputs!$B$16))*Inputs!$B$19)</f>
        <v>0.0261986420049427</v>
      </c>
      <c r="HM22" s="15" t="n">
        <f aca="false">(HK22-HL22)*(1-EXP(-Inputs!$B$25*Inputs!$B$14*Inputs!$B$17*Inputs!$B$26/(HE22*Inputs!$B$16/0.866)))</f>
        <v>0.00741565894332462</v>
      </c>
      <c r="HN22" s="15" t="n">
        <f aca="false">(HK22-HL22-HM22)*(1-Inputs!$B$19)</f>
        <v>0.00348815819003658</v>
      </c>
      <c r="HO22" s="15" t="n">
        <f aca="false">(HH22+HI22+HJ22+HL22+HM22+HN22)*(1+Inputs!$B$27)</f>
        <v>0.30677408974327</v>
      </c>
      <c r="HP22" s="15" t="n">
        <f aca="false">Inputs!$B$52/(1-HO22-G22)</f>
        <v>193160.593098106</v>
      </c>
      <c r="HQ22" s="15" t="n">
        <f aca="false">HP22/Inputs!$B$34</f>
        <v>321.934321830177</v>
      </c>
      <c r="HR22" s="15" t="n">
        <f aca="false">B22^2/HQ22</f>
        <v>11.1824050928594</v>
      </c>
      <c r="HS22" s="15" t="n">
        <f aca="false">Inputs!$B$54*H22/(Inputs!$B$35*F22+E22*H22^2/(PI()*HR22*Inputs!$B$36))</f>
        <v>19.7486788927476</v>
      </c>
      <c r="HT22" s="15" t="n">
        <f aca="false">EXP(-Inputs!$B$11*Inputs!$B$14*Inputs!$B$17/(Inputs!$B$51*HS22*Inputs!$B$16))</f>
        <v>0.758130665137995</v>
      </c>
      <c r="HU22" s="15" t="n">
        <f aca="false">Inputs!$B$50*Inputs!$B$18*HT22*Inputs!$B$19</f>
        <v>0.740787841952166</v>
      </c>
      <c r="HV22" s="15" t="n">
        <f aca="false">1-HU22</f>
        <v>0.259212158047834</v>
      </c>
      <c r="HW22" s="15" t="n">
        <f aca="false">Inputs!$B$20*HV22</f>
        <v>0.00777636474143501</v>
      </c>
      <c r="HX22" s="15" t="n">
        <f aca="false">0.8*(1-Inputs!$B$50)*(HU22-HW22)</f>
        <v>0.00176553730810159</v>
      </c>
      <c r="HY22" s="15" t="n">
        <f aca="false">HU22-HW22-HX22</f>
        <v>0.73124593990263</v>
      </c>
      <c r="HZ22" s="15" t="n">
        <f aca="false">HY22*(1-Inputs!$B$18*EXP(-Inputs!$B$21*Inputs!$B$14*Inputs!$B$17/(Inputs!$B$22*Inputs!$B$23*Inputs!$B$24*HS22*Inputs!$B$16))*Inputs!$B$19)</f>
        <v>0.0261986419870485</v>
      </c>
      <c r="IA22" s="15" t="n">
        <f aca="false">(HY22-HZ22)*(1-EXP(-Inputs!$B$25*Inputs!$B$14*Inputs!$B$17*Inputs!$B$26/(HS22*Inputs!$B$16/0.866)))</f>
        <v>0.00741565892032882</v>
      </c>
      <c r="IB22" s="15" t="n">
        <f aca="false">(HY22-HZ22-IA22)*(1-Inputs!$B$19)</f>
        <v>0.00348815819497627</v>
      </c>
      <c r="IC22" s="15" t="n">
        <f aca="false">(HV22+HW22+HX22+HZ22+IA22+IB22)*(1+Inputs!$B$27)</f>
        <v>0.306774088757323</v>
      </c>
      <c r="ID22" s="15" t="n">
        <f aca="false">Inputs!$B$52/(1-IC22-G22)</f>
        <v>193160.591970545</v>
      </c>
      <c r="IE22" s="15" t="n">
        <f aca="false">ID22/Inputs!$B$34</f>
        <v>321.934319950909</v>
      </c>
      <c r="IF22" s="15" t="n">
        <f aca="false">B22^2/IE22</f>
        <v>11.1824051581359</v>
      </c>
      <c r="IG22" s="15" t="n">
        <f aca="false">Inputs!$B$54*H22/(Inputs!$B$35*F22+E22*H22^2/(PI()*IF22*Inputs!$B$36))</f>
        <v>19.7486789217323</v>
      </c>
      <c r="IH22" s="15" t="n">
        <f aca="false">EXP(-Inputs!$B$11*Inputs!$B$14*Inputs!$B$17/(Inputs!$B$51*IG22*Inputs!$B$16))</f>
        <v>0.758130665446099</v>
      </c>
      <c r="II22" s="15" t="n">
        <f aca="false">Inputs!$B$50*Inputs!$B$18*IH22*Inputs!$B$19</f>
        <v>0.740787842253222</v>
      </c>
      <c r="IJ22" s="15" t="n">
        <f aca="false">1-II22</f>
        <v>0.259212157746778</v>
      </c>
      <c r="IK22" s="15" t="n">
        <f aca="false">Inputs!$B$20*IJ22</f>
        <v>0.00777636473240334</v>
      </c>
      <c r="IL22" s="15" t="n">
        <f aca="false">0.8*(1-Inputs!$B$50)*(II22-IK22)</f>
        <v>0.00176553730884847</v>
      </c>
      <c r="IM22" s="15" t="n">
        <f aca="false">II22-IK22-IL22</f>
        <v>0.73124594021197</v>
      </c>
      <c r="IN22" s="15" t="n">
        <f aca="false">IM22*(1-Inputs!$B$18*EXP(-Inputs!$B$21*Inputs!$B$14*Inputs!$B$17/(Inputs!$B$22*Inputs!$B$23*Inputs!$B$24*IG22*Inputs!$B$16))*Inputs!$B$19)</f>
        <v>0.0261986419812036</v>
      </c>
      <c r="IO22" s="15" t="n">
        <f aca="false">(IM22-IN22)*(1-EXP(-Inputs!$B$25*Inputs!$B$14*Inputs!$B$17*Inputs!$B$26/(IG22*Inputs!$B$16/0.866)))</f>
        <v>0.00741565891281758</v>
      </c>
      <c r="IP22" s="15" t="n">
        <f aca="false">(IM22-IN22-IO22)*(1-Inputs!$B$19)</f>
        <v>0.00348815819658975</v>
      </c>
      <c r="IQ22" s="15" t="n">
        <f aca="false">(IJ22+IK22+IL22+IN22+IO22+IP22)*(1+Inputs!$B$27)</f>
        <v>0.306774088435277</v>
      </c>
      <c r="IR22" s="15" t="n">
        <f aca="false">Inputs!$B$52/(1-IQ22-G22)</f>
        <v>193160.591602242</v>
      </c>
      <c r="IS22" s="15" t="n">
        <f aca="false">IR22/Inputs!$B$34</f>
        <v>321.934319337071</v>
      </c>
      <c r="IT22" s="15" t="n">
        <f aca="false">B22^2/IS22</f>
        <v>11.1824051794576</v>
      </c>
      <c r="IU22" s="15" t="n">
        <f aca="false">Inputs!$B$54*H22/(Inputs!$B$35*F22+E22*H22^2/(PI()*IT22*Inputs!$B$36))</f>
        <v>19.7486789311997</v>
      </c>
      <c r="IV22" s="15" t="n">
        <f aca="false">EXP(-Inputs!$B$11*Inputs!$B$14*Inputs!$B$17/(Inputs!$B$51*IU22*Inputs!$B$16))</f>
        <v>0.758130665546737</v>
      </c>
      <c r="IW22" s="15" t="n">
        <f aca="false">Inputs!$B$50*Inputs!$B$18*IV22*Inputs!$B$19</f>
        <v>0.740787842351558</v>
      </c>
      <c r="IX22" s="15" t="n">
        <f aca="false">1-IW22</f>
        <v>0.259212157648442</v>
      </c>
      <c r="IY22" s="15" t="n">
        <f aca="false">Inputs!$B$20*IX22</f>
        <v>0.00777636472945327</v>
      </c>
      <c r="IZ22" s="15" t="n">
        <f aca="false">0.8*(1-Inputs!$B$50)*(IW22-IY22)</f>
        <v>0.00176553730909242</v>
      </c>
      <c r="JA22" s="15" t="n">
        <f aca="false">IW22-IY22-IZ22</f>
        <v>0.731245940313012</v>
      </c>
      <c r="JB22" s="15" t="n">
        <f aca="false">JA22*(1-Inputs!$B$18*EXP(-Inputs!$B$21*Inputs!$B$14*Inputs!$B$17/(Inputs!$B$22*Inputs!$B$23*Inputs!$B$24*IU22*Inputs!$B$16))*Inputs!$B$19)</f>
        <v>0.0261986419792944</v>
      </c>
      <c r="JC22" s="15" t="n">
        <f aca="false">(JA22-JB22)*(1-EXP(-Inputs!$B$25*Inputs!$B$14*Inputs!$B$17*Inputs!$B$26/(IU22*Inputs!$B$16/0.866)))</f>
        <v>0.00741565891036414</v>
      </c>
      <c r="JD22" s="15" t="n">
        <f aca="false">(JA22-JB22-JC22)*(1-Inputs!$B$19)</f>
        <v>0.00348815819711677</v>
      </c>
      <c r="JE22" s="15" t="n">
        <f aca="false">(IX22+IY22+IZ22+JB22+JC22+JD22)*(1+Inputs!$B$27)</f>
        <v>0.306774088330085</v>
      </c>
      <c r="JF22" s="15" t="n">
        <f aca="false">Inputs!$B$52/(1-JE22-G22)</f>
        <v>193160.591481941</v>
      </c>
      <c r="JG22" s="15" t="n">
        <f aca="false">JF22/Inputs!$B$34</f>
        <v>321.934319136569</v>
      </c>
      <c r="JH22" s="15" t="n">
        <f aca="false">B22^2/JG22</f>
        <v>11.182405186422</v>
      </c>
      <c r="JI22" s="15" t="n">
        <f aca="false">Inputs!$B$54*H22/(Inputs!$B$35*F22+E22*H22^2/(PI()*JH22*Inputs!$B$36))</f>
        <v>19.7486789342921</v>
      </c>
      <c r="JJ22" s="15" t="n">
        <f aca="false">EXP(-Inputs!$B$11*Inputs!$B$14*Inputs!$B$17/(Inputs!$B$51*JI22*Inputs!$B$16))</f>
        <v>0.758130665579609</v>
      </c>
      <c r="JK22" s="15" t="n">
        <f aca="false">Inputs!$B$50*Inputs!$B$18*JJ22*Inputs!$B$19</f>
        <v>0.740787842383678</v>
      </c>
      <c r="JL22" s="15" t="n">
        <f aca="false">1-JK22</f>
        <v>0.259212157616322</v>
      </c>
      <c r="JM22" s="15" t="n">
        <f aca="false">Inputs!$B$20*JL22</f>
        <v>0.00777636472848967</v>
      </c>
      <c r="JN22" s="15" t="n">
        <f aca="false">0.8*(1-Inputs!$B$50)*(JK22-JM22)</f>
        <v>0.00176553730917211</v>
      </c>
      <c r="JO22" s="15" t="n">
        <f aca="false">JK22-JM22-JN22</f>
        <v>0.731245940346016</v>
      </c>
      <c r="JP22" s="15" t="n">
        <f aca="false">JO22*(1-Inputs!$B$18*EXP(-Inputs!$B$21*Inputs!$B$14*Inputs!$B$17/(Inputs!$B$22*Inputs!$B$23*Inputs!$B$24*JI22*Inputs!$B$16))*Inputs!$B$19)</f>
        <v>0.0261986419786708</v>
      </c>
      <c r="JQ22" s="15" t="n">
        <f aca="false">(JO22-JP22)*(1-EXP(-Inputs!$B$25*Inputs!$B$14*Inputs!$B$17*Inputs!$B$26/(JI22*Inputs!$B$16/0.866)))</f>
        <v>0.00741565890956279</v>
      </c>
      <c r="JR22" s="15" t="n">
        <f aca="false">(JO22-JP22-JQ22)*(1-Inputs!$B$19)</f>
        <v>0.00348815819728892</v>
      </c>
      <c r="JS22" s="15" t="n">
        <f aca="false">(JL22+JM22+JN22+JP22+JQ22+JR22)*(1+Inputs!$B$27)</f>
        <v>0.306774088295725</v>
      </c>
      <c r="JT22" s="15" t="n">
        <f aca="false">Inputs!$B$52/(1-JS22-G22)</f>
        <v>193160.591442647</v>
      </c>
      <c r="JU22" s="15" t="n">
        <f aca="false">JT22/Inputs!$B$34</f>
        <v>321.934319071078</v>
      </c>
      <c r="JV22" s="15" t="n">
        <f aca="false">B22^2/JU22</f>
        <v>11.1824051886968</v>
      </c>
      <c r="JW22" s="15" t="n">
        <f aca="false">Inputs!$B$54*H22/(Inputs!$B$35*F22+E22*H22^2/(PI()*JV22*Inputs!$B$36))</f>
        <v>19.7486789353022</v>
      </c>
      <c r="JX22" s="15" t="n">
        <f aca="false">EXP(-Inputs!$B$11*Inputs!$B$14*Inputs!$B$17/(Inputs!$B$51*JW22*Inputs!$B$16))</f>
        <v>0.758130665590346</v>
      </c>
      <c r="JY22" s="15" t="n">
        <f aca="false">Inputs!$B$50*Inputs!$B$18*JX22*Inputs!$B$19</f>
        <v>0.740787842394169</v>
      </c>
      <c r="JZ22" s="15" t="n">
        <f aca="false">1-JY22</f>
        <v>0.259212157605831</v>
      </c>
      <c r="KA22" s="15" t="n">
        <f aca="false">Inputs!$B$20*JZ22</f>
        <v>0.00777636472817492</v>
      </c>
      <c r="KB22" s="15" t="n">
        <f aca="false">0.8*(1-Inputs!$B$50)*(JY22-KA22)</f>
        <v>0.00176553730919814</v>
      </c>
      <c r="KC22" s="15" t="n">
        <f aca="false">JY22-KA22-KB22</f>
        <v>0.731245940356796</v>
      </c>
      <c r="KD22" s="15" t="n">
        <f aca="false">KC22*(1-Inputs!$B$18*EXP(-Inputs!$B$21*Inputs!$B$14*Inputs!$B$17/(Inputs!$B$22*Inputs!$B$23*Inputs!$B$24*JW22*Inputs!$B$16))*Inputs!$B$19)</f>
        <v>0.0261986419784671</v>
      </c>
      <c r="KE22" s="15" t="n">
        <f aca="false">(KC22-KD22)*(1-EXP(-Inputs!$B$25*Inputs!$B$14*Inputs!$B$17*Inputs!$B$26/(JW22*Inputs!$B$16/0.866)))</f>
        <v>0.00741565890930103</v>
      </c>
      <c r="KF22" s="15" t="n">
        <f aca="false">(KC22-KD22-KE22)*(1-Inputs!$B$19)</f>
        <v>0.00348815819734514</v>
      </c>
      <c r="KG22" s="15" t="n">
        <f aca="false">(JZ22+KA22+KB22+KD22+KE22+KF22)*(1+Inputs!$B$27)</f>
        <v>0.306774088284502</v>
      </c>
      <c r="KH22" s="15" t="n">
        <f aca="false">Inputs!$B$52/(1-KG22-G22)</f>
        <v>193160.591429812</v>
      </c>
      <c r="KI22" s="15" t="n">
        <f aca="false">KH22/Inputs!$B$34</f>
        <v>321.934319049686</v>
      </c>
      <c r="KJ22" s="15" t="n">
        <f aca="false">B22^2/KI22</f>
        <v>11.1824051894399</v>
      </c>
      <c r="KK22" s="15" t="n">
        <f aca="false">Inputs!$B$54*H22/(Inputs!$B$35*F22+E22*H22^2/(PI()*KJ22*Inputs!$B$36))</f>
        <v>19.7486789356322</v>
      </c>
      <c r="KL22" s="15" t="n">
        <f aca="false">EXP(-Inputs!$B$11*Inputs!$B$14*Inputs!$B$17/(Inputs!$B$51*KK22*Inputs!$B$16))</f>
        <v>0.758130665593853</v>
      </c>
      <c r="KM22" s="15" t="n">
        <f aca="false">Inputs!$B$50*Inputs!$B$18*KL22*Inputs!$B$19</f>
        <v>0.740787842397596</v>
      </c>
      <c r="KN22" s="15" t="n">
        <f aca="false">1-KM22</f>
        <v>0.259212157602404</v>
      </c>
      <c r="KO22" s="15" t="n">
        <f aca="false">Inputs!$B$20*KN22</f>
        <v>0.00777636472807211</v>
      </c>
      <c r="KP22" s="15" t="n">
        <f aca="false">0.8*(1-Inputs!$B$50)*(KM22-KO22)</f>
        <v>0.00176553730920664</v>
      </c>
      <c r="KQ22" s="15" t="n">
        <f aca="false">KM22-KO22-KP22</f>
        <v>0.731245940360318</v>
      </c>
      <c r="KR22" s="15" t="n">
        <f aca="false">KQ22*(1-Inputs!$B$18*EXP(-Inputs!$B$21*Inputs!$B$14*Inputs!$B$17/(Inputs!$B$22*Inputs!$B$23*Inputs!$B$24*KK22*Inputs!$B$16))*Inputs!$B$19)</f>
        <v>0.0261986419784005</v>
      </c>
      <c r="KS22" s="15" t="n">
        <f aca="false">(KQ22-KR22)*(1-EXP(-Inputs!$B$25*Inputs!$B$14*Inputs!$B$17*Inputs!$B$26/(KK22*Inputs!$B$16/0.866)))</f>
        <v>0.00741565890921548</v>
      </c>
      <c r="KT22" s="15" t="n">
        <f aca="false">(KQ22-KR22-KS22)*(1-Inputs!$B$19)</f>
        <v>0.00348815819736351</v>
      </c>
      <c r="KU22" s="15" t="n">
        <f aca="false">(KN22+KO22+KP22+KR22+KS22+KT22)*(1+Inputs!$B$27)</f>
        <v>0.306774088280836</v>
      </c>
      <c r="KV22" s="15" t="n">
        <f aca="false">Inputs!$B$52/(1-KU22-G22)</f>
        <v>193160.591425619</v>
      </c>
      <c r="KW22" s="15" t="n">
        <f aca="false">KV22/Inputs!$B$34</f>
        <v>321.934319042699</v>
      </c>
      <c r="KX22" s="15" t="n">
        <f aca="false">B22^2/KW22</f>
        <v>11.1824051896826</v>
      </c>
      <c r="KY22" s="15" t="n">
        <f aca="false">Inputs!$B$54*H22/(Inputs!$B$35*F22+E22*H22^2/(PI()*KX22*Inputs!$B$36))</f>
        <v>19.7486789357399</v>
      </c>
      <c r="KZ22" s="15" t="n">
        <f aca="false">EXP(-Inputs!$B$11*Inputs!$B$14*Inputs!$B$17/(Inputs!$B$51*KY22*Inputs!$B$16))</f>
        <v>0.758130665594999</v>
      </c>
      <c r="LA22" s="15" t="n">
        <f aca="false">Inputs!$B$50*Inputs!$B$18*KZ22*Inputs!$B$19</f>
        <v>0.740787842398716</v>
      </c>
      <c r="LB22" s="15" t="n">
        <f aca="false">1-LA22</f>
        <v>0.259212157601284</v>
      </c>
      <c r="LC22" s="15" t="n">
        <f aca="false">Inputs!$B$20*LB22</f>
        <v>0.00777636472803853</v>
      </c>
      <c r="LD22" s="15" t="n">
        <f aca="false">0.8*(1-Inputs!$B$50)*(LA22-LC22)</f>
        <v>0.00176553730920942</v>
      </c>
      <c r="LE22" s="15" t="n">
        <f aca="false">LA22-LC22-LD22</f>
        <v>0.731245940361468</v>
      </c>
      <c r="LF22" s="15" t="n">
        <f aca="false">LE22*(1-Inputs!$B$18*EXP(-Inputs!$B$21*Inputs!$B$14*Inputs!$B$17/(Inputs!$B$22*Inputs!$B$23*Inputs!$B$24*KY22*Inputs!$B$16))*Inputs!$B$19)</f>
        <v>0.0261986419783788</v>
      </c>
      <c r="LG22" s="15" t="n">
        <f aca="false">(LE22-LF22)*(1-EXP(-Inputs!$B$25*Inputs!$B$14*Inputs!$B$17*Inputs!$B$26/(KY22*Inputs!$B$16/0.866)))</f>
        <v>0.00741565890918757</v>
      </c>
      <c r="LH22" s="15" t="n">
        <f aca="false">(LE22-LF22-LG22)*(1-Inputs!$B$19)</f>
        <v>0.00348815819736951</v>
      </c>
      <c r="LI22" s="15" t="n">
        <f aca="false">(LB22+LC22+LD22+LF22+LG22+LH22)*(1+Inputs!$B$27)</f>
        <v>0.306774088279639</v>
      </c>
      <c r="LJ22" s="15" t="n">
        <f aca="false">Inputs!$B$52/(1-LI22-G22)</f>
        <v>193160.59142425</v>
      </c>
      <c r="LK22" s="15" t="n">
        <f aca="false">LJ22/Inputs!$B$34</f>
        <v>321.934319040416</v>
      </c>
      <c r="LL22" s="15" t="n">
        <f aca="false">B22^2/LK22</f>
        <v>11.1824051897619</v>
      </c>
      <c r="LM22" s="15" t="n">
        <f aca="false">Inputs!$B$54*H22/(Inputs!$B$35*F22+E22*H22^2/(PI()*LL22*Inputs!$B$36))</f>
        <v>19.7486789357751</v>
      </c>
      <c r="LN22" s="15" t="n">
        <f aca="false">EXP(-Inputs!$B$11*Inputs!$B$14*Inputs!$B$17/(Inputs!$B$51*LM22*Inputs!$B$16))</f>
        <v>0.758130665595373</v>
      </c>
      <c r="LO22" s="15" t="n">
        <f aca="false">Inputs!$B$50*Inputs!$B$18*LN22*Inputs!$B$19</f>
        <v>0.740787842399081</v>
      </c>
      <c r="LP22" s="15" t="n">
        <f aca="false">1-LO22</f>
        <v>0.259212157600919</v>
      </c>
      <c r="LQ22" s="15" t="n">
        <f aca="false">Inputs!$B$20*LP22</f>
        <v>0.00777636472802756</v>
      </c>
      <c r="LR22" s="15" t="n">
        <f aca="false">0.8*(1-Inputs!$B$50)*(LO22-LQ22)</f>
        <v>0.00176553730921032</v>
      </c>
      <c r="LS22" s="15" t="n">
        <f aca="false">LO22-LQ22-LR22</f>
        <v>0.731245940361843</v>
      </c>
      <c r="LT22" s="15" t="n">
        <f aca="false">LS22*(1-Inputs!$B$18*EXP(-Inputs!$B$21*Inputs!$B$14*Inputs!$B$17/(Inputs!$B$22*Inputs!$B$23*Inputs!$B$24*LM22*Inputs!$B$16))*Inputs!$B$19)</f>
        <v>0.0261986419783718</v>
      </c>
      <c r="LU22" s="15" t="n">
        <f aca="false">(LS22-LT22)*(1-EXP(-Inputs!$B$25*Inputs!$B$14*Inputs!$B$17*Inputs!$B$26/(LM22*Inputs!$B$16/0.866)))</f>
        <v>0.00741565890917845</v>
      </c>
      <c r="LV22" s="15" t="n">
        <f aca="false">(LS22-LT22-LU22)*(1-Inputs!$B$19)</f>
        <v>0.00348815819737147</v>
      </c>
      <c r="LW22" s="15" t="n">
        <f aca="false">(LP22+LQ22+LR22+LT22+LU22+LV22)*(1+Inputs!$B$27)</f>
        <v>0.306774088279247</v>
      </c>
      <c r="LX22" s="15" t="n">
        <f aca="false">Inputs!$B$52/(1-LW22-G22)</f>
        <v>193160.591423802</v>
      </c>
      <c r="LY22" s="15" t="n">
        <f aca="false">LX22/Inputs!$B$34</f>
        <v>321.934319039671</v>
      </c>
      <c r="LZ22" s="15" t="n">
        <f aca="false">B22^2/LY22</f>
        <v>11.1824051897878</v>
      </c>
      <c r="MA22" s="15" t="n">
        <f aca="false">Inputs!$B$54*H22/(Inputs!$B$35*F22+E22*H22^2/(PI()*LZ22*Inputs!$B$36))</f>
        <v>19.7486789357866</v>
      </c>
      <c r="MB22" s="15" t="n">
        <f aca="false">EXP(-Inputs!$B$11*Inputs!$B$14*Inputs!$B$17/(Inputs!$B$51*MA22*Inputs!$B$16))</f>
        <v>0.758130665595496</v>
      </c>
      <c r="MC22" s="15" t="n">
        <f aca="false">Inputs!$B$50*Inputs!$B$18*MB22*Inputs!$B$19</f>
        <v>0.740787842399201</v>
      </c>
      <c r="MD22" s="15" t="n">
        <f aca="false">1-MC22</f>
        <v>0.259212157600799</v>
      </c>
      <c r="ME22" s="15" t="n">
        <f aca="false">Inputs!$B$20*MD22</f>
        <v>0.00777636472802398</v>
      </c>
      <c r="MF22" s="15" t="n">
        <f aca="false">0.8*(1-Inputs!$B$50)*(MC22-ME22)</f>
        <v>0.00176553730921062</v>
      </c>
      <c r="MG22" s="15" t="n">
        <f aca="false">MC22-ME22-MF22</f>
        <v>0.731245940361966</v>
      </c>
      <c r="MH22" s="15" t="n">
        <f aca="false">MG22*(1-Inputs!$B$18*EXP(-Inputs!$B$21*Inputs!$B$14*Inputs!$B$17/(Inputs!$B$22*Inputs!$B$23*Inputs!$B$24*MA22*Inputs!$B$16))*Inputs!$B$19)</f>
        <v>0.0261986419783694</v>
      </c>
      <c r="MI22" s="15" t="n">
        <f aca="false">(MG22-MH22)*(1-EXP(-Inputs!$B$25*Inputs!$B$14*Inputs!$B$17*Inputs!$B$26/(MA22*Inputs!$B$16/0.866)))</f>
        <v>0.00741565890917546</v>
      </c>
      <c r="MJ22" s="15" t="n">
        <f aca="false">(MG22-MH22-MI22)*(1-Inputs!$B$19)</f>
        <v>0.00348815819737211</v>
      </c>
      <c r="MK22" s="15" t="n">
        <f aca="false">(MD22+ME22+MF22+MH22+MI22+MJ22)*(1+Inputs!$B$27)</f>
        <v>0.30677408827912</v>
      </c>
      <c r="ML22" s="15" t="n">
        <f aca="false">Inputs!$B$52/(1-MK22-G22)</f>
        <v>193160.591423656</v>
      </c>
      <c r="MM22" s="15" t="n">
        <f aca="false">ML22/Inputs!$B$34</f>
        <v>321.934319039427</v>
      </c>
      <c r="MN22" s="15" t="n">
        <f aca="false">B22^2/MM22</f>
        <v>11.1824051897962</v>
      </c>
      <c r="MO22" s="15" t="n">
        <f aca="false">Inputs!$B$54*H22/(Inputs!$B$35*F22+E22*H22^2/(PI()*MN22*Inputs!$B$36))</f>
        <v>19.7486789357904</v>
      </c>
      <c r="MP22" s="15" t="n">
        <f aca="false">EXP(-Inputs!$B$11*Inputs!$B$14*Inputs!$B$17/(Inputs!$B$51*MO22*Inputs!$B$16))</f>
        <v>0.758130665595535</v>
      </c>
      <c r="MQ22" s="15" t="n">
        <f aca="false">Inputs!$B$50*Inputs!$B$18*MP22*Inputs!$B$19</f>
        <v>0.74078784239924</v>
      </c>
      <c r="MR22" s="15" t="n">
        <f aca="false">1-MQ22</f>
        <v>0.25921215760076</v>
      </c>
      <c r="MS22" s="15" t="n">
        <f aca="false">Inputs!$B$20*MR22</f>
        <v>0.00777636472802281</v>
      </c>
      <c r="MT22" s="15" t="n">
        <f aca="false">0.8*(1-Inputs!$B$50)*(MQ22-MS22)</f>
        <v>0.00176553730921072</v>
      </c>
      <c r="MU22" s="15" t="n">
        <f aca="false">MQ22-MS22-MT22</f>
        <v>0.731245940362006</v>
      </c>
      <c r="MV22" s="15" t="n">
        <f aca="false">MU22*(1-Inputs!$B$18*EXP(-Inputs!$B$21*Inputs!$B$14*Inputs!$B$17/(Inputs!$B$22*Inputs!$B$23*Inputs!$B$24*MO22*Inputs!$B$16))*Inputs!$B$19)</f>
        <v>0.0261986419783687</v>
      </c>
      <c r="MW22" s="15" t="n">
        <f aca="false">(MU22-MV22)*(1-EXP(-Inputs!$B$25*Inputs!$B$14*Inputs!$B$17*Inputs!$B$26/(MO22*Inputs!$B$16/0.866)))</f>
        <v>0.00741565890917448</v>
      </c>
      <c r="MX22" s="15" t="n">
        <f aca="false">(MU22-MV22-MW22)*(1-Inputs!$B$19)</f>
        <v>0.00348815819737232</v>
      </c>
      <c r="MY22" s="15" t="n">
        <f aca="false">(MR22+MS22+MT22+MV22+MW22+MX22)*(1+Inputs!$B$27)</f>
        <v>0.306774088279078</v>
      </c>
      <c r="MZ22" s="15" t="n">
        <f aca="false">Inputs!$B$52/(1-MY22-G22)</f>
        <v>193160.591423609</v>
      </c>
      <c r="NA22" s="15" t="n">
        <f aca="false">MZ22/Inputs!$B$34</f>
        <v>321.934319039348</v>
      </c>
      <c r="NB22" s="15" t="n">
        <f aca="false">B22^2/NA22</f>
        <v>11.182405189799</v>
      </c>
      <c r="NC22" s="15" t="n">
        <f aca="false">Inputs!$B$54*H22/(Inputs!$B$35*F22+E22*H22^2/(PI()*NB22*Inputs!$B$36))</f>
        <v>19.7486789357916</v>
      </c>
      <c r="ND22" s="15" t="n">
        <f aca="false">EXP(-Inputs!$B$11*Inputs!$B$14*Inputs!$B$17/(Inputs!$B$51*NC22*Inputs!$B$16))</f>
        <v>0.758130665595549</v>
      </c>
      <c r="NE22" s="15" t="n">
        <f aca="false">Inputs!$B$50*Inputs!$B$18*ND22*Inputs!$B$19</f>
        <v>0.740787842399253</v>
      </c>
      <c r="NF22" s="15" t="n">
        <f aca="false">1-NE22</f>
        <v>0.259212157600747</v>
      </c>
      <c r="NG22" s="15" t="n">
        <f aca="false">Inputs!$B$20*NF22</f>
        <v>0.00777636472802242</v>
      </c>
      <c r="NH22" s="15" t="n">
        <f aca="false">0.8*(1-Inputs!$B$50)*(NE22-NG22)</f>
        <v>0.00176553730921075</v>
      </c>
      <c r="NI22" s="15" t="n">
        <f aca="false">NE22-NG22-NH22</f>
        <v>0.731245940362019</v>
      </c>
      <c r="NJ22" s="15" t="n">
        <f aca="false">NI22*(1-Inputs!$B$18*EXP(-Inputs!$B$21*Inputs!$B$14*Inputs!$B$17/(Inputs!$B$22*Inputs!$B$23*Inputs!$B$24*NC22*Inputs!$B$16))*Inputs!$B$19)</f>
        <v>0.0261986419783684</v>
      </c>
      <c r="NK22" s="15" t="n">
        <f aca="false">(NI22-NJ22)*(1-EXP(-Inputs!$B$25*Inputs!$B$14*Inputs!$B$17*Inputs!$B$26/(NC22*Inputs!$B$16/0.866)))</f>
        <v>0.00741565890917415</v>
      </c>
      <c r="NL22" s="15" t="n">
        <f aca="false">(NI22-NJ22-NK22)*(1-Inputs!$B$19)</f>
        <v>0.00348815819737239</v>
      </c>
      <c r="NM22" s="15" t="n">
        <f aca="false">(NF22+NG22+NH22+NJ22+NK22+NL22)*(1+Inputs!$B$27)</f>
        <v>0.306774088279064</v>
      </c>
      <c r="NN22" s="15" t="n">
        <f aca="false">Inputs!$B$52/(1-NM22-G22)</f>
        <v>193160.591423593</v>
      </c>
    </row>
    <row r="23" customFormat="false" ht="15" hidden="false" customHeight="false" outlineLevel="0" collapsed="false">
      <c r="A23" s="21" t="s">
        <v>501</v>
      </c>
      <c r="B23" s="21" t="n">
        <v>60</v>
      </c>
      <c r="C23" s="22" t="n">
        <v>0.25</v>
      </c>
      <c r="D23" s="23" t="n">
        <f aca="false">B23*C23</f>
        <v>15</v>
      </c>
      <c r="E23" s="24" t="n">
        <f aca="false">IF(C23=0,1,(1+0.45*C23)/(1.04+2.81*C23))</f>
        <v>0.63845050215208</v>
      </c>
      <c r="F23" s="24" t="n">
        <f aca="false">1+Inputs!$B$42*D23</f>
        <v>1.075</v>
      </c>
      <c r="G23" s="25" t="n">
        <f aca="false">Inputs!$B$31+Inputs!$B$43*(B23/Inputs!$B$32-1)+Inputs!$B$44+Inputs!$B$45*D23</f>
        <v>0.526125</v>
      </c>
      <c r="H23" s="22" t="n">
        <f aca="false">Inputs!$B$38</f>
        <v>0.5</v>
      </c>
      <c r="I23" s="23" t="n">
        <f aca="false">Inputs!$B$40</f>
        <v>2.4</v>
      </c>
      <c r="J23" s="26" t="n">
        <f aca="false">NN23/Inputs!$B$34</f>
        <v>323.938265303359</v>
      </c>
      <c r="K23" s="23" t="n">
        <f aca="false">B23^2/J23</f>
        <v>11.1132286166585</v>
      </c>
      <c r="L23" s="23" t="n">
        <f aca="false">2*K23</f>
        <v>22.226457233317</v>
      </c>
      <c r="M23" s="22" t="n">
        <f aca="false">NC23</f>
        <v>19.8168420986476</v>
      </c>
      <c r="N23" s="23" t="n">
        <f aca="false">B23/SQRT(E23)</f>
        <v>75.090956082562</v>
      </c>
      <c r="O23" s="24" t="n">
        <f aca="false">NM23</f>
        <v>0.306018942769221</v>
      </c>
      <c r="P23" s="23" t="n">
        <f aca="false">NN23/1000</f>
        <v>194.362959182015</v>
      </c>
      <c r="Q23" s="23" t="n">
        <f aca="false">G23*NN23/1000</f>
        <v>102.259211899638</v>
      </c>
      <c r="R23" s="23" t="n">
        <f aca="false">NM23*NN23/1000</f>
        <v>59.4787472823775</v>
      </c>
      <c r="S23" s="23" t="n">
        <f aca="false">NM23*NN23/Inputs!$B$28/1000</f>
        <v>79.3049963765034</v>
      </c>
      <c r="T23" s="27" t="n">
        <f aca="false">R23/Sweep!$R$5-1</f>
        <v>-0.048288598210765</v>
      </c>
      <c r="U23" s="27" t="n">
        <f aca="false">R23/SUMIFS(Sweep!$R:$R,Sweep!$A:$A,"Conventional",Sweep!$B:$B,B23)-1</f>
        <v>-0.120125698338069</v>
      </c>
      <c r="V23" s="26" t="n">
        <f aca="false">2*0.54*(J23/2)^1.5/SQRT(L23)*Inputs!$B$46*Inputs!$B$47</f>
        <v>44.1518218854505</v>
      </c>
      <c r="W23" s="28" t="n">
        <f aca="false">MIN(1,V23/S23)</f>
        <v>0.556734429137833</v>
      </c>
      <c r="X23" s="26" t="n">
        <f aca="false">1.23*SQRT(2*Inputs!$B$41*NN23*Inputs!$B$49/(1.225*J23*I23))/0.5144</f>
        <v>133.62967568068</v>
      </c>
      <c r="Y23" s="29" t="n">
        <f aca="false">(11000+6341.6*LN(0.36392/(2*Inputs!$B$50*Inputs!$B$18*(1+ND23)/2*Inputs!$B$34*Inputs!$B$49/((Inputs!$B$12*295.07)^2*H23))))/0.3048</f>
        <v>38555.8476163686</v>
      </c>
      <c r="Z23" s="26" t="n">
        <f aca="false">NN23-MZ23</f>
        <v>-5.15137799084187E-009</v>
      </c>
      <c r="AA23" s="30" t="str">
        <f aca="false">IF(ABS(NN23-MZ23)&lt;10,"Yes","No")</f>
        <v>Yes</v>
      </c>
      <c r="AC23" s="15" t="n">
        <f aca="false">Inputs!$B$52/(1-0.3154-G23)/Inputs!$B$34</f>
        <v>343.114055844771</v>
      </c>
      <c r="AD23" s="15" t="n">
        <f aca="false">B23^2/AC23</f>
        <v>10.4921379310345</v>
      </c>
      <c r="AE23" s="15" t="n">
        <f aca="false">Inputs!$B$54*H23/(Inputs!$B$35*F23+E23*H23^2/(PI()*AD23*Inputs!$B$36))</f>
        <v>19.5412872785623</v>
      </c>
      <c r="AF23" s="15" t="n">
        <f aca="false">EXP(-Inputs!$B$11*Inputs!$B$14*Inputs!$B$17/(Inputs!$B$51*AE23*Inputs!$B$16))</f>
        <v>0.755905991452519</v>
      </c>
      <c r="AG23" s="15" t="n">
        <f aca="false">Inputs!$B$50*Inputs!$B$18*AF23*Inputs!$B$19</f>
        <v>0.738614059391594</v>
      </c>
      <c r="AH23" s="15" t="n">
        <f aca="false">1-AG23</f>
        <v>0.261385940608406</v>
      </c>
      <c r="AI23" s="15" t="n">
        <f aca="false">Inputs!$B$20*AH23</f>
        <v>0.00784157821825218</v>
      </c>
      <c r="AJ23" s="15" t="n">
        <f aca="false">0.8*(1-Inputs!$B$50)*(AG23-AI23)</f>
        <v>0.00176014444433396</v>
      </c>
      <c r="AK23" s="15" t="n">
        <f aca="false">AG23-AI23-AJ23</f>
        <v>0.729012336729008</v>
      </c>
      <c r="AL23" s="15" t="n">
        <f aca="false">AK23*(1-Inputs!$B$18*EXP(-Inputs!$B$21*Inputs!$B$14*Inputs!$B$17/(Inputs!$B$22*Inputs!$B$23*Inputs!$B$24*AE23*Inputs!$B$16))*Inputs!$B$19)</f>
        <v>0.026240640540301</v>
      </c>
      <c r="AM23" s="15" t="n">
        <f aca="false">(AK23-AL23)*(1-EXP(-Inputs!$B$25*Inputs!$B$14*Inputs!$B$17*Inputs!$B$26/(AE23*Inputs!$B$16/0.866)))</f>
        <v>0.00746975418662021</v>
      </c>
      <c r="AN23" s="15" t="n">
        <f aca="false">(AK23-AL23-AM23)*(1-Inputs!$B$19)</f>
        <v>0.00347650971001044</v>
      </c>
      <c r="AO23" s="15" t="n">
        <f aca="false">(AH23+AI23+AJ23+AL23+AM23+AN23)*(1+Inputs!$B$27)</f>
        <v>0.309099091411048</v>
      </c>
      <c r="AP23" s="15" t="n">
        <f aca="false">Inputs!$B$52/(1-AO23-G23)</f>
        <v>197996.177228711</v>
      </c>
      <c r="AQ23" s="15" t="n">
        <f aca="false">AP23/Inputs!$B$34</f>
        <v>329.993628714518</v>
      </c>
      <c r="AR23" s="15" t="n">
        <f aca="false">B23^2/AQ23</f>
        <v>10.9093015341651</v>
      </c>
      <c r="AS23" s="15" t="n">
        <f aca="false">Inputs!$B$54*H23/(Inputs!$B$35*F23+E23*H23^2/(PI()*AR23*Inputs!$B$36))</f>
        <v>19.7289911096372</v>
      </c>
      <c r="AT23" s="15" t="n">
        <f aca="false">EXP(-Inputs!$B$11*Inputs!$B$14*Inputs!$B$17/(Inputs!$B$51*AS23*Inputs!$B$16))</f>
        <v>0.757921206528937</v>
      </c>
      <c r="AU23" s="15" t="n">
        <f aca="false">Inputs!$B$50*Inputs!$B$18*AT23*Inputs!$B$19</f>
        <v>0.7405831748702</v>
      </c>
      <c r="AV23" s="15" t="n">
        <f aca="false">1-AU23</f>
        <v>0.2594168251298</v>
      </c>
      <c r="AW23" s="15" t="n">
        <f aca="false">Inputs!$B$20*AV23</f>
        <v>0.007782504753894</v>
      </c>
      <c r="AX23" s="15" t="n">
        <f aca="false">0.8*(1-Inputs!$B$50)*(AU23-AW23)</f>
        <v>0.0017650295564475</v>
      </c>
      <c r="AY23" s="15" t="n">
        <f aca="false">AU23-AW23-AX23</f>
        <v>0.731035640559858</v>
      </c>
      <c r="AZ23" s="15" t="n">
        <f aca="false">AY23*(1-Inputs!$B$18*EXP(-Inputs!$B$21*Inputs!$B$14*Inputs!$B$17/(Inputs!$B$22*Inputs!$B$23*Inputs!$B$24*AS23*Inputs!$B$16))*Inputs!$B$19)</f>
        <v>0.0262026137249568</v>
      </c>
      <c r="BA23" s="15" t="n">
        <f aca="false">(AY23-AZ23)*(1-EXP(-Inputs!$B$25*Inputs!$B$14*Inputs!$B$17*Inputs!$B$26/(AS23*Inputs!$B$16/0.866)))</f>
        <v>0.0074207640651434</v>
      </c>
      <c r="BB23" s="15" t="n">
        <f aca="false">(AY23-AZ23-BA23)*(1-Inputs!$B$19)</f>
        <v>0.00348706131384879</v>
      </c>
      <c r="BC23" s="15" t="n">
        <f aca="false">(AV23+AW23+AX23+AZ23+BA23+BB23)*(1+Inputs!$B$27)</f>
        <v>0.306993022939723</v>
      </c>
      <c r="BD23" s="15" t="n">
        <f aca="false">Inputs!$B$52/(1-BC23-G23)</f>
        <v>195497.444210024</v>
      </c>
      <c r="BE23" s="15" t="n">
        <f aca="false">BD23/Inputs!$B$34</f>
        <v>325.829073683373</v>
      </c>
      <c r="BF23" s="15" t="n">
        <f aca="false">B23^2/BE23</f>
        <v>11.048737791577</v>
      </c>
      <c r="BG23" s="15" t="n">
        <f aca="false">Inputs!$B$54*H23/(Inputs!$B$35*F23+E23*H23^2/(PI()*BF23*Inputs!$B$36))</f>
        <v>19.7893264283865</v>
      </c>
      <c r="BH23" s="15" t="n">
        <f aca="false">EXP(-Inputs!$B$11*Inputs!$B$14*Inputs!$B$17/(Inputs!$B$51*BG23*Inputs!$B$16))</f>
        <v>0.758561978581377</v>
      </c>
      <c r="BI23" s="15" t="n">
        <f aca="false">Inputs!$B$50*Inputs!$B$18*BH23*Inputs!$B$19</f>
        <v>0.741209288768158</v>
      </c>
      <c r="BJ23" s="15" t="n">
        <f aca="false">1-BI23</f>
        <v>0.258790711231842</v>
      </c>
      <c r="BK23" s="15" t="n">
        <f aca="false">Inputs!$B$20*BJ23</f>
        <v>0.00776372133695527</v>
      </c>
      <c r="BL23" s="15" t="n">
        <f aca="false">0.8*(1-Inputs!$B$50)*(BI23-BK23)</f>
        <v>0.00176658286127933</v>
      </c>
      <c r="BM23" s="15" t="n">
        <f aca="false">BI23-BK23-BL23</f>
        <v>0.731678984569923</v>
      </c>
      <c r="BN23" s="15" t="n">
        <f aca="false">BM23*(1-Inputs!$B$18*EXP(-Inputs!$B$21*Inputs!$B$14*Inputs!$B$17/(Inputs!$B$22*Inputs!$B$23*Inputs!$B$24*BG23*Inputs!$B$16))*Inputs!$B$19)</f>
        <v>0.0261904520302912</v>
      </c>
      <c r="BO23" s="15" t="n">
        <f aca="false">(BM23-BN23)*(1-EXP(-Inputs!$B$25*Inputs!$B$14*Inputs!$B$17*Inputs!$B$26/(BG23*Inputs!$B$16/0.866)))</f>
        <v>0.00740513868729787</v>
      </c>
      <c r="BP23" s="15" t="n">
        <f aca="false">(BM23-BN23-BO23)*(1-Inputs!$B$19)</f>
        <v>0.00349041696926167</v>
      </c>
      <c r="BQ23" s="15" t="n">
        <f aca="false">(BJ23+BK23+BL23+BN23+BO23+BP23)*(1+Inputs!$B$27)</f>
        <v>0.306323244186278</v>
      </c>
      <c r="BR23" s="15" t="n">
        <f aca="false">Inputs!$B$52/(1-BQ23-G23)</f>
        <v>194715.954133428</v>
      </c>
      <c r="BS23" s="15" t="n">
        <f aca="false">BR23/Inputs!$B$34</f>
        <v>324.526590222381</v>
      </c>
      <c r="BT23" s="15" t="n">
        <f aca="false">B23^2/BS23</f>
        <v>11.0930817642188</v>
      </c>
      <c r="BU23" s="15" t="n">
        <f aca="false">Inputs!$B$54*H23/(Inputs!$B$35*F23+E23*H23^2/(PI()*BT23*Inputs!$B$36))</f>
        <v>19.8082724027857</v>
      </c>
      <c r="BV23" s="15" t="n">
        <f aca="false">EXP(-Inputs!$B$11*Inputs!$B$14*Inputs!$B$17/(Inputs!$B$51*BU23*Inputs!$B$16))</f>
        <v>0.758762494132487</v>
      </c>
      <c r="BW23" s="15" t="n">
        <f aca="false">Inputs!$B$50*Inputs!$B$18*BV23*Inputs!$B$19</f>
        <v>0.741405217371517</v>
      </c>
      <c r="BX23" s="15" t="n">
        <f aca="false">1-BW23</f>
        <v>0.258594782628483</v>
      </c>
      <c r="BY23" s="15" t="n">
        <f aca="false">Inputs!$B$20*BX23</f>
        <v>0.0077578434788545</v>
      </c>
      <c r="BZ23" s="15" t="n">
        <f aca="false">0.8*(1-Inputs!$B$50)*(BW23-BY23)</f>
        <v>0.00176706893393686</v>
      </c>
      <c r="CA23" s="15" t="n">
        <f aca="false">BW23-BY23-BZ23</f>
        <v>0.731880304958725</v>
      </c>
      <c r="CB23" s="15" t="n">
        <f aca="false">CA23*(1-Inputs!$B$18*EXP(-Inputs!$B$21*Inputs!$B$14*Inputs!$B$17/(Inputs!$B$22*Inputs!$B$23*Inputs!$B$24*BU23*Inputs!$B$16))*Inputs!$B$19)</f>
        <v>0.0261866393234134</v>
      </c>
      <c r="CC23" s="15" t="n">
        <f aca="false">(CA23-CB23)*(1-EXP(-Inputs!$B$25*Inputs!$B$14*Inputs!$B$17*Inputs!$B$26/(BU23*Inputs!$B$16/0.866)))</f>
        <v>0.00740024430260253</v>
      </c>
      <c r="CD23" s="15" t="n">
        <f aca="false">(CA23-CB23-CC23)*(1-Inputs!$B$19)</f>
        <v>0.00349146710666355</v>
      </c>
      <c r="CE23" s="15" t="n">
        <f aca="false">(BX23+BY23+BZ23+CB23+CC23+CD23)*(1+Inputs!$B$27)</f>
        <v>0.306113639911276</v>
      </c>
      <c r="CF23" s="15" t="n">
        <f aca="false">Inputs!$B$52/(1-CE23-G23)</f>
        <v>194472.672269381</v>
      </c>
      <c r="CG23" s="15" t="n">
        <f aca="false">CF23/Inputs!$B$34</f>
        <v>324.121120448968</v>
      </c>
      <c r="CH23" s="15" t="n">
        <f aca="false">B23^2/CG23</f>
        <v>11.1069590127707</v>
      </c>
      <c r="CI23" s="15" t="n">
        <f aca="false">Inputs!$B$54*H23/(Inputs!$B$35*F23+E23*H23^2/(PI()*CH23*Inputs!$B$36))</f>
        <v>19.8141777883266</v>
      </c>
      <c r="CJ23" s="15" t="n">
        <f aca="false">EXP(-Inputs!$B$11*Inputs!$B$14*Inputs!$B$17/(Inputs!$B$51*CI23*Inputs!$B$16))</f>
        <v>0.758824926468488</v>
      </c>
      <c r="CK23" s="15" t="n">
        <f aca="false">Inputs!$B$50*Inputs!$B$18*CJ23*Inputs!$B$19</f>
        <v>0.741466221519721</v>
      </c>
      <c r="CL23" s="15" t="n">
        <f aca="false">1-CK23</f>
        <v>0.258533778480279</v>
      </c>
      <c r="CM23" s="15" t="n">
        <f aca="false">Inputs!$B$20*CL23</f>
        <v>0.00775601335440838</v>
      </c>
      <c r="CN23" s="15" t="n">
        <f aca="false">0.8*(1-Inputs!$B$50)*(CK23-CM23)</f>
        <v>0.00176722027706864</v>
      </c>
      <c r="CO23" s="15" t="n">
        <f aca="false">CK23-CM23-CN23</f>
        <v>0.731942987888244</v>
      </c>
      <c r="CP23" s="15" t="n">
        <f aca="false">CO23*(1-Inputs!$B$18*EXP(-Inputs!$B$21*Inputs!$B$14*Inputs!$B$17/(Inputs!$B$22*Inputs!$B$23*Inputs!$B$24*CI23*Inputs!$B$16))*Inputs!$B$19)</f>
        <v>0.0261854515243628</v>
      </c>
      <c r="CQ23" s="15" t="n">
        <f aca="false">(CO23-CP23)*(1-EXP(-Inputs!$B$25*Inputs!$B$14*Inputs!$B$17*Inputs!$B$26/(CI23*Inputs!$B$16/0.866)))</f>
        <v>0.007398719927911</v>
      </c>
      <c r="CR23" s="15" t="n">
        <f aca="false">(CO23-CP23-CQ23)*(1-Inputs!$B$19)</f>
        <v>0.00349179408217985</v>
      </c>
      <c r="CS23" s="15" t="n">
        <f aca="false">(CL23+CM23+CN23+CP23+CQ23+CR23)*(1+Inputs!$B$27)</f>
        <v>0.306048376579149</v>
      </c>
      <c r="CT23" s="15" t="n">
        <f aca="false">Inputs!$B$52/(1-CS23-G23)</f>
        <v>194397.046994074</v>
      </c>
      <c r="CU23" s="15" t="n">
        <f aca="false">CT23/Inputs!$B$34</f>
        <v>323.995078323457</v>
      </c>
      <c r="CV23" s="15" t="n">
        <f aca="false">B23^2/CU23</f>
        <v>11.1112798954495</v>
      </c>
      <c r="CW23" s="15" t="n">
        <f aca="false">Inputs!$B$54*H23/(Inputs!$B$35*F23+E23*H23^2/(PI()*CV23*Inputs!$B$36))</f>
        <v>19.8160142217811</v>
      </c>
      <c r="CX23" s="15" t="n">
        <f aca="false">EXP(-Inputs!$B$11*Inputs!$B$14*Inputs!$B$17/(Inputs!$B$51*CW23*Inputs!$B$16))</f>
        <v>0.758844334891055</v>
      </c>
      <c r="CY23" s="15" t="n">
        <f aca="false">Inputs!$B$50*Inputs!$B$18*CX23*Inputs!$B$19</f>
        <v>0.741485185959666</v>
      </c>
      <c r="CZ23" s="15" t="n">
        <f aca="false">1-CY23</f>
        <v>0.258514814040334</v>
      </c>
      <c r="DA23" s="15" t="n">
        <f aca="false">Inputs!$B$20*CZ23</f>
        <v>0.00775544442121002</v>
      </c>
      <c r="DB23" s="15" t="n">
        <f aca="false">0.8*(1-Inputs!$B$50)*(CY23-DA23)</f>
        <v>0.00176726732530746</v>
      </c>
      <c r="DC23" s="15" t="n">
        <f aca="false">CY23-DA23-DB23</f>
        <v>0.731962474213149</v>
      </c>
      <c r="DD23" s="15" t="n">
        <f aca="false">DC23*(1-Inputs!$B$18*EXP(-Inputs!$B$21*Inputs!$B$14*Inputs!$B$17/(Inputs!$B$22*Inputs!$B$23*Inputs!$B$24*CW23*Inputs!$B$16))*Inputs!$B$19)</f>
        <v>0.0261850822060968</v>
      </c>
      <c r="DE23" s="15" t="n">
        <f aca="false">(DC23-DD23)*(1-EXP(-Inputs!$B$25*Inputs!$B$14*Inputs!$B$17*Inputs!$B$26/(CW23*Inputs!$B$16/0.866)))</f>
        <v>0.00739824599868901</v>
      </c>
      <c r="DF23" s="15" t="n">
        <f aca="false">(DC23-DD23-DE23)*(1-Inputs!$B$19)</f>
        <v>0.00349189573004182</v>
      </c>
      <c r="DG23" s="15" t="n">
        <f aca="false">(CZ23+DA23+DB23+DD23+DE23+DF23)*(1+Inputs!$B$27)</f>
        <v>0.306028087970844</v>
      </c>
      <c r="DH23" s="15" t="n">
        <f aca="false">Inputs!$B$52/(1-DG23-G23)</f>
        <v>194373.549120361</v>
      </c>
      <c r="DI23" s="15" t="n">
        <f aca="false">DH23/Inputs!$B$34</f>
        <v>323.955915200601</v>
      </c>
      <c r="DJ23" s="15" t="n">
        <f aca="false">B23^2/DI23</f>
        <v>11.1126231412407</v>
      </c>
      <c r="DK23" s="15" t="n">
        <f aca="false">Inputs!$B$54*H23/(Inputs!$B$35*F23+E23*H23^2/(PI()*DJ23*Inputs!$B$36))</f>
        <v>19.8165848977032</v>
      </c>
      <c r="DL23" s="15" t="n">
        <f aca="false">EXP(-Inputs!$B$11*Inputs!$B$14*Inputs!$B$17/(Inputs!$B$51*DK23*Inputs!$B$16))</f>
        <v>0.758850365471506</v>
      </c>
      <c r="DM23" s="15" t="n">
        <f aca="false">Inputs!$B$50*Inputs!$B$18*DL23*Inputs!$B$19</f>
        <v>0.741491078585942</v>
      </c>
      <c r="DN23" s="15" t="n">
        <f aca="false">1-DM23</f>
        <v>0.258508921414058</v>
      </c>
      <c r="DO23" s="15" t="n">
        <f aca="false">Inputs!$B$20*DN23</f>
        <v>0.00775526764242174</v>
      </c>
      <c r="DP23" s="15" t="n">
        <f aca="false">0.8*(1-Inputs!$B$50)*(DM23-DO23)</f>
        <v>0.00176728194412505</v>
      </c>
      <c r="DQ23" s="15" t="n">
        <f aca="false">DM23-DO23-DP23</f>
        <v>0.731968528999395</v>
      </c>
      <c r="DR23" s="15" t="n">
        <f aca="false">DQ23*(1-Inputs!$B$18*EXP(-Inputs!$B$21*Inputs!$B$14*Inputs!$B$17/(Inputs!$B$22*Inputs!$B$23*Inputs!$B$24*DK23*Inputs!$B$16))*Inputs!$B$19)</f>
        <v>0.0261849674452763</v>
      </c>
      <c r="DS23" s="15" t="n">
        <f aca="false">(DQ23-DR23)*(1-EXP(-Inputs!$B$25*Inputs!$B$14*Inputs!$B$17*Inputs!$B$26/(DK23*Inputs!$B$16/0.866)))</f>
        <v>0.00739809873518187</v>
      </c>
      <c r="DT23" s="15" t="n">
        <f aca="false">(DQ23-DR23-DS23)*(1-Inputs!$B$19)</f>
        <v>0.00349192731409469</v>
      </c>
      <c r="DU23" s="15" t="n">
        <f aca="false">(DN23+DO23+DP23+DR23+DS23+DT23)*(1+Inputs!$B$27)</f>
        <v>0.306021783888643</v>
      </c>
      <c r="DV23" s="15" t="n">
        <f aca="false">Inputs!$B$52/(1-DU23-G23)</f>
        <v>194366.249011017</v>
      </c>
      <c r="DW23" s="15" t="n">
        <f aca="false">DV23/Inputs!$B$34</f>
        <v>323.943748351695</v>
      </c>
      <c r="DX23" s="15" t="n">
        <f aca="false">B23^2/DW23</f>
        <v>11.1130405149588</v>
      </c>
      <c r="DY23" s="15" t="n">
        <f aca="false">Inputs!$B$54*H23/(Inputs!$B$35*F23+E23*H23^2/(PI()*DX23*Inputs!$B$36))</f>
        <v>19.8167621968891</v>
      </c>
      <c r="DZ23" s="15" t="n">
        <f aca="false">EXP(-Inputs!$B$11*Inputs!$B$14*Inputs!$B$17/(Inputs!$B$51*DY23*Inputs!$B$16))</f>
        <v>0.758852239008087</v>
      </c>
      <c r="EA23" s="15" t="n">
        <f aca="false">Inputs!$B$50*Inputs!$B$18*DZ23*Inputs!$B$19</f>
        <v>0.74149290926393</v>
      </c>
      <c r="EB23" s="15" t="n">
        <f aca="false">1-EA23</f>
        <v>0.25850709073607</v>
      </c>
      <c r="EC23" s="15" t="n">
        <f aca="false">Inputs!$B$20*EB23</f>
        <v>0.0077552127220821</v>
      </c>
      <c r="ED23" s="15" t="n">
        <f aca="false">0.8*(1-Inputs!$B$50)*(EA23-EC23)</f>
        <v>0.00176728648579227</v>
      </c>
      <c r="EE23" s="15" t="n">
        <f aca="false">EA23-EC23-ED23</f>
        <v>0.731970410056056</v>
      </c>
      <c r="EF23" s="15" t="n">
        <f aca="false">EE23*(1-Inputs!$B$18*EXP(-Inputs!$B$21*Inputs!$B$14*Inputs!$B$17/(Inputs!$B$22*Inputs!$B$23*Inputs!$B$24*DY23*Inputs!$B$16))*Inputs!$B$19)</f>
        <v>0.0261849317916132</v>
      </c>
      <c r="EG23" s="15" t="n">
        <f aca="false">(EE23-EF23)*(1-EXP(-Inputs!$B$25*Inputs!$B$14*Inputs!$B$17*Inputs!$B$26/(DY23*Inputs!$B$16/0.866)))</f>
        <v>0.0073980529840155</v>
      </c>
      <c r="EH23" s="15" t="n">
        <f aca="false">(EE23-EF23-EG23)*(1-Inputs!$B$19)</f>
        <v>0.00349193712640214</v>
      </c>
      <c r="EI23" s="15" t="n">
        <f aca="false">(EB23+EC23+ED23+EF23+EG23+EH23)*(1+Inputs!$B$27)</f>
        <v>0.306019825381513</v>
      </c>
      <c r="EJ23" s="15" t="n">
        <f aca="false">Inputs!$B$52/(1-EI23-G23)</f>
        <v>194363.981176943</v>
      </c>
      <c r="EK23" s="15" t="n">
        <f aca="false">EJ23/Inputs!$B$34</f>
        <v>323.939968628238</v>
      </c>
      <c r="EL23" s="15" t="n">
        <f aca="false">B23^2/EK23</f>
        <v>11.1131701816377</v>
      </c>
      <c r="EM23" s="15" t="n">
        <f aca="false">Inputs!$B$54*H23/(Inputs!$B$35*F23+E23*H23^2/(PI()*EL23*Inputs!$B$36))</f>
        <v>19.8168172768655</v>
      </c>
      <c r="EN23" s="15" t="n">
        <f aca="false">EXP(-Inputs!$B$11*Inputs!$B$14*Inputs!$B$17/(Inputs!$B$51*EM23*Inputs!$B$16))</f>
        <v>0.75885282103731</v>
      </c>
      <c r="EO23" s="15" t="n">
        <f aca="false">Inputs!$B$50*Inputs!$B$18*EN23*Inputs!$B$19</f>
        <v>0.741493477978786</v>
      </c>
      <c r="EP23" s="15" t="n">
        <f aca="false">1-EO23</f>
        <v>0.258506522021214</v>
      </c>
      <c r="EQ23" s="15" t="n">
        <f aca="false">Inputs!$B$20*EP23</f>
        <v>0.00775519566063642</v>
      </c>
      <c r="ER23" s="15" t="n">
        <f aca="false">0.8*(1-Inputs!$B$50)*(EO23-EQ23)</f>
        <v>0.00176728789669776</v>
      </c>
      <c r="ES23" s="15" t="n">
        <f aca="false">EO23-EQ23-ER23</f>
        <v>0.731970994421452</v>
      </c>
      <c r="ET23" s="15" t="n">
        <f aca="false">ES23*(1-Inputs!$B$18*EXP(-Inputs!$B$21*Inputs!$B$14*Inputs!$B$17/(Inputs!$B$22*Inputs!$B$23*Inputs!$B$24*EM23*Inputs!$B$16))*Inputs!$B$19)</f>
        <v>0.0261849207154565</v>
      </c>
      <c r="EU23" s="15" t="n">
        <f aca="false">(ES23-ET23)*(1-EXP(-Inputs!$B$25*Inputs!$B$14*Inputs!$B$17*Inputs!$B$26/(EM23*Inputs!$B$16/0.866)))</f>
        <v>0.00739803877100699</v>
      </c>
      <c r="EV23" s="15" t="n">
        <f aca="false">(ES23-ET23-EU23)*(1-Inputs!$B$19)</f>
        <v>0.00349194017467495</v>
      </c>
      <c r="EW23" s="15" t="n">
        <f aca="false">(EP23+EQ23+ER23+ET23+EU23+EV23)*(1+Inputs!$B$27)</f>
        <v>0.306019216955406</v>
      </c>
      <c r="EX23" s="15" t="n">
        <f aca="false">Inputs!$B$52/(1-EW23-G23)</f>
        <v>194363.276666688</v>
      </c>
      <c r="EY23" s="15" t="n">
        <f aca="false">EX23/Inputs!$B$34</f>
        <v>323.938794444479</v>
      </c>
      <c r="EZ23" s="15" t="n">
        <f aca="false">B23^2/EY23</f>
        <v>11.1132104636421</v>
      </c>
      <c r="FA23" s="15" t="n">
        <f aca="false">Inputs!$B$54*H23/(Inputs!$B$35*F23+E23*H23^2/(PI()*EZ23*Inputs!$B$36))</f>
        <v>19.8168343877071</v>
      </c>
      <c r="FB23" s="15" t="n">
        <f aca="false">EXP(-Inputs!$B$11*Inputs!$B$14*Inputs!$B$17/(Inputs!$B$51*FA23*Inputs!$B$16))</f>
        <v>0.75885300184673</v>
      </c>
      <c r="FC23" s="15" t="n">
        <f aca="false">Inputs!$B$50*Inputs!$B$18*FB23*Inputs!$B$19</f>
        <v>0.741493654652051</v>
      </c>
      <c r="FD23" s="15" t="n">
        <f aca="false">1-FC23</f>
        <v>0.258506345347949</v>
      </c>
      <c r="FE23" s="15" t="n">
        <f aca="false">Inputs!$B$20*FD23</f>
        <v>0.00775519036043847</v>
      </c>
      <c r="FF23" s="15" t="n">
        <f aca="false">0.8*(1-Inputs!$B$50)*(FC23-FE23)</f>
        <v>0.00176728833500049</v>
      </c>
      <c r="FG23" s="15" t="n">
        <f aca="false">FC23-FE23-FF23</f>
        <v>0.731971175956612</v>
      </c>
      <c r="FH23" s="15" t="n">
        <f aca="false">FG23*(1-Inputs!$B$18*EXP(-Inputs!$B$21*Inputs!$B$14*Inputs!$B$17/(Inputs!$B$22*Inputs!$B$23*Inputs!$B$24*FA23*Inputs!$B$16))*Inputs!$B$19)</f>
        <v>0.026184917274604</v>
      </c>
      <c r="FI23" s="15" t="n">
        <f aca="false">(FG23-FH23)*(1-EXP(-Inputs!$B$25*Inputs!$B$14*Inputs!$B$17*Inputs!$B$26/(FA23*Inputs!$B$16/0.866)))</f>
        <v>0.00739803435568215</v>
      </c>
      <c r="FJ23" s="15" t="n">
        <f aca="false">(FG23-FH23-FI23)*(1-Inputs!$B$19)</f>
        <v>0.00349194112163163</v>
      </c>
      <c r="FK23" s="15" t="n">
        <f aca="false">(FD23+FE23+FF23+FH23+FI23+FJ23)*(1+Inputs!$B$27)</f>
        <v>0.306019027945692</v>
      </c>
      <c r="FL23" s="15" t="n">
        <f aca="false">Inputs!$B$52/(1-FK23-G23)</f>
        <v>194363.057809135</v>
      </c>
      <c r="FM23" s="15" t="n">
        <f aca="false">FL23/Inputs!$B$34</f>
        <v>323.938429681891</v>
      </c>
      <c r="FN23" s="15" t="n">
        <f aca="false">B23^2/FM23</f>
        <v>11.1132229773887</v>
      </c>
      <c r="FO23" s="15" t="n">
        <f aca="false">Inputs!$B$54*H23/(Inputs!$B$35*F23+E23*H23^2/(PI()*FN23*Inputs!$B$36))</f>
        <v>19.8168397032311</v>
      </c>
      <c r="FP23" s="15" t="n">
        <f aca="false">EXP(-Inputs!$B$11*Inputs!$B$14*Inputs!$B$17/(Inputs!$B$51*FO23*Inputs!$B$16))</f>
        <v>0.758853058015555</v>
      </c>
      <c r="FQ23" s="15" t="n">
        <f aca="false">Inputs!$B$50*Inputs!$B$18*FP23*Inputs!$B$19</f>
        <v>0.741493709535971</v>
      </c>
      <c r="FR23" s="15" t="n">
        <f aca="false">1-FQ23</f>
        <v>0.258506290464029</v>
      </c>
      <c r="FS23" s="15" t="n">
        <f aca="false">Inputs!$B$20*FR23</f>
        <v>0.00775518871392087</v>
      </c>
      <c r="FT23" s="15" t="n">
        <f aca="false">0.8*(1-Inputs!$B$50)*(FQ23-FS23)</f>
        <v>0.00176728847116016</v>
      </c>
      <c r="FU23" s="15" t="n">
        <f aca="false">FQ23-FS23-FT23</f>
        <v>0.73197123235089</v>
      </c>
      <c r="FV23" s="15" t="n">
        <f aca="false">FU23*(1-Inputs!$B$18*EXP(-Inputs!$B$21*Inputs!$B$14*Inputs!$B$17/(Inputs!$B$22*Inputs!$B$23*Inputs!$B$24*FO23*Inputs!$B$16))*Inputs!$B$19)</f>
        <v>0.0261849162056954</v>
      </c>
      <c r="FW23" s="15" t="n">
        <f aca="false">(FU23-FV23)*(1-EXP(-Inputs!$B$25*Inputs!$B$14*Inputs!$B$17*Inputs!$B$26/(FO23*Inputs!$B$16/0.866)))</f>
        <v>0.00739803298405189</v>
      </c>
      <c r="FX23" s="15" t="n">
        <f aca="false">(FU23-FV23-FW23)*(1-Inputs!$B$19)</f>
        <v>0.00349194141580572</v>
      </c>
      <c r="FY23" s="15" t="n">
        <f aca="false">(FR23+FS23+FT23+FV23+FW23+FX23)*(1+Inputs!$B$27)</f>
        <v>0.306018969229427</v>
      </c>
      <c r="FZ23" s="15" t="n">
        <f aca="false">Inputs!$B$52/(1-FY23-G23)</f>
        <v>194362.989820676</v>
      </c>
      <c r="GA23" s="15" t="n">
        <f aca="false">FZ23/Inputs!$B$34</f>
        <v>323.938316367794</v>
      </c>
      <c r="GB23" s="15" t="n">
        <f aca="false">B23^2/GA23</f>
        <v>11.1132268648103</v>
      </c>
      <c r="GC23" s="15" t="n">
        <f aca="false">Inputs!$B$54*H23/(Inputs!$B$35*F23+E23*H23^2/(PI()*GB23*Inputs!$B$36))</f>
        <v>19.8168413545079</v>
      </c>
      <c r="GD23" s="15" t="n">
        <f aca="false">EXP(-Inputs!$B$11*Inputs!$B$14*Inputs!$B$17/(Inputs!$B$51*GC23*Inputs!$B$16))</f>
        <v>0.758853075464494</v>
      </c>
      <c r="GE23" s="15" t="n">
        <f aca="false">Inputs!$B$50*Inputs!$B$18*GD23*Inputs!$B$19</f>
        <v>0.741493726585752</v>
      </c>
      <c r="GF23" s="15" t="n">
        <f aca="false">1-GE23</f>
        <v>0.258506273414248</v>
      </c>
      <c r="GG23" s="15" t="n">
        <f aca="false">Inputs!$B$20*GF23</f>
        <v>0.00775518820242745</v>
      </c>
      <c r="GH23" s="15" t="n">
        <f aca="false">0.8*(1-Inputs!$B$50)*(GE23-GG23)</f>
        <v>0.00176728851345838</v>
      </c>
      <c r="GI23" s="15" t="n">
        <f aca="false">GE23-GG23-GH23</f>
        <v>0.731971249869866</v>
      </c>
      <c r="GJ23" s="15" t="n">
        <f aca="false">GI23*(1-Inputs!$B$18*EXP(-Inputs!$B$21*Inputs!$B$14*Inputs!$B$17/(Inputs!$B$22*Inputs!$B$23*Inputs!$B$24*GC23*Inputs!$B$16))*Inputs!$B$19)</f>
        <v>0.0261849158736372</v>
      </c>
      <c r="GK23" s="15" t="n">
        <f aca="false">(GI23-GJ23)*(1-EXP(-Inputs!$B$25*Inputs!$B$14*Inputs!$B$17*Inputs!$B$26/(GC23*Inputs!$B$16/0.866)))</f>
        <v>0.00739803255795258</v>
      </c>
      <c r="GL23" s="15" t="n">
        <f aca="false">(GI23-GJ23-GK23)*(1-Inputs!$B$19)</f>
        <v>0.00349194150719138</v>
      </c>
      <c r="GM23" s="15" t="n">
        <f aca="false">(GF23+GG23+GH23+GJ23+GK23+GL23)*(1+Inputs!$B$27)</f>
        <v>0.306018950989122</v>
      </c>
      <c r="GN23" s="15" t="n">
        <f aca="false">Inputs!$B$52/(1-GM23-G23)</f>
        <v>194362.968699959</v>
      </c>
      <c r="GO23" s="15" t="n">
        <f aca="false">GN23/Inputs!$B$34</f>
        <v>323.938281166598</v>
      </c>
      <c r="GP23" s="15" t="n">
        <f aca="false">B23^2/GO23</f>
        <v>11.1132280724443</v>
      </c>
      <c r="GQ23" s="15" t="n">
        <f aca="false">Inputs!$B$54*H23/(Inputs!$B$35*F23+E23*H23^2/(PI()*GP23*Inputs!$B$36))</f>
        <v>19.8168418674796</v>
      </c>
      <c r="GR23" s="15" t="n">
        <f aca="false">EXP(-Inputs!$B$11*Inputs!$B$14*Inputs!$B$17/(Inputs!$B$51*GQ23*Inputs!$B$16))</f>
        <v>0.758853080885033</v>
      </c>
      <c r="GS23" s="15" t="n">
        <f aca="false">Inputs!$B$50*Inputs!$B$18*GR23*Inputs!$B$19</f>
        <v>0.741493731882292</v>
      </c>
      <c r="GT23" s="15" t="n">
        <f aca="false">1-GS23</f>
        <v>0.258506268117708</v>
      </c>
      <c r="GU23" s="15" t="n">
        <f aca="false">Inputs!$B$20*GT23</f>
        <v>0.00775518804353124</v>
      </c>
      <c r="GV23" s="15" t="n">
        <f aca="false">0.8*(1-Inputs!$B$50)*(GS23-GU23)</f>
        <v>0.00176728852659839</v>
      </c>
      <c r="GW23" s="15" t="n">
        <f aca="false">GS23-GU23-GV23</f>
        <v>0.731971255312162</v>
      </c>
      <c r="GX23" s="15" t="n">
        <f aca="false">GW23*(1-Inputs!$B$18*EXP(-Inputs!$B$21*Inputs!$B$14*Inputs!$B$17/(Inputs!$B$22*Inputs!$B$23*Inputs!$B$24*GQ23*Inputs!$B$16))*Inputs!$B$19)</f>
        <v>0.0261849157704826</v>
      </c>
      <c r="GY23" s="15" t="n">
        <f aca="false">(GW23-GX23)*(1-EXP(-Inputs!$B$25*Inputs!$B$14*Inputs!$B$17*Inputs!$B$26/(GQ23*Inputs!$B$16/0.866)))</f>
        <v>0.0073980324255842</v>
      </c>
      <c r="GZ23" s="15" t="n">
        <f aca="false">(GW23-GX23-GY23)*(1-Inputs!$B$19)</f>
        <v>0.00349194153558048</v>
      </c>
      <c r="HA23" s="15" t="n">
        <f aca="false">(GT23+GU23+GV23+GX23+GY23+GZ23)*(1+Inputs!$B$27)</f>
        <v>0.306018945322743</v>
      </c>
      <c r="HB23" s="15" t="n">
        <f aca="false">Inputs!$B$52/(1-HA23-G23)</f>
        <v>194362.962138776</v>
      </c>
      <c r="HC23" s="15" t="n">
        <f aca="false">HB23/Inputs!$B$34</f>
        <v>323.938270231294</v>
      </c>
      <c r="HD23" s="15" t="n">
        <f aca="false">B23^2/HC23</f>
        <v>11.1132284475977</v>
      </c>
      <c r="HE23" s="15" t="n">
        <f aca="false">Inputs!$B$54*H23/(Inputs!$B$35*F23+E23*H23^2/(PI()*HD23*Inputs!$B$36))</f>
        <v>19.816842026835</v>
      </c>
      <c r="HF23" s="15" t="n">
        <f aca="false">EXP(-Inputs!$B$11*Inputs!$B$14*Inputs!$B$17/(Inputs!$B$51*HE23*Inputs!$B$16))</f>
        <v>0.758853082568932</v>
      </c>
      <c r="HG23" s="15" t="n">
        <f aca="false">Inputs!$B$50*Inputs!$B$18*HF23*Inputs!$B$19</f>
        <v>0.74149373352767</v>
      </c>
      <c r="HH23" s="15" t="n">
        <f aca="false">1-HG23</f>
        <v>0.25850626647233</v>
      </c>
      <c r="HI23" s="15" t="n">
        <f aca="false">Inputs!$B$20*HH23</f>
        <v>0.0077551879941699</v>
      </c>
      <c r="HJ23" s="15" t="n">
        <f aca="false">0.8*(1-Inputs!$B$50)*(HG23-HI23)</f>
        <v>0.00176728853068035</v>
      </c>
      <c r="HK23" s="15" t="n">
        <f aca="false">HG23-HI23-HJ23</f>
        <v>0.73197125700282</v>
      </c>
      <c r="HL23" s="15" t="n">
        <f aca="false">HK23*(1-Inputs!$B$18*EXP(-Inputs!$B$21*Inputs!$B$14*Inputs!$B$17/(Inputs!$B$22*Inputs!$B$23*Inputs!$B$24*HE23*Inputs!$B$16))*Inputs!$B$19)</f>
        <v>0.0261849157384377</v>
      </c>
      <c r="HM23" s="15" t="n">
        <f aca="false">(HK23-HL23)*(1-EXP(-Inputs!$B$25*Inputs!$B$14*Inputs!$B$17*Inputs!$B$26/(HE23*Inputs!$B$16/0.866)))</f>
        <v>0.00739803238446373</v>
      </c>
      <c r="HN23" s="15" t="n">
        <f aca="false">(HK23-HL23-HM23)*(1-Inputs!$B$19)</f>
        <v>0.0034919415443996</v>
      </c>
      <c r="HO23" s="15" t="n">
        <f aca="false">(HH23+HI23+HJ23+HL23+HM23+HN23)*(1+Inputs!$B$27)</f>
        <v>0.306018943562475</v>
      </c>
      <c r="HP23" s="15" t="n">
        <f aca="false">Inputs!$B$52/(1-HO23-G23)</f>
        <v>194362.960100536</v>
      </c>
      <c r="HQ23" s="15" t="n">
        <f aca="false">HP23/Inputs!$B$34</f>
        <v>323.938266834226</v>
      </c>
      <c r="HR23" s="15" t="n">
        <f aca="false">B23^2/HQ23</f>
        <v>11.1132285641396</v>
      </c>
      <c r="HS23" s="15" t="n">
        <f aca="false">Inputs!$B$54*H23/(Inputs!$B$35*F23+E23*H23^2/(PI()*HR23*Inputs!$B$36))</f>
        <v>19.816842076339</v>
      </c>
      <c r="HT23" s="15" t="n">
        <f aca="false">EXP(-Inputs!$B$11*Inputs!$B$14*Inputs!$B$17/(Inputs!$B$51*HS23*Inputs!$B$16))</f>
        <v>0.758853083092037</v>
      </c>
      <c r="HU23" s="15" t="n">
        <f aca="false">Inputs!$B$50*Inputs!$B$18*HT23*Inputs!$B$19</f>
        <v>0.741493734038809</v>
      </c>
      <c r="HV23" s="15" t="n">
        <f aca="false">1-HU23</f>
        <v>0.258506265961191</v>
      </c>
      <c r="HW23" s="15" t="n">
        <f aca="false">Inputs!$B$20*HV23</f>
        <v>0.00775518797883573</v>
      </c>
      <c r="HX23" s="15" t="n">
        <f aca="false">0.8*(1-Inputs!$B$50)*(HU23-HW23)</f>
        <v>0.00176728853194842</v>
      </c>
      <c r="HY23" s="15" t="n">
        <f aca="false">HU23-HW23-HX23</f>
        <v>0.731971257528025</v>
      </c>
      <c r="HZ23" s="15" t="n">
        <f aca="false">HY23*(1-Inputs!$B$18*EXP(-Inputs!$B$21*Inputs!$B$14*Inputs!$B$17/(Inputs!$B$22*Inputs!$B$23*Inputs!$B$24*HS23*Inputs!$B$16))*Inputs!$B$19)</f>
        <v>0.0261849157284828</v>
      </c>
      <c r="IA23" s="15" t="n">
        <f aca="false">(HY23-HZ23)*(1-EXP(-Inputs!$B$25*Inputs!$B$14*Inputs!$B$17*Inputs!$B$26/(HS23*Inputs!$B$16/0.866)))</f>
        <v>0.00739803237168961</v>
      </c>
      <c r="IB23" s="15" t="n">
        <f aca="false">(HY23-HZ23-IA23)*(1-Inputs!$B$19)</f>
        <v>0.00349194154713927</v>
      </c>
      <c r="IC23" s="15" t="n">
        <f aca="false">(HV23+HW23+HX23+HZ23+IA23+IB23)*(1+Inputs!$B$27)</f>
        <v>0.306018943015645</v>
      </c>
      <c r="ID23" s="15" t="n">
        <f aca="false">Inputs!$B$52/(1-IC23-G23)</f>
        <v>194362.959467353</v>
      </c>
      <c r="IE23" s="15" t="n">
        <f aca="false">ID23/Inputs!$B$34</f>
        <v>323.938265778922</v>
      </c>
      <c r="IF23" s="15" t="n">
        <f aca="false">B23^2/IE23</f>
        <v>11.1132286003435</v>
      </c>
      <c r="IG23" s="15" t="n">
        <f aca="false">Inputs!$B$54*H23/(Inputs!$B$35*F23+E23*H23^2/(PI()*IF23*Inputs!$B$36))</f>
        <v>19.8168420917175</v>
      </c>
      <c r="IH23" s="15" t="n">
        <f aca="false">EXP(-Inputs!$B$11*Inputs!$B$14*Inputs!$B$17/(Inputs!$B$51*IG23*Inputs!$B$16))</f>
        <v>0.758853083254541</v>
      </c>
      <c r="II23" s="15" t="n">
        <f aca="false">Inputs!$B$50*Inputs!$B$18*IH23*Inputs!$B$19</f>
        <v>0.741493734197595</v>
      </c>
      <c r="IJ23" s="15" t="n">
        <f aca="false">1-II23</f>
        <v>0.258506265802405</v>
      </c>
      <c r="IK23" s="15" t="n">
        <f aca="false">Inputs!$B$20*IJ23</f>
        <v>0.00775518797407214</v>
      </c>
      <c r="IL23" s="15" t="n">
        <f aca="false">0.8*(1-Inputs!$B$50)*(II23-IK23)</f>
        <v>0.00176728853234235</v>
      </c>
      <c r="IM23" s="15" t="n">
        <f aca="false">II23-IK23-IL23</f>
        <v>0.731971257691181</v>
      </c>
      <c r="IN23" s="15" t="n">
        <f aca="false">IM23*(1-Inputs!$B$18*EXP(-Inputs!$B$21*Inputs!$B$14*Inputs!$B$17/(Inputs!$B$22*Inputs!$B$23*Inputs!$B$24*IG23*Inputs!$B$16))*Inputs!$B$19)</f>
        <v>0.0261849157253903</v>
      </c>
      <c r="IO23" s="15" t="n">
        <f aca="false">(IM23-IN23)*(1-EXP(-Inputs!$B$25*Inputs!$B$14*Inputs!$B$17*Inputs!$B$26/(IG23*Inputs!$B$16/0.866)))</f>
        <v>0.00739803236772133</v>
      </c>
      <c r="IP23" s="15" t="n">
        <f aca="false">(IM23-IN23-IO23)*(1-Inputs!$B$19)</f>
        <v>0.00349194154799035</v>
      </c>
      <c r="IQ23" s="15" t="n">
        <f aca="false">(IJ23+IK23+IL23+IN23+IO23+IP23)*(1+Inputs!$B$27)</f>
        <v>0.306018942845771</v>
      </c>
      <c r="IR23" s="15" t="n">
        <f aca="false">Inputs!$B$52/(1-IQ23-G23)</f>
        <v>194362.959270654</v>
      </c>
      <c r="IS23" s="15" t="n">
        <f aca="false">IR23/Inputs!$B$34</f>
        <v>323.93826545109</v>
      </c>
      <c r="IT23" s="15" t="n">
        <f aca="false">B23^2/IS23</f>
        <v>11.1132286115903</v>
      </c>
      <c r="IU23" s="15" t="n">
        <f aca="false">Inputs!$B$54*H23/(Inputs!$B$35*F23+E23*H23^2/(PI()*IT23*Inputs!$B$36))</f>
        <v>19.8168420964949</v>
      </c>
      <c r="IV23" s="15" t="n">
        <f aca="false">EXP(-Inputs!$B$11*Inputs!$B$14*Inputs!$B$17/(Inputs!$B$51*IU23*Inputs!$B$16))</f>
        <v>0.758853083305023</v>
      </c>
      <c r="IW23" s="15" t="n">
        <f aca="false">Inputs!$B$50*Inputs!$B$18*IV23*Inputs!$B$19</f>
        <v>0.741493734246922</v>
      </c>
      <c r="IX23" s="15" t="n">
        <f aca="false">1-IW23</f>
        <v>0.258506265753078</v>
      </c>
      <c r="IY23" s="15" t="n">
        <f aca="false">Inputs!$B$20*IX23</f>
        <v>0.00775518797259233</v>
      </c>
      <c r="IZ23" s="15" t="n">
        <f aca="false">0.8*(1-Inputs!$B$50)*(IW23-IY23)</f>
        <v>0.00176728853246472</v>
      </c>
      <c r="JA23" s="15" t="n">
        <f aca="false">IW23-IY23-IZ23</f>
        <v>0.731971257741865</v>
      </c>
      <c r="JB23" s="15" t="n">
        <f aca="false">JA23*(1-Inputs!$B$18*EXP(-Inputs!$B$21*Inputs!$B$14*Inputs!$B$17/(Inputs!$B$22*Inputs!$B$23*Inputs!$B$24*IU23*Inputs!$B$16))*Inputs!$B$19)</f>
        <v>0.0261849157244296</v>
      </c>
      <c r="JC23" s="15" t="n">
        <f aca="false">(JA23-JB23)*(1-EXP(-Inputs!$B$25*Inputs!$B$14*Inputs!$B$17*Inputs!$B$26/(IU23*Inputs!$B$16/0.866)))</f>
        <v>0.00739803236648857</v>
      </c>
      <c r="JD23" s="15" t="n">
        <f aca="false">(JA23-JB23-JC23)*(1-Inputs!$B$19)</f>
        <v>0.00349194154825474</v>
      </c>
      <c r="JE23" s="15" t="n">
        <f aca="false">(IX23+IY23+IZ23+JB23+JC23+JD23)*(1+Inputs!$B$27)</f>
        <v>0.306018942793</v>
      </c>
      <c r="JF23" s="15" t="n">
        <f aca="false">Inputs!$B$52/(1-JE23-G23)</f>
        <v>194362.959209549</v>
      </c>
      <c r="JG23" s="15" t="n">
        <f aca="false">JF23/Inputs!$B$34</f>
        <v>323.938265349249</v>
      </c>
      <c r="JH23" s="15" t="n">
        <f aca="false">B23^2/JG23</f>
        <v>11.1132286150842</v>
      </c>
      <c r="JI23" s="15" t="n">
        <f aca="false">Inputs!$B$54*H23/(Inputs!$B$35*F23+E23*H23^2/(PI()*JH23*Inputs!$B$36))</f>
        <v>19.816842097979</v>
      </c>
      <c r="JJ23" s="15" t="n">
        <f aca="false">EXP(-Inputs!$B$11*Inputs!$B$14*Inputs!$B$17/(Inputs!$B$51*JI23*Inputs!$B$16))</f>
        <v>0.758853083320705</v>
      </c>
      <c r="JK23" s="15" t="n">
        <f aca="false">Inputs!$B$50*Inputs!$B$18*JJ23*Inputs!$B$19</f>
        <v>0.741493734262246</v>
      </c>
      <c r="JL23" s="15" t="n">
        <f aca="false">1-JK23</f>
        <v>0.258506265737754</v>
      </c>
      <c r="JM23" s="15" t="n">
        <f aca="false">Inputs!$B$20*JL23</f>
        <v>0.00775518797213263</v>
      </c>
      <c r="JN23" s="15" t="n">
        <f aca="false">0.8*(1-Inputs!$B$50)*(JK23-JM23)</f>
        <v>0.00176728853250274</v>
      </c>
      <c r="JO23" s="15" t="n">
        <f aca="false">JK23-JM23-JN23</f>
        <v>0.731971257757611</v>
      </c>
      <c r="JP23" s="15" t="n">
        <f aca="false">JO23*(1-Inputs!$B$18*EXP(-Inputs!$B$21*Inputs!$B$14*Inputs!$B$17/(Inputs!$B$22*Inputs!$B$23*Inputs!$B$24*JI23*Inputs!$B$16))*Inputs!$B$19)</f>
        <v>0.0261849157241312</v>
      </c>
      <c r="JQ23" s="15" t="n">
        <f aca="false">(JO23-JP23)*(1-EXP(-Inputs!$B$25*Inputs!$B$14*Inputs!$B$17*Inputs!$B$26/(JI23*Inputs!$B$16/0.866)))</f>
        <v>0.00739803236610565</v>
      </c>
      <c r="JR23" s="15" t="n">
        <f aca="false">(JO23-JP23-JQ23)*(1-Inputs!$B$19)</f>
        <v>0.00349194154833687</v>
      </c>
      <c r="JS23" s="15" t="n">
        <f aca="false">(JL23+JM23+JN23+JP23+JQ23+JR23)*(1+Inputs!$B$27)</f>
        <v>0.306018942776606</v>
      </c>
      <c r="JT23" s="15" t="n">
        <f aca="false">Inputs!$B$52/(1-JS23-G23)</f>
        <v>194362.959190567</v>
      </c>
      <c r="JU23" s="15" t="n">
        <f aca="false">JT23/Inputs!$B$34</f>
        <v>323.938265317612</v>
      </c>
      <c r="JV23" s="15" t="n">
        <f aca="false">B23^2/JU23</f>
        <v>11.1132286161695</v>
      </c>
      <c r="JW23" s="15" t="n">
        <f aca="false">Inputs!$B$54*H23/(Inputs!$B$35*F23+E23*H23^2/(PI()*JV23*Inputs!$B$36))</f>
        <v>19.81684209844</v>
      </c>
      <c r="JX23" s="15" t="n">
        <f aca="false">EXP(-Inputs!$B$11*Inputs!$B$14*Inputs!$B$17/(Inputs!$B$51*JW23*Inputs!$B$16))</f>
        <v>0.758853083325577</v>
      </c>
      <c r="JY23" s="15" t="n">
        <f aca="false">Inputs!$B$50*Inputs!$B$18*JX23*Inputs!$B$19</f>
        <v>0.741493734267006</v>
      </c>
      <c r="JZ23" s="15" t="n">
        <f aca="false">1-JY23</f>
        <v>0.258506265732994</v>
      </c>
      <c r="KA23" s="15" t="n">
        <f aca="false">Inputs!$B$20*JZ23</f>
        <v>0.00775518797198982</v>
      </c>
      <c r="KB23" s="15" t="n">
        <f aca="false">0.8*(1-Inputs!$B$50)*(JY23-KA23)</f>
        <v>0.00176728853251455</v>
      </c>
      <c r="KC23" s="15" t="n">
        <f aca="false">JY23-KA23-KB23</f>
        <v>0.731971257762502</v>
      </c>
      <c r="KD23" s="15" t="n">
        <f aca="false">KC23*(1-Inputs!$B$18*EXP(-Inputs!$B$21*Inputs!$B$14*Inputs!$B$17/(Inputs!$B$22*Inputs!$B$23*Inputs!$B$24*JW23*Inputs!$B$16))*Inputs!$B$19)</f>
        <v>0.0261849157240385</v>
      </c>
      <c r="KE23" s="15" t="n">
        <f aca="false">(KC23-KD23)*(1-EXP(-Inputs!$B$25*Inputs!$B$14*Inputs!$B$17*Inputs!$B$26/(JW23*Inputs!$B$16/0.866)))</f>
        <v>0.00739803236598668</v>
      </c>
      <c r="KF23" s="15" t="n">
        <f aca="false">(KC23-KD23-KE23)*(1-Inputs!$B$19)</f>
        <v>0.00349194154836239</v>
      </c>
      <c r="KG23" s="15" t="n">
        <f aca="false">(JZ23+KA23+KB23+KD23+KE23+KF23)*(1+Inputs!$B$27)</f>
        <v>0.306018942771513</v>
      </c>
      <c r="KH23" s="15" t="n">
        <f aca="false">Inputs!$B$52/(1-KG23-G23)</f>
        <v>194362.95918467</v>
      </c>
      <c r="KI23" s="15" t="n">
        <f aca="false">KH23/Inputs!$B$34</f>
        <v>323.938265307784</v>
      </c>
      <c r="KJ23" s="15" t="n">
        <f aca="false">B23^2/KI23</f>
        <v>11.1132286165067</v>
      </c>
      <c r="KK23" s="15" t="n">
        <f aca="false">Inputs!$B$54*H23/(Inputs!$B$35*F23+E23*H23^2/(PI()*KJ23*Inputs!$B$36))</f>
        <v>19.8168420985832</v>
      </c>
      <c r="KL23" s="15" t="n">
        <f aca="false">EXP(-Inputs!$B$11*Inputs!$B$14*Inputs!$B$17/(Inputs!$B$51*KK23*Inputs!$B$16))</f>
        <v>0.75885308332709</v>
      </c>
      <c r="KM23" s="15" t="n">
        <f aca="false">Inputs!$B$50*Inputs!$B$18*KL23*Inputs!$B$19</f>
        <v>0.741493734268485</v>
      </c>
      <c r="KN23" s="15" t="n">
        <f aca="false">1-KM23</f>
        <v>0.258506265731515</v>
      </c>
      <c r="KO23" s="15" t="n">
        <f aca="false">Inputs!$B$20*KN23</f>
        <v>0.00775518797194545</v>
      </c>
      <c r="KP23" s="15" t="n">
        <f aca="false">0.8*(1-Inputs!$B$50)*(KM23-KO23)</f>
        <v>0.00176728853251822</v>
      </c>
      <c r="KQ23" s="15" t="n">
        <f aca="false">KM23-KO23-KP23</f>
        <v>0.731971257764021</v>
      </c>
      <c r="KR23" s="15" t="n">
        <f aca="false">KQ23*(1-Inputs!$B$18*EXP(-Inputs!$B$21*Inputs!$B$14*Inputs!$B$17/(Inputs!$B$22*Inputs!$B$23*Inputs!$B$24*KK23*Inputs!$B$16))*Inputs!$B$19)</f>
        <v>0.0261849157240097</v>
      </c>
      <c r="KS23" s="15" t="n">
        <f aca="false">(KQ23-KR23)*(1-EXP(-Inputs!$B$25*Inputs!$B$14*Inputs!$B$17*Inputs!$B$26/(KK23*Inputs!$B$16/0.866)))</f>
        <v>0.0073980323659497</v>
      </c>
      <c r="KT23" s="15" t="n">
        <f aca="false">(KQ23-KR23-KS23)*(1-Inputs!$B$19)</f>
        <v>0.00349194154837031</v>
      </c>
      <c r="KU23" s="15" t="n">
        <f aca="false">(KN23+KO23+KP23+KR23+KS23+KT23)*(1+Inputs!$B$27)</f>
        <v>0.306018942769931</v>
      </c>
      <c r="KV23" s="15" t="n">
        <f aca="false">Inputs!$B$52/(1-KU23-G23)</f>
        <v>194362.959182839</v>
      </c>
      <c r="KW23" s="15" t="n">
        <f aca="false">KV23/Inputs!$B$34</f>
        <v>323.938265304731</v>
      </c>
      <c r="KX23" s="15" t="n">
        <f aca="false">B23^2/KW23</f>
        <v>11.1132286166114</v>
      </c>
      <c r="KY23" s="15" t="n">
        <f aca="false">Inputs!$B$54*H23/(Inputs!$B$35*F23+E23*H23^2/(PI()*KX23*Inputs!$B$36))</f>
        <v>19.8168420986277</v>
      </c>
      <c r="KZ23" s="15" t="n">
        <f aca="false">EXP(-Inputs!$B$11*Inputs!$B$14*Inputs!$B$17/(Inputs!$B$51*KY23*Inputs!$B$16))</f>
        <v>0.75885308332756</v>
      </c>
      <c r="LA23" s="15" t="n">
        <f aca="false">Inputs!$B$50*Inputs!$B$18*KZ23*Inputs!$B$19</f>
        <v>0.741493734268944</v>
      </c>
      <c r="LB23" s="15" t="n">
        <f aca="false">1-LA23</f>
        <v>0.258506265731056</v>
      </c>
      <c r="LC23" s="15" t="n">
        <f aca="false">Inputs!$B$20*LB23</f>
        <v>0.00775518797193167</v>
      </c>
      <c r="LD23" s="15" t="n">
        <f aca="false">0.8*(1-Inputs!$B$50)*(LA23-LC23)</f>
        <v>0.00176728853251936</v>
      </c>
      <c r="LE23" s="15" t="n">
        <f aca="false">LA23-LC23-LD23</f>
        <v>0.731971257764493</v>
      </c>
      <c r="LF23" s="15" t="n">
        <f aca="false">LE23*(1-Inputs!$B$18*EXP(-Inputs!$B$21*Inputs!$B$14*Inputs!$B$17/(Inputs!$B$22*Inputs!$B$23*Inputs!$B$24*KY23*Inputs!$B$16))*Inputs!$B$19)</f>
        <v>0.0261849157240007</v>
      </c>
      <c r="LG23" s="15" t="n">
        <f aca="false">(LE23-LF23)*(1-EXP(-Inputs!$B$25*Inputs!$B$14*Inputs!$B$17*Inputs!$B$26/(KY23*Inputs!$B$16/0.866)))</f>
        <v>0.00739803236593821</v>
      </c>
      <c r="LH23" s="15" t="n">
        <f aca="false">(LE23-LF23-LG23)*(1-Inputs!$B$19)</f>
        <v>0.00349194154837278</v>
      </c>
      <c r="LI23" s="15" t="n">
        <f aca="false">(LB23+LC23+LD23+LF23+LG23+LH23)*(1+Inputs!$B$27)</f>
        <v>0.30601894276944</v>
      </c>
      <c r="LJ23" s="15" t="n">
        <f aca="false">Inputs!$B$52/(1-LI23-G23)</f>
        <v>194362.959182269</v>
      </c>
      <c r="LK23" s="15" t="n">
        <f aca="false">LJ23/Inputs!$B$34</f>
        <v>323.938265303782</v>
      </c>
      <c r="LL23" s="15" t="n">
        <f aca="false">B23^2/LK23</f>
        <v>11.113228616644</v>
      </c>
      <c r="LM23" s="15" t="n">
        <f aca="false">Inputs!$B$54*H23/(Inputs!$B$35*F23+E23*H23^2/(PI()*LL23*Inputs!$B$36))</f>
        <v>19.8168420986415</v>
      </c>
      <c r="LN23" s="15" t="n">
        <f aca="false">EXP(-Inputs!$B$11*Inputs!$B$14*Inputs!$B$17/(Inputs!$B$51*LM23*Inputs!$B$16))</f>
        <v>0.758853083327706</v>
      </c>
      <c r="LO23" s="15" t="n">
        <f aca="false">Inputs!$B$50*Inputs!$B$18*LN23*Inputs!$B$19</f>
        <v>0.741493734269087</v>
      </c>
      <c r="LP23" s="15" t="n">
        <f aca="false">1-LO23</f>
        <v>0.258506265730913</v>
      </c>
      <c r="LQ23" s="15" t="n">
        <f aca="false">Inputs!$B$20*LP23</f>
        <v>0.00775518797192739</v>
      </c>
      <c r="LR23" s="15" t="n">
        <f aca="false">0.8*(1-Inputs!$B$50)*(LO23-LQ23)</f>
        <v>0.00176728853251971</v>
      </c>
      <c r="LS23" s="15" t="n">
        <f aca="false">LO23-LQ23-LR23</f>
        <v>0.73197125776464</v>
      </c>
      <c r="LT23" s="15" t="n">
        <f aca="false">LS23*(1-Inputs!$B$18*EXP(-Inputs!$B$21*Inputs!$B$14*Inputs!$B$17/(Inputs!$B$22*Inputs!$B$23*Inputs!$B$24*LM23*Inputs!$B$16))*Inputs!$B$19)</f>
        <v>0.026184915723998</v>
      </c>
      <c r="LU23" s="15" t="n">
        <f aca="false">(LS23-LT23)*(1-EXP(-Inputs!$B$25*Inputs!$B$14*Inputs!$B$17*Inputs!$B$26/(LM23*Inputs!$B$16/0.866)))</f>
        <v>0.00739803236593468</v>
      </c>
      <c r="LV23" s="15" t="n">
        <f aca="false">(LS23-LT23-LU23)*(1-Inputs!$B$19)</f>
        <v>0.00349194154837354</v>
      </c>
      <c r="LW23" s="15" t="n">
        <f aca="false">(LP23+LQ23+LR23+LT23+LU23+LV23)*(1+Inputs!$B$27)</f>
        <v>0.306018942769287</v>
      </c>
      <c r="LX23" s="15" t="n">
        <f aca="false">Inputs!$B$52/(1-LW23-G23)</f>
        <v>194362.959182092</v>
      </c>
      <c r="LY23" s="15" t="n">
        <f aca="false">LX23/Inputs!$B$34</f>
        <v>323.938265303487</v>
      </c>
      <c r="LZ23" s="15" t="n">
        <f aca="false">B23^2/LY23</f>
        <v>11.1132286166541</v>
      </c>
      <c r="MA23" s="15" t="n">
        <f aca="false">Inputs!$B$54*H23/(Inputs!$B$35*F23+E23*H23^2/(PI()*LZ23*Inputs!$B$36))</f>
        <v>19.8168420986458</v>
      </c>
      <c r="MB23" s="15" t="n">
        <f aca="false">EXP(-Inputs!$B$11*Inputs!$B$14*Inputs!$B$17/(Inputs!$B$51*MA23*Inputs!$B$16))</f>
        <v>0.758853083327752</v>
      </c>
      <c r="MC23" s="15" t="n">
        <f aca="false">Inputs!$B$50*Inputs!$B$18*MB23*Inputs!$B$19</f>
        <v>0.741493734269131</v>
      </c>
      <c r="MD23" s="15" t="n">
        <f aca="false">1-MC23</f>
        <v>0.258506265730869</v>
      </c>
      <c r="ME23" s="15" t="n">
        <f aca="false">Inputs!$B$20*MD23</f>
        <v>0.00775518797192606</v>
      </c>
      <c r="MF23" s="15" t="n">
        <f aca="false">0.8*(1-Inputs!$B$50)*(MC23-ME23)</f>
        <v>0.00176728853251982</v>
      </c>
      <c r="MG23" s="15" t="n">
        <f aca="false">MC23-ME23-MF23</f>
        <v>0.731971257764685</v>
      </c>
      <c r="MH23" s="15" t="n">
        <f aca="false">MG23*(1-Inputs!$B$18*EXP(-Inputs!$B$21*Inputs!$B$14*Inputs!$B$17/(Inputs!$B$22*Inputs!$B$23*Inputs!$B$24*MA23*Inputs!$B$16))*Inputs!$B$19)</f>
        <v>0.0261849157239971</v>
      </c>
      <c r="MI23" s="15" t="n">
        <f aca="false">(MG23-MH23)*(1-EXP(-Inputs!$B$25*Inputs!$B$14*Inputs!$B$17*Inputs!$B$26/(MA23*Inputs!$B$16/0.866)))</f>
        <v>0.00739803236593352</v>
      </c>
      <c r="MJ23" s="15" t="n">
        <f aca="false">(MG23-MH23-MI23)*(1-Inputs!$B$19)</f>
        <v>0.00349194154837378</v>
      </c>
      <c r="MK23" s="15" t="n">
        <f aca="false">(MD23+ME23+MF23+MH23+MI23+MJ23)*(1+Inputs!$B$27)</f>
        <v>0.30601894276924</v>
      </c>
      <c r="ML23" s="15" t="n">
        <f aca="false">Inputs!$B$52/(1-MK23-G23)</f>
        <v>194362.959182037</v>
      </c>
      <c r="MM23" s="15" t="n">
        <f aca="false">ML23/Inputs!$B$34</f>
        <v>323.938265303396</v>
      </c>
      <c r="MN23" s="15" t="n">
        <f aca="false">B23^2/MM23</f>
        <v>11.1132286166572</v>
      </c>
      <c r="MO23" s="15" t="n">
        <f aca="false">Inputs!$B$54*H23/(Inputs!$B$35*F23+E23*H23^2/(PI()*MN23*Inputs!$B$36))</f>
        <v>19.8168420986472</v>
      </c>
      <c r="MP23" s="15" t="n">
        <f aca="false">EXP(-Inputs!$B$11*Inputs!$B$14*Inputs!$B$17/(Inputs!$B$51*MO23*Inputs!$B$16))</f>
        <v>0.758853083327766</v>
      </c>
      <c r="MQ23" s="15" t="n">
        <f aca="false">Inputs!$B$50*Inputs!$B$18*MP23*Inputs!$B$19</f>
        <v>0.741493734269145</v>
      </c>
      <c r="MR23" s="15" t="n">
        <f aca="false">1-MQ23</f>
        <v>0.258506265730855</v>
      </c>
      <c r="MS23" s="15" t="n">
        <f aca="false">Inputs!$B$20*MR23</f>
        <v>0.00775518797192564</v>
      </c>
      <c r="MT23" s="15" t="n">
        <f aca="false">0.8*(1-Inputs!$B$50)*(MQ23-MS23)</f>
        <v>0.00176728853251985</v>
      </c>
      <c r="MU23" s="15" t="n">
        <f aca="false">MQ23-MS23-MT23</f>
        <v>0.7319712577647</v>
      </c>
      <c r="MV23" s="15" t="n">
        <f aca="false">MU23*(1-Inputs!$B$18*EXP(-Inputs!$B$21*Inputs!$B$14*Inputs!$B$17/(Inputs!$B$22*Inputs!$B$23*Inputs!$B$24*MO23*Inputs!$B$16))*Inputs!$B$19)</f>
        <v>0.0261849157239969</v>
      </c>
      <c r="MW23" s="15" t="n">
        <f aca="false">(MU23-MV23)*(1-EXP(-Inputs!$B$25*Inputs!$B$14*Inputs!$B$17*Inputs!$B$26/(MO23*Inputs!$B$16/0.866)))</f>
        <v>0.00739803236593321</v>
      </c>
      <c r="MX23" s="15" t="n">
        <f aca="false">(MU23-MV23-MW23)*(1-Inputs!$B$19)</f>
        <v>0.00349194154837385</v>
      </c>
      <c r="MY23" s="15" t="n">
        <f aca="false">(MR23+MS23+MT23+MV23+MW23+MX23)*(1+Inputs!$B$27)</f>
        <v>0.306018942769225</v>
      </c>
      <c r="MZ23" s="15" t="n">
        <f aca="false">Inputs!$B$52/(1-MY23-G23)</f>
        <v>194362.959182021</v>
      </c>
      <c r="NA23" s="15" t="n">
        <f aca="false">MZ23/Inputs!$B$34</f>
        <v>323.938265303368</v>
      </c>
      <c r="NB23" s="15" t="n">
        <f aca="false">B23^2/NA23</f>
        <v>11.1132286166582</v>
      </c>
      <c r="NC23" s="15" t="n">
        <f aca="false">Inputs!$B$54*H23/(Inputs!$B$35*F23+E23*H23^2/(PI()*NB23*Inputs!$B$36))</f>
        <v>19.8168420986476</v>
      </c>
      <c r="ND23" s="15" t="n">
        <f aca="false">EXP(-Inputs!$B$11*Inputs!$B$14*Inputs!$B$17/(Inputs!$B$51*NC23*Inputs!$B$16))</f>
        <v>0.75885308332777</v>
      </c>
      <c r="NE23" s="15" t="n">
        <f aca="false">Inputs!$B$50*Inputs!$B$18*ND23*Inputs!$B$19</f>
        <v>0.741493734269149</v>
      </c>
      <c r="NF23" s="15" t="n">
        <f aca="false">1-NE23</f>
        <v>0.258506265730851</v>
      </c>
      <c r="NG23" s="15" t="n">
        <f aca="false">Inputs!$B$20*NF23</f>
        <v>0.00775518797192552</v>
      </c>
      <c r="NH23" s="15" t="n">
        <f aca="false">0.8*(1-Inputs!$B$50)*(NE23-NG23)</f>
        <v>0.00176728853251986</v>
      </c>
      <c r="NI23" s="15" t="n">
        <f aca="false">NE23-NG23-NH23</f>
        <v>0.731971257764704</v>
      </c>
      <c r="NJ23" s="15" t="n">
        <f aca="false">NI23*(1-Inputs!$B$18*EXP(-Inputs!$B$21*Inputs!$B$14*Inputs!$B$17/(Inputs!$B$22*Inputs!$B$23*Inputs!$B$24*NC23*Inputs!$B$16))*Inputs!$B$19)</f>
        <v>0.0261849157239968</v>
      </c>
      <c r="NK23" s="15" t="n">
        <f aca="false">(NI23-NJ23)*(1-EXP(-Inputs!$B$25*Inputs!$B$14*Inputs!$B$17*Inputs!$B$26/(NC23*Inputs!$B$16/0.866)))</f>
        <v>0.00739803236593309</v>
      </c>
      <c r="NL23" s="15" t="n">
        <f aca="false">(NI23-NJ23-NK23)*(1-Inputs!$B$19)</f>
        <v>0.00349194154837387</v>
      </c>
      <c r="NM23" s="15" t="n">
        <f aca="false">(NF23+NG23+NH23+NJ23+NK23+NL23)*(1+Inputs!$B$27)</f>
        <v>0.306018942769221</v>
      </c>
      <c r="NN23" s="15" t="n">
        <f aca="false">Inputs!$B$52/(1-NM23-G23)</f>
        <v>194362.959182015</v>
      </c>
    </row>
    <row r="24" customFormat="false" ht="15" hidden="false" customHeight="false" outlineLevel="0" collapsed="false">
      <c r="A24" s="0" t="s">
        <v>500</v>
      </c>
      <c r="B24" s="0" t="n">
        <v>62</v>
      </c>
      <c r="C24" s="12" t="n">
        <v>0</v>
      </c>
      <c r="D24" s="13" t="n">
        <f aca="false">B24*C24</f>
        <v>0</v>
      </c>
      <c r="E24" s="14" t="n">
        <f aca="false">IF(C24=0,1,(1+0.45*C24)/(1.04+2.81*C24))</f>
        <v>1</v>
      </c>
      <c r="F24" s="14" t="n">
        <f aca="false">1+Inputs!$B$42*D24</f>
        <v>1</v>
      </c>
      <c r="G24" s="15" t="n">
        <f aca="false">Inputs!$B$31+Inputs!$B$43*(B24/Inputs!$B$32-1)</f>
        <v>0.5165625</v>
      </c>
      <c r="H24" s="12" t="n">
        <f aca="false">Inputs!$B$37</f>
        <v>0.5</v>
      </c>
      <c r="I24" s="13" t="n">
        <f aca="false">Inputs!$B$39</f>
        <v>2.6</v>
      </c>
      <c r="J24" s="16" t="n">
        <f aca="false">NN24/Inputs!$B$34</f>
        <v>335.220520714081</v>
      </c>
      <c r="K24" s="13" t="n">
        <f aca="false">B24^2/J24</f>
        <v>11.4670784229187</v>
      </c>
      <c r="L24" s="13" t="n">
        <f aca="false">K24</f>
        <v>11.4670784229187</v>
      </c>
      <c r="M24" s="12" t="n">
        <f aca="false">NC24</f>
        <v>18.5163245726892</v>
      </c>
      <c r="N24" s="13" t="n">
        <f aca="false">B24/SQRT(E24)</f>
        <v>62</v>
      </c>
      <c r="O24" s="14" t="n">
        <f aca="false">NM24</f>
        <v>0.321230843068105</v>
      </c>
      <c r="P24" s="13" t="n">
        <f aca="false">NN24/1000</f>
        <v>201.132312428449</v>
      </c>
      <c r="Q24" s="13" t="n">
        <f aca="false">G24*NN24/1000</f>
        <v>103.897410138821</v>
      </c>
      <c r="R24" s="13" t="n">
        <f aca="false">NM24*NN24/1000</f>
        <v>64.6099022896282</v>
      </c>
      <c r="S24" s="13" t="n">
        <f aca="false">NM24*NN24/Inputs!$B$28/1000</f>
        <v>86.1465363861709</v>
      </c>
      <c r="T24" s="17" t="n">
        <f aca="false">R24/Sweep!$R$5-1</f>
        <v>0.0338143200226055</v>
      </c>
      <c r="U24" s="17" t="n">
        <f aca="false">R24/SUMIFS(Sweep!$R:$R,Sweep!$A:$A,"Conventional",Sweep!$B:$B,B24)-1</f>
        <v>0</v>
      </c>
      <c r="V24" s="16" t="n">
        <f aca="false">1*0.54*(J24/1)^1.5/SQRT(L24)*Inputs!$B$46*Inputs!$B$47</f>
        <v>91.5113313898358</v>
      </c>
      <c r="W24" s="18" t="n">
        <f aca="false">MIN(1,V24/S24)</f>
        <v>1</v>
      </c>
      <c r="X24" s="16" t="n">
        <f aca="false">1.23*SQRT(2*Inputs!$B$41*NN24*Inputs!$B$49/(1.225*J24*I24))/0.5144</f>
        <v>128.387239561919</v>
      </c>
      <c r="Y24" s="19" t="n">
        <f aca="false">(11000+6341.6*LN(0.36392/(2*Inputs!$B$50*Inputs!$B$18*(1+ND24)/2*Inputs!$B$34*Inputs!$B$49/((Inputs!$B$12*295.07)^2*H24))))/0.3048</f>
        <v>38728.8698754187</v>
      </c>
      <c r="Z24" s="16" t="n">
        <f aca="false">NN24-MZ24</f>
        <v>7.06295541021973E-005</v>
      </c>
      <c r="AA24" s="20" t="str">
        <f aca="false">IF(ABS(NN24-MZ24)&lt;10,"Yes","No")</f>
        <v>Yes</v>
      </c>
      <c r="AC24" s="15" t="n">
        <f aca="false">Inputs!$B$52/(1-0.3154-G24)/Inputs!$B$34</f>
        <v>323.588484713234</v>
      </c>
      <c r="AD24" s="15" t="n">
        <f aca="false">B24^2/AC24</f>
        <v>11.8792855172414</v>
      </c>
      <c r="AE24" s="15" t="n">
        <f aca="false">Inputs!$B$54*H24/(Inputs!$B$35*F24+E24*H24^2/(PI()*AD24*Inputs!$B$36))</f>
        <v>18.7359820468523</v>
      </c>
      <c r="AF24" s="15" t="n">
        <f aca="false">EXP(-Inputs!$B$11*Inputs!$B$14*Inputs!$B$17/(Inputs!$B$51*AE24*Inputs!$B$16))</f>
        <v>0.746868462042174</v>
      </c>
      <c r="AG24" s="15" t="n">
        <f aca="false">Inputs!$B$50*Inputs!$B$18*AF24*Inputs!$B$19</f>
        <v>0.729783270430895</v>
      </c>
      <c r="AH24" s="15" t="n">
        <f aca="false">1-AG24</f>
        <v>0.270216729569105</v>
      </c>
      <c r="AI24" s="15" t="n">
        <f aca="false">Inputs!$B$20*AH24</f>
        <v>0.00810650188707316</v>
      </c>
      <c r="AJ24" s="15" t="n">
        <f aca="false">0.8*(1-Inputs!$B$50)*(AG24-AI24)</f>
        <v>0.0017382364381288</v>
      </c>
      <c r="AK24" s="15" t="n">
        <f aca="false">AG24-AI24-AJ24</f>
        <v>0.719938532105693</v>
      </c>
      <c r="AL24" s="15" t="n">
        <f aca="false">AK24*(1-Inputs!$B$18*EXP(-Inputs!$B$21*Inputs!$B$14*Inputs!$B$17/(Inputs!$B$22*Inputs!$B$23*Inputs!$B$24*AE24*Inputs!$B$16))*Inputs!$B$19)</f>
        <v>0.0264070233728429</v>
      </c>
      <c r="AM24" s="15" t="n">
        <f aca="false">(AK24-AL24)*(1-EXP(-Inputs!$B$25*Inputs!$B$14*Inputs!$B$17*Inputs!$B$26/(AE24*Inputs!$B$16/0.866)))</f>
        <v>0.00768661977811592</v>
      </c>
      <c r="AN24" s="15" t="n">
        <f aca="false">(AK24-AL24-AM24)*(1-Inputs!$B$19)</f>
        <v>0.00342922444477367</v>
      </c>
      <c r="AO24" s="15" t="n">
        <f aca="false">(AH24+AI24+AJ24+AL24+AM24+AN24)*(1+Inputs!$B$27)</f>
        <v>0.31853708849651</v>
      </c>
      <c r="AP24" s="15" t="n">
        <f aca="false">Inputs!$B$52/(1-AO24-G24)</f>
        <v>197846.686388102</v>
      </c>
      <c r="AQ24" s="15" t="n">
        <f aca="false">AP24/Inputs!$B$34</f>
        <v>329.744477313504</v>
      </c>
      <c r="AR24" s="15" t="n">
        <f aca="false">B24^2/AQ24</f>
        <v>11.6575113897824</v>
      </c>
      <c r="AS24" s="15" t="n">
        <f aca="false">Inputs!$B$54*H24/(Inputs!$B$35*F24+E24*H24^2/(PI()*AR24*Inputs!$B$36))</f>
        <v>18.6190881158838</v>
      </c>
      <c r="AT24" s="15" t="n">
        <f aca="false">EXP(-Inputs!$B$11*Inputs!$B$14*Inputs!$B$17/(Inputs!$B$51*AS24*Inputs!$B$16))</f>
        <v>0.745501162588341</v>
      </c>
      <c r="AU24" s="15" t="n">
        <f aca="false">Inputs!$B$50*Inputs!$B$18*AT24*Inputs!$B$19</f>
        <v>0.728447249005718</v>
      </c>
      <c r="AV24" s="15" t="n">
        <f aca="false">1-AU24</f>
        <v>0.271552750994282</v>
      </c>
      <c r="AW24" s="15" t="n">
        <f aca="false">Inputs!$B$20*AV24</f>
        <v>0.00814658252982845</v>
      </c>
      <c r="AX24" s="15" t="n">
        <f aca="false">0.8*(1-Inputs!$B$50)*(AU24-AW24)</f>
        <v>0.00173492194767916</v>
      </c>
      <c r="AY24" s="15" t="n">
        <f aca="false">AU24-AW24-AX24</f>
        <v>0.718565744528211</v>
      </c>
      <c r="AZ24" s="15" t="n">
        <f aca="false">AY24*(1-Inputs!$B$18*EXP(-Inputs!$B$21*Inputs!$B$14*Inputs!$B$17/(Inputs!$B$22*Inputs!$B$23*Inputs!$B$24*AS24*Inputs!$B$16))*Inputs!$B$19)</f>
        <v>0.0264316008319412</v>
      </c>
      <c r="BA24" s="15" t="n">
        <f aca="false">(AY24-AZ24)*(1-EXP(-Inputs!$B$25*Inputs!$B$14*Inputs!$B$17*Inputs!$B$26/(AS24*Inputs!$B$16/0.866)))</f>
        <v>0.0077190235279825</v>
      </c>
      <c r="BB24" s="15" t="n">
        <f aca="false">(AY24-AZ24-BA24)*(1-Inputs!$B$19)</f>
        <v>0.00342207560084144</v>
      </c>
      <c r="BC24" s="15" t="n">
        <f aca="false">(AV24+AW24+AX24+AZ24+BA24+BB24)*(1+Inputs!$B$27)</f>
        <v>0.319963976298852</v>
      </c>
      <c r="BD24" s="15" t="n">
        <f aca="false">Inputs!$B$52/(1-BC24-G24)</f>
        <v>199573.602265055</v>
      </c>
      <c r="BE24" s="15" t="n">
        <f aca="false">BD24/Inputs!$B$34</f>
        <v>332.622670441759</v>
      </c>
      <c r="BF24" s="15" t="n">
        <f aca="false">B24^2/BE24</f>
        <v>11.5566386226614</v>
      </c>
      <c r="BG24" s="15" t="n">
        <f aca="false">Inputs!$B$54*H24/(Inputs!$B$35*F24+E24*H24^2/(PI()*BF24*Inputs!$B$36))</f>
        <v>18.5649340889645</v>
      </c>
      <c r="BH24" s="15" t="n">
        <f aca="false">EXP(-Inputs!$B$11*Inputs!$B$14*Inputs!$B$17/(Inputs!$B$51*BG24*Inputs!$B$16))</f>
        <v>0.744862749909853</v>
      </c>
      <c r="BI24" s="15" t="n">
        <f aca="false">Inputs!$B$50*Inputs!$B$18*BH24*Inputs!$B$19</f>
        <v>0.727823440509215</v>
      </c>
      <c r="BJ24" s="15" t="n">
        <f aca="false">1-BI24</f>
        <v>0.272176559490785</v>
      </c>
      <c r="BK24" s="15" t="n">
        <f aca="false">Inputs!$B$20*BJ24</f>
        <v>0.00816529678472354</v>
      </c>
      <c r="BL24" s="15" t="n">
        <f aca="false">0.8*(1-Inputs!$B$50)*(BI24-BK24)</f>
        <v>0.00173337436223996</v>
      </c>
      <c r="BM24" s="15" t="n">
        <f aca="false">BI24-BK24-BL24</f>
        <v>0.717924769362252</v>
      </c>
      <c r="BN24" s="15" t="n">
        <f aca="false">BM24*(1-Inputs!$B$18*EXP(-Inputs!$B$21*Inputs!$B$14*Inputs!$B$17/(Inputs!$B$22*Inputs!$B$23*Inputs!$B$24*BG24*Inputs!$B$16))*Inputs!$B$19)</f>
        <v>0.0264430226232195</v>
      </c>
      <c r="BO24" s="15" t="n">
        <f aca="false">(BM24-BN24)*(1-EXP(-Inputs!$B$25*Inputs!$B$14*Inputs!$B$17*Inputs!$B$26/(BG24*Inputs!$B$16/0.866)))</f>
        <v>0.00773411661493669</v>
      </c>
      <c r="BP24" s="15" t="n">
        <f aca="false">(BM24-BN24-BO24)*(1-Inputs!$B$19)</f>
        <v>0.00341873815062048</v>
      </c>
      <c r="BQ24" s="15" t="n">
        <f aca="false">(BJ24+BK24+BL24+BN24+BO24+BP24)*(1+Inputs!$B$27)</f>
        <v>0.320630121350604</v>
      </c>
      <c r="BR24" s="15" t="n">
        <f aca="false">Inputs!$B$52/(1-BQ24-G24)</f>
        <v>200390.180535107</v>
      </c>
      <c r="BS24" s="15" t="n">
        <f aca="false">BR24/Inputs!$B$34</f>
        <v>333.983634225179</v>
      </c>
      <c r="BT24" s="15" t="n">
        <f aca="false">B24^2/BS24</f>
        <v>11.5095459959223</v>
      </c>
      <c r="BU24" s="15" t="n">
        <f aca="false">Inputs!$B$54*H24/(Inputs!$B$35*F24+E24*H24^2/(PI()*BT24*Inputs!$B$36))</f>
        <v>18.5394367110872</v>
      </c>
      <c r="BV24" s="15" t="n">
        <f aca="false">EXP(-Inputs!$B$11*Inputs!$B$14*Inputs!$B$17/(Inputs!$B$51*BU24*Inputs!$B$16))</f>
        <v>0.744561064624712</v>
      </c>
      <c r="BW24" s="15" t="n">
        <f aca="false">Inputs!$B$50*Inputs!$B$18*BV24*Inputs!$B$19</f>
        <v>0.727528656507454</v>
      </c>
      <c r="BX24" s="15" t="n">
        <f aca="false">1-BW24</f>
        <v>0.272471343492546</v>
      </c>
      <c r="BY24" s="15" t="n">
        <f aca="false">Inputs!$B$20*BX24</f>
        <v>0.00817414030477639</v>
      </c>
      <c r="BZ24" s="15" t="n">
        <f aca="false">0.8*(1-Inputs!$B$50)*(BW24-BY24)</f>
        <v>0.0017326430425619</v>
      </c>
      <c r="CA24" s="15" t="n">
        <f aca="false">BW24-BY24-BZ24</f>
        <v>0.717621873160115</v>
      </c>
      <c r="CB24" s="15" t="n">
        <f aca="false">CA24*(1-Inputs!$B$18*EXP(-Inputs!$B$21*Inputs!$B$14*Inputs!$B$17/(Inputs!$B$22*Inputs!$B$23*Inputs!$B$24*BU24*Inputs!$B$16))*Inputs!$B$19)</f>
        <v>0.0264484081241397</v>
      </c>
      <c r="CC24" s="15" t="n">
        <f aca="false">(CA24-CB24)*(1-EXP(-Inputs!$B$25*Inputs!$B$14*Inputs!$B$17*Inputs!$B$26/(BU24*Inputs!$B$16/0.866)))</f>
        <v>0.00774124079437907</v>
      </c>
      <c r="CD24" s="15" t="n">
        <f aca="false">(CA24-CB24-CC24)*(1-Inputs!$B$19)</f>
        <v>0.00341716112120799</v>
      </c>
      <c r="CE24" s="15" t="n">
        <f aca="false">(BX24+BY24+BZ24+CB24+CC24+CD24)*(1+Inputs!$B$27)</f>
        <v>0.32094489169025</v>
      </c>
      <c r="CF24" s="15" t="n">
        <f aca="false">Inputs!$B$52/(1-CE24-G24)</f>
        <v>200778.363639834</v>
      </c>
      <c r="CG24" s="15" t="n">
        <f aca="false">CF24/Inputs!$B$34</f>
        <v>334.63060606639</v>
      </c>
      <c r="CH24" s="15" t="n">
        <f aca="false">B24^2/CG24</f>
        <v>11.4872935419343</v>
      </c>
      <c r="CI24" s="15" t="n">
        <f aca="false">Inputs!$B$54*H24/(Inputs!$B$35*F24+E24*H24^2/(PI()*CH24*Inputs!$B$36))</f>
        <v>18.5273403706985</v>
      </c>
      <c r="CJ24" s="15" t="n">
        <f aca="false">EXP(-Inputs!$B$11*Inputs!$B$14*Inputs!$B$17/(Inputs!$B$51*CI24*Inputs!$B$16))</f>
        <v>0.744417693018316</v>
      </c>
      <c r="CK24" s="15" t="n">
        <f aca="false">Inputs!$B$50*Inputs!$B$18*CJ24*Inputs!$B$19</f>
        <v>0.727388564637037</v>
      </c>
      <c r="CL24" s="15" t="n">
        <f aca="false">1-CK24</f>
        <v>0.272611435362963</v>
      </c>
      <c r="CM24" s="15" t="n">
        <f aca="false">Inputs!$B$20*CL24</f>
        <v>0.0081783430608889</v>
      </c>
      <c r="CN24" s="15" t="n">
        <f aca="false">0.8*(1-Inputs!$B$50)*(CK24-CM24)</f>
        <v>0.00173229549337008</v>
      </c>
      <c r="CO24" s="15" t="n">
        <f aca="false">CK24-CM24-CN24</f>
        <v>0.717477926082778</v>
      </c>
      <c r="CP24" s="15" t="n">
        <f aca="false">CO24*(1-Inputs!$B$18*EXP(-Inputs!$B$21*Inputs!$B$14*Inputs!$B$17/(Inputs!$B$22*Inputs!$B$23*Inputs!$B$24*CI24*Inputs!$B$16))*Inputs!$B$19)</f>
        <v>0.0264509648216063</v>
      </c>
      <c r="CQ24" s="15" t="n">
        <f aca="false">(CO24-CP24)*(1-EXP(-Inputs!$B$25*Inputs!$B$14*Inputs!$B$17*Inputs!$B$26/(CI24*Inputs!$B$16/0.866)))</f>
        <v>0.00774462462669477</v>
      </c>
      <c r="CR24" s="15" t="n">
        <f aca="false">(CO24-CP24-CQ24)*(1-Inputs!$B$19)</f>
        <v>0.00341641168317239</v>
      </c>
      <c r="CS24" s="15" t="n">
        <f aca="false">(CL24+CM24+CN24+CP24+CQ24+CR24)*(1+Inputs!$B$27)</f>
        <v>0.321094477273842</v>
      </c>
      <c r="CT24" s="15" t="n">
        <f aca="false">Inputs!$B$52/(1-CS24-G24)</f>
        <v>200963.364191094</v>
      </c>
      <c r="CU24" s="15" t="n">
        <f aca="false">CT24/Inputs!$B$34</f>
        <v>334.93894031849</v>
      </c>
      <c r="CV24" s="15" t="n">
        <f aca="false">B24^2/CU24</f>
        <v>11.4767187008616</v>
      </c>
      <c r="CW24" s="15" t="n">
        <f aca="false">Inputs!$B$54*H24/(Inputs!$B$35*F24+E24*H24^2/(PI()*CV24*Inputs!$B$36))</f>
        <v>18.5215810413553</v>
      </c>
      <c r="CX24" s="15" t="n">
        <f aca="false">EXP(-Inputs!$B$11*Inputs!$B$14*Inputs!$B$17/(Inputs!$B$51*CW24*Inputs!$B$16))</f>
        <v>0.74434937460097</v>
      </c>
      <c r="CY24" s="15" t="n">
        <f aca="false">Inputs!$B$50*Inputs!$B$18*CX24*Inputs!$B$19</f>
        <v>0.727321809056134</v>
      </c>
      <c r="CZ24" s="15" t="n">
        <f aca="false">1-CY24</f>
        <v>0.272678190943866</v>
      </c>
      <c r="DA24" s="15" t="n">
        <f aca="false">Inputs!$B$20*CZ24</f>
        <v>0.00818034572831597</v>
      </c>
      <c r="DB24" s="15" t="n">
        <f aca="false">0.8*(1-Inputs!$B$50)*(CY24-DA24)</f>
        <v>0.00173212988170309</v>
      </c>
      <c r="DC24" s="15" t="n">
        <f aca="false">CY24-DA24-DB24</f>
        <v>0.717409333446115</v>
      </c>
      <c r="DD24" s="15" t="n">
        <f aca="false">DC24*(1-Inputs!$B$18*EXP(-Inputs!$B$21*Inputs!$B$14*Inputs!$B$17/(Inputs!$B$22*Inputs!$B$23*Inputs!$B$24*CW24*Inputs!$B$16))*Inputs!$B$19)</f>
        <v>0.0264521825122706</v>
      </c>
      <c r="DE24" s="15" t="n">
        <f aca="false">(DC24-DD24)*(1-EXP(-Inputs!$B$25*Inputs!$B$14*Inputs!$B$17*Inputs!$B$26/(CW24*Inputs!$B$16/0.866)))</f>
        <v>0.00774623665111357</v>
      </c>
      <c r="DF24" s="15" t="n">
        <f aca="false">(DC24-DD24-DE24)*(1-Inputs!$B$19)</f>
        <v>0.00341605457141366</v>
      </c>
      <c r="DG24" s="15" t="n">
        <f aca="false">(CZ24+DA24+DB24+DD24+DE24+DF24)*(1+Inputs!$B$27)</f>
        <v>0.321165755709549</v>
      </c>
      <c r="DH24" s="15" t="n">
        <f aca="false">Inputs!$B$52/(1-DG24-G24)</f>
        <v>201051.638057235</v>
      </c>
      <c r="DI24" s="15" t="n">
        <f aca="false">DH24/Inputs!$B$34</f>
        <v>335.086063428725</v>
      </c>
      <c r="DJ24" s="15" t="n">
        <f aca="false">B24^2/DI24</f>
        <v>11.4716797251034</v>
      </c>
      <c r="DK24" s="15" t="n">
        <f aca="false">Inputs!$B$54*H24/(Inputs!$B$35*F24+E24*H24^2/(PI()*DJ24*Inputs!$B$36))</f>
        <v>18.5188342124872</v>
      </c>
      <c r="DL24" s="15" t="n">
        <f aca="false">EXP(-Inputs!$B$11*Inputs!$B$14*Inputs!$B$17/(Inputs!$B$51*DK24*Inputs!$B$16))</f>
        <v>0.744316778362729</v>
      </c>
      <c r="DM24" s="15" t="n">
        <f aca="false">Inputs!$B$50*Inputs!$B$18*DL24*Inputs!$B$19</f>
        <v>0.727289958481961</v>
      </c>
      <c r="DN24" s="15" t="n">
        <f aca="false">1-DM24</f>
        <v>0.272710041518039</v>
      </c>
      <c r="DO24" s="15" t="n">
        <f aca="false">Inputs!$B$20*DN24</f>
        <v>0.00818130124554116</v>
      </c>
      <c r="DP24" s="15" t="n">
        <f aca="false">0.8*(1-Inputs!$B$50)*(DM24-DO24)</f>
        <v>0.0017320508646889</v>
      </c>
      <c r="DQ24" s="15" t="n">
        <f aca="false">DM24-DO24-DP24</f>
        <v>0.717376606371731</v>
      </c>
      <c r="DR24" s="15" t="n">
        <f aca="false">DQ24*(1-Inputs!$B$18*EXP(-Inputs!$B$21*Inputs!$B$14*Inputs!$B$17/(Inputs!$B$22*Inputs!$B$23*Inputs!$B$24*DK24*Inputs!$B$16))*Inputs!$B$19)</f>
        <v>0.026452763361159</v>
      </c>
      <c r="DS24" s="15" t="n">
        <f aca="false">(DQ24-DR24)*(1-EXP(-Inputs!$B$25*Inputs!$B$14*Inputs!$B$17*Inputs!$B$26/(DK24*Inputs!$B$16/0.866)))</f>
        <v>0.00774700568939903</v>
      </c>
      <c r="DT24" s="15" t="n">
        <f aca="false">(DQ24-DR24-DS24)*(1-Inputs!$B$19)</f>
        <v>0.00341588418660587</v>
      </c>
      <c r="DU24" s="15" t="n">
        <f aca="false">(DN24+DO24+DP24+DR24+DS24+DT24)*(1+Inputs!$B$27)</f>
        <v>0.321199764006029</v>
      </c>
      <c r="DV24" s="15" t="n">
        <f aca="false">Inputs!$B$52/(1-DU24-G24)</f>
        <v>201093.782529191</v>
      </c>
      <c r="DW24" s="15" t="n">
        <f aca="false">DV24/Inputs!$B$34</f>
        <v>335.156304215319</v>
      </c>
      <c r="DX24" s="15" t="n">
        <f aca="false">B24^2/DW24</f>
        <v>11.4692755339922</v>
      </c>
      <c r="DY24" s="15" t="n">
        <f aca="false">Inputs!$B$54*H24/(Inputs!$B$35*F24+E24*H24^2/(PI()*DX24*Inputs!$B$36))</f>
        <v>18.5175230850356</v>
      </c>
      <c r="DZ24" s="15" t="n">
        <f aca="false">EXP(-Inputs!$B$11*Inputs!$B$14*Inputs!$B$17/(Inputs!$B$51*DY24*Inputs!$B$16))</f>
        <v>0.744301216488438</v>
      </c>
      <c r="EA24" s="15" t="n">
        <f aca="false">Inputs!$B$50*Inputs!$B$18*DZ24*Inputs!$B$19</f>
        <v>0.727274752597538</v>
      </c>
      <c r="EB24" s="15" t="n">
        <f aca="false">1-EA24</f>
        <v>0.272725247402462</v>
      </c>
      <c r="EC24" s="15" t="n">
        <f aca="false">Inputs!$B$20*EB24</f>
        <v>0.00818175742207387</v>
      </c>
      <c r="ED24" s="15" t="n">
        <f aca="false">0.8*(1-Inputs!$B$50)*(EA24-EC24)</f>
        <v>0.00173201314092359</v>
      </c>
      <c r="EE24" s="15" t="n">
        <f aca="false">EA24-EC24-ED24</f>
        <v>0.71736098203454</v>
      </c>
      <c r="EF24" s="15" t="n">
        <f aca="false">EE24*(1-Inputs!$B$18*EXP(-Inputs!$B$21*Inputs!$B$14*Inputs!$B$17/(Inputs!$B$22*Inputs!$B$23*Inputs!$B$24*DY24*Inputs!$B$16))*Inputs!$B$19)</f>
        <v>0.0264530406345406</v>
      </c>
      <c r="EG24" s="15" t="n">
        <f aca="false">(EE24-EF24)*(1-EXP(-Inputs!$B$25*Inputs!$B$14*Inputs!$B$17*Inputs!$B$26/(DY24*Inputs!$B$16/0.866)))</f>
        <v>0.00774737281690298</v>
      </c>
      <c r="EH24" s="15" t="n">
        <f aca="false">(EE24-EF24-EG24)*(1-Inputs!$B$19)</f>
        <v>0.00341580284291549</v>
      </c>
      <c r="EI24" s="15" t="n">
        <f aca="false">(EB24+EC24+ED24+EF24+EG24+EH24)*(1+Inputs!$B$27)</f>
        <v>0.321215999962598</v>
      </c>
      <c r="EJ24" s="15" t="n">
        <f aca="false">Inputs!$B$52/(1-EI24-G24)</f>
        <v>201113.909022404</v>
      </c>
      <c r="EK24" s="15" t="n">
        <f aca="false">EJ24/Inputs!$B$34</f>
        <v>335.189848370674</v>
      </c>
      <c r="EL24" s="15" t="n">
        <f aca="false">B24^2/EK24</f>
        <v>11.4681277451728</v>
      </c>
      <c r="EM24" s="15" t="n">
        <f aca="false">Inputs!$B$54*H24/(Inputs!$B$35*F24+E24*H24^2/(PI()*EL24*Inputs!$B$36))</f>
        <v>18.5168970091563</v>
      </c>
      <c r="EN24" s="15" t="n">
        <f aca="false">EXP(-Inputs!$B$11*Inputs!$B$14*Inputs!$B$17/(Inputs!$B$51*EM24*Inputs!$B$16))</f>
        <v>0.74429378488223</v>
      </c>
      <c r="EO24" s="15" t="n">
        <f aca="false">Inputs!$B$50*Inputs!$B$18*EN24*Inputs!$B$19</f>
        <v>0.727267490995048</v>
      </c>
      <c r="EP24" s="15" t="n">
        <f aca="false">1-EO24</f>
        <v>0.272732509004952</v>
      </c>
      <c r="EQ24" s="15" t="n">
        <f aca="false">Inputs!$B$20*EP24</f>
        <v>0.00818197527014856</v>
      </c>
      <c r="ER24" s="15" t="n">
        <f aca="false">0.8*(1-Inputs!$B$50)*(EO24-EQ24)</f>
        <v>0.00173199512585912</v>
      </c>
      <c r="ES24" s="15" t="n">
        <f aca="false">EO24-EQ24-ER24</f>
        <v>0.717353520599041</v>
      </c>
      <c r="ET24" s="15" t="n">
        <f aca="false">ES24*(1-Inputs!$B$18*EXP(-Inputs!$B$21*Inputs!$B$14*Inputs!$B$17/(Inputs!$B$22*Inputs!$B$23*Inputs!$B$24*EM24*Inputs!$B$16))*Inputs!$B$19)</f>
        <v>0.0264531730398421</v>
      </c>
      <c r="EU24" s="15" t="n">
        <f aca="false">(ES24-ET24)*(1-EXP(-Inputs!$B$25*Inputs!$B$14*Inputs!$B$17*Inputs!$B$26/(EM24*Inputs!$B$16/0.866)))</f>
        <v>0.00774754813451689</v>
      </c>
      <c r="EV24" s="15" t="n">
        <f aca="false">(ES24-ET24-EU24)*(1-Inputs!$B$19)</f>
        <v>0.00341576399712341</v>
      </c>
      <c r="EW24" s="15" t="n">
        <f aca="false">(EP24+EQ24+ER24+ET24+EU24+EV24)*(1+Inputs!$B$27)</f>
        <v>0.321223753466159</v>
      </c>
      <c r="EX24" s="15" t="n">
        <f aca="false">Inputs!$B$52/(1-EW24-G24)</f>
        <v>201123.521878547</v>
      </c>
      <c r="EY24" s="15" t="n">
        <f aca="false">EX24/Inputs!$B$34</f>
        <v>335.205869797579</v>
      </c>
      <c r="EZ24" s="15" t="n">
        <f aca="false">B24^2/EY24</f>
        <v>11.4675796170314</v>
      </c>
      <c r="FA24" s="15" t="n">
        <f aca="false">Inputs!$B$54*H24/(Inputs!$B$35*F24+E24*H24^2/(PI()*EZ24*Inputs!$B$36))</f>
        <v>18.5165979964751</v>
      </c>
      <c r="FB24" s="15" t="n">
        <f aca="false">EXP(-Inputs!$B$11*Inputs!$B$14*Inputs!$B$17/(Inputs!$B$51*FA24*Inputs!$B$16))</f>
        <v>0.744290235409719</v>
      </c>
      <c r="FC24" s="15" t="n">
        <f aca="false">Inputs!$B$50*Inputs!$B$18*FB24*Inputs!$B$19</f>
        <v>0.727264022719456</v>
      </c>
      <c r="FD24" s="15" t="n">
        <f aca="false">1-FC24</f>
        <v>0.272735977280544</v>
      </c>
      <c r="FE24" s="15" t="n">
        <f aca="false">Inputs!$B$20*FD24</f>
        <v>0.00818207931841632</v>
      </c>
      <c r="FF24" s="15" t="n">
        <f aca="false">0.8*(1-Inputs!$B$50)*(FC24-FE24)</f>
        <v>0.00173198652153129</v>
      </c>
      <c r="FG24" s="15" t="n">
        <f aca="false">FC24-FE24-FF24</f>
        <v>0.717349956879508</v>
      </c>
      <c r="FH24" s="15" t="n">
        <f aca="false">FG24*(1-Inputs!$B$18*EXP(-Inputs!$B$21*Inputs!$B$14*Inputs!$B$17/(Inputs!$B$22*Inputs!$B$23*Inputs!$B$24*FA24*Inputs!$B$16))*Inputs!$B$19)</f>
        <v>0.0264532362774212</v>
      </c>
      <c r="FI24" s="15" t="n">
        <f aca="false">(FG24-FH24)*(1-EXP(-Inputs!$B$25*Inputs!$B$14*Inputs!$B$17*Inputs!$B$26/(FA24*Inputs!$B$16/0.866)))</f>
        <v>0.00774763186833101</v>
      </c>
      <c r="FJ24" s="15" t="n">
        <f aca="false">(FG24-FH24-FI24)*(1-Inputs!$B$19)</f>
        <v>0.00341574544366878</v>
      </c>
      <c r="FK24" s="15" t="n">
        <f aca="false">(FD24+FE24+FF24+FH24+FI24+FJ24)*(1+Inputs!$B$27)</f>
        <v>0.321227456680042</v>
      </c>
      <c r="FL24" s="15" t="n">
        <f aca="false">Inputs!$B$52/(1-FK24-G24)</f>
        <v>201128.113477213</v>
      </c>
      <c r="FM24" s="15" t="n">
        <f aca="false">FL24/Inputs!$B$34</f>
        <v>335.213522462021</v>
      </c>
      <c r="FN24" s="15" t="n">
        <f aca="false">B24^2/FM24</f>
        <v>11.4673178210927</v>
      </c>
      <c r="FO24" s="15" t="n">
        <f aca="false">Inputs!$B$54*H24/(Inputs!$B$35*F24+E24*H24^2/(PI()*FN24*Inputs!$B$36))</f>
        <v>18.5164551759181</v>
      </c>
      <c r="FP24" s="15" t="n">
        <f aca="false">EXP(-Inputs!$B$11*Inputs!$B$14*Inputs!$B$17/(Inputs!$B$51*FO24*Inputs!$B$16))</f>
        <v>0.744288540003527</v>
      </c>
      <c r="FQ24" s="15" t="n">
        <f aca="false">Inputs!$B$50*Inputs!$B$18*FP24*Inputs!$B$19</f>
        <v>0.727262366096988</v>
      </c>
      <c r="FR24" s="15" t="n">
        <f aca="false">1-FQ24</f>
        <v>0.272737633903012</v>
      </c>
      <c r="FS24" s="15" t="n">
        <f aca="false">Inputs!$B$20*FR24</f>
        <v>0.00818212901709037</v>
      </c>
      <c r="FT24" s="15" t="n">
        <f aca="false">0.8*(1-Inputs!$B$50)*(FQ24-FS24)</f>
        <v>0.00173198241167254</v>
      </c>
      <c r="FU24" s="15" t="n">
        <f aca="false">FQ24-FS24-FT24</f>
        <v>0.717348254668225</v>
      </c>
      <c r="FV24" s="15" t="n">
        <f aca="false">FU24*(1-Inputs!$B$18*EXP(-Inputs!$B$21*Inputs!$B$14*Inputs!$B$17/(Inputs!$B$22*Inputs!$B$23*Inputs!$B$24*FO24*Inputs!$B$16))*Inputs!$B$19)</f>
        <v>0.0264532664824881</v>
      </c>
      <c r="FW24" s="15" t="n">
        <f aca="false">(FU24-FV24)*(1-EXP(-Inputs!$B$25*Inputs!$B$14*Inputs!$B$17*Inputs!$B$26/(FO24*Inputs!$B$16/0.866)))</f>
        <v>0.00774767186354718</v>
      </c>
      <c r="FX24" s="15" t="n">
        <f aca="false">(FU24-FV24-FW24)*(1-Inputs!$B$19)</f>
        <v>0.00341573658161095</v>
      </c>
      <c r="FY24" s="15" t="n">
        <f aca="false">(FR24+FS24+FT24+FV24+FW24+FX24)*(1+Inputs!$B$27)</f>
        <v>0.3212292255202</v>
      </c>
      <c r="FZ24" s="15" t="n">
        <f aca="false">Inputs!$B$52/(1-FY24-G24)</f>
        <v>201130.306728358</v>
      </c>
      <c r="GA24" s="15" t="n">
        <f aca="false">FZ24/Inputs!$B$34</f>
        <v>335.217177880597</v>
      </c>
      <c r="GB24" s="15" t="n">
        <f aca="false">B24^2/GA24</f>
        <v>11.4671927742594</v>
      </c>
      <c r="GC24" s="15" t="n">
        <f aca="false">Inputs!$B$54*H24/(Inputs!$B$35*F24+E24*H24^2/(PI()*GB24*Inputs!$B$36))</f>
        <v>18.5163869561536</v>
      </c>
      <c r="GD24" s="15" t="n">
        <f aca="false">EXP(-Inputs!$B$11*Inputs!$B$14*Inputs!$B$17/(Inputs!$B$51*GC24*Inputs!$B$16))</f>
        <v>0.744287730166783</v>
      </c>
      <c r="GE24" s="15" t="n">
        <f aca="false">Inputs!$B$50*Inputs!$B$18*GD24*Inputs!$B$19</f>
        <v>0.727261574785883</v>
      </c>
      <c r="GF24" s="15" t="n">
        <f aca="false">1-GE24</f>
        <v>0.272738425214117</v>
      </c>
      <c r="GG24" s="15" t="n">
        <f aca="false">Inputs!$B$20*GF24</f>
        <v>0.00818215275642351</v>
      </c>
      <c r="GH24" s="15" t="n">
        <f aca="false">0.8*(1-Inputs!$B$50)*(GE24-GG24)</f>
        <v>0.00173198044853553</v>
      </c>
      <c r="GI24" s="15" t="n">
        <f aca="false">GE24-GG24-GH24</f>
        <v>0.717347441580924</v>
      </c>
      <c r="GJ24" s="15" t="n">
        <f aca="false">GI24*(1-Inputs!$B$18*EXP(-Inputs!$B$21*Inputs!$B$14*Inputs!$B$17/(Inputs!$B$22*Inputs!$B$23*Inputs!$B$24*GC24*Inputs!$B$16))*Inputs!$B$19)</f>
        <v>0.0264532809103158</v>
      </c>
      <c r="GK24" s="15" t="n">
        <f aca="false">(GI24-GJ24)*(1-EXP(-Inputs!$B$25*Inputs!$B$14*Inputs!$B$17*Inputs!$B$26/(GC24*Inputs!$B$16/0.866)))</f>
        <v>0.00774769096781675</v>
      </c>
      <c r="GL24" s="15" t="n">
        <f aca="false">(GI24-GJ24-GK24)*(1-Inputs!$B$19)</f>
        <v>0.00341573234851396</v>
      </c>
      <c r="GM24" s="15" t="n">
        <f aca="false">(GF24+GG24+GH24+GJ24+GK24+GL24)*(1+Inputs!$B$27)</f>
        <v>0.32123007043366</v>
      </c>
      <c r="GN24" s="15" t="n">
        <f aca="false">Inputs!$B$52/(1-GM24-G24)</f>
        <v>201131.354385077</v>
      </c>
      <c r="GO24" s="15" t="n">
        <f aca="false">GN24/Inputs!$B$34</f>
        <v>335.218923975128</v>
      </c>
      <c r="GP24" s="15" t="n">
        <f aca="false">B24^2/GO24</f>
        <v>11.4671330437336</v>
      </c>
      <c r="GQ24" s="15" t="n">
        <f aca="false">Inputs!$B$54*H24/(Inputs!$B$35*F24+E24*H24^2/(PI()*GP24*Inputs!$B$36))</f>
        <v>18.5163543695956</v>
      </c>
      <c r="GR24" s="15" t="n">
        <f aca="false">EXP(-Inputs!$B$11*Inputs!$B$14*Inputs!$B$17/(Inputs!$B$51*GQ24*Inputs!$B$16))</f>
        <v>0.744287343329997</v>
      </c>
      <c r="GS24" s="15" t="n">
        <f aca="false">Inputs!$B$50*Inputs!$B$18*GR24*Inputs!$B$19</f>
        <v>0.727261196798287</v>
      </c>
      <c r="GT24" s="15" t="n">
        <f aca="false">1-GS24</f>
        <v>0.272738803201713</v>
      </c>
      <c r="GU24" s="15" t="n">
        <f aca="false">Inputs!$B$20*GT24</f>
        <v>0.0081821640960514</v>
      </c>
      <c r="GV24" s="15" t="n">
        <f aca="false">0.8*(1-Inputs!$B$50)*(GS24-GU24)</f>
        <v>0.00173197951079887</v>
      </c>
      <c r="GW24" s="15" t="n">
        <f aca="false">GS24-GU24-GV24</f>
        <v>0.717347053191437</v>
      </c>
      <c r="GX24" s="15" t="n">
        <f aca="false">GW24*(1-Inputs!$B$18*EXP(-Inputs!$B$21*Inputs!$B$14*Inputs!$B$17/(Inputs!$B$22*Inputs!$B$23*Inputs!$B$24*GQ24*Inputs!$B$16))*Inputs!$B$19)</f>
        <v>0.0264532878020735</v>
      </c>
      <c r="GY24" s="15" t="n">
        <f aca="false">(GW24-GX24)*(1-EXP(-Inputs!$B$25*Inputs!$B$14*Inputs!$B$17*Inputs!$B$26/(GQ24*Inputs!$B$16/0.866)))</f>
        <v>0.00774770009338868</v>
      </c>
      <c r="GZ24" s="15" t="n">
        <f aca="false">(GW24-GX24-GY24)*(1-Inputs!$B$19)</f>
        <v>0.00341573032647987</v>
      </c>
      <c r="HA24" s="15" t="n">
        <f aca="false">(GT24+GU24+GV24+GX24+GY24+GZ24)*(1+Inputs!$B$27)</f>
        <v>0.321230474025597</v>
      </c>
      <c r="HB24" s="15" t="n">
        <f aca="false">Inputs!$B$52/(1-HA24-G24)</f>
        <v>201131.854825748</v>
      </c>
      <c r="HC24" s="15" t="n">
        <f aca="false">HB24/Inputs!$B$34</f>
        <v>335.219758042914</v>
      </c>
      <c r="HD24" s="15" t="n">
        <f aca="false">B24^2/HC24</f>
        <v>11.4671045121031</v>
      </c>
      <c r="HE24" s="15" t="n">
        <f aca="false">Inputs!$B$54*H24/(Inputs!$B$35*F24+E24*H24^2/(PI()*HD24*Inputs!$B$36))</f>
        <v>18.5163388038132</v>
      </c>
      <c r="HF24" s="15" t="n">
        <f aca="false">EXP(-Inputs!$B$11*Inputs!$B$14*Inputs!$B$17/(Inputs!$B$51*HE24*Inputs!$B$16))</f>
        <v>0.744287158547346</v>
      </c>
      <c r="HG24" s="15" t="n">
        <f aca="false">Inputs!$B$50*Inputs!$B$18*HF24*Inputs!$B$19</f>
        <v>0.727261016242681</v>
      </c>
      <c r="HH24" s="15" t="n">
        <f aca="false">1-HG24</f>
        <v>0.272738983757319</v>
      </c>
      <c r="HI24" s="15" t="n">
        <f aca="false">Inputs!$B$20*HH24</f>
        <v>0.00818216951271957</v>
      </c>
      <c r="HJ24" s="15" t="n">
        <f aca="false">0.8*(1-Inputs!$B$50)*(HG24-HI24)</f>
        <v>0.00173197906286456</v>
      </c>
      <c r="HK24" s="15" t="n">
        <f aca="false">HG24-HI24-HJ24</f>
        <v>0.717346867667097</v>
      </c>
      <c r="HL24" s="15" t="n">
        <f aca="false">HK24*(1-Inputs!$B$18*EXP(-Inputs!$B$21*Inputs!$B$14*Inputs!$B$17/(Inputs!$B$22*Inputs!$B$23*Inputs!$B$24*HE24*Inputs!$B$16))*Inputs!$B$19)</f>
        <v>0.0264532910940964</v>
      </c>
      <c r="HM24" s="15" t="n">
        <f aca="false">(HK24-HL24)*(1-EXP(-Inputs!$B$25*Inputs!$B$14*Inputs!$B$17*Inputs!$B$26/(HE24*Inputs!$B$16/0.866)))</f>
        <v>0.00774770445245242</v>
      </c>
      <c r="HN24" s="15" t="n">
        <f aca="false">(HK24-HL24-HM24)*(1-Inputs!$B$19)</f>
        <v>0.00341572936060274</v>
      </c>
      <c r="HO24" s="15" t="n">
        <f aca="false">(HH24+HI24+HJ24+HL24+HM24+HN24)*(1+Inputs!$B$27)</f>
        <v>0.321230666811775</v>
      </c>
      <c r="HP24" s="15" t="n">
        <f aca="false">Inputs!$B$52/(1-HO24-G24)</f>
        <v>201132.09387512</v>
      </c>
      <c r="HQ24" s="15" t="n">
        <f aca="false">HP24/Inputs!$B$34</f>
        <v>335.220156458533</v>
      </c>
      <c r="HR24" s="15" t="n">
        <f aca="false">B24^2/HQ24</f>
        <v>11.4670908832283</v>
      </c>
      <c r="HS24" s="15" t="n">
        <f aca="false">Inputs!$B$54*H24/(Inputs!$B$35*F24+E24*H24^2/(PI()*HR24*Inputs!$B$36))</f>
        <v>18.5163313683945</v>
      </c>
      <c r="HT24" s="15" t="n">
        <f aca="false">EXP(-Inputs!$B$11*Inputs!$B$14*Inputs!$B$17/(Inputs!$B$51*HS24*Inputs!$B$16))</f>
        <v>0.744287070280802</v>
      </c>
      <c r="HU24" s="15" t="n">
        <f aca="false">Inputs!$B$50*Inputs!$B$18*HT24*Inputs!$B$19</f>
        <v>0.727260929995302</v>
      </c>
      <c r="HV24" s="15" t="n">
        <f aca="false">1-HU24</f>
        <v>0.272739070004698</v>
      </c>
      <c r="HW24" s="15" t="n">
        <f aca="false">Inputs!$B$20*HV24</f>
        <v>0.00818217210014095</v>
      </c>
      <c r="HX24" s="15" t="n">
        <f aca="false">0.8*(1-Inputs!$B$50)*(HU24-HW24)</f>
        <v>0.00173197884889635</v>
      </c>
      <c r="HY24" s="15" t="n">
        <f aca="false">HU24-HW24-HX24</f>
        <v>0.717346779046265</v>
      </c>
      <c r="HZ24" s="15" t="n">
        <f aca="false">HY24*(1-Inputs!$B$18*EXP(-Inputs!$B$21*Inputs!$B$14*Inputs!$B$17/(Inputs!$B$22*Inputs!$B$23*Inputs!$B$24*HS24*Inputs!$B$16))*Inputs!$B$19)</f>
        <v>0.0264532926666211</v>
      </c>
      <c r="IA24" s="15" t="n">
        <f aca="false">(HY24-HZ24)*(1-EXP(-Inputs!$B$25*Inputs!$B$14*Inputs!$B$17*Inputs!$B$26/(HS24*Inputs!$B$16/0.866)))</f>
        <v>0.00774770653467909</v>
      </c>
      <c r="IB24" s="15" t="n">
        <f aca="false">(HY24-HZ24-IA24)*(1-Inputs!$B$19)</f>
        <v>0.00341572889922483</v>
      </c>
      <c r="IC24" s="15" t="n">
        <f aca="false">(HV24+HW24+HX24+HZ24+IA24+IB24)*(1+Inputs!$B$27)</f>
        <v>0.321230758901423</v>
      </c>
      <c r="ID24" s="15" t="n">
        <f aca="false">Inputs!$B$52/(1-IC24-G24)</f>
        <v>201132.208063863</v>
      </c>
      <c r="IE24" s="15" t="n">
        <f aca="false">ID24/Inputs!$B$34</f>
        <v>335.220346773104</v>
      </c>
      <c r="IF24" s="15" t="n">
        <f aca="false">B24^2/IE24</f>
        <v>11.4670843730194</v>
      </c>
      <c r="IG24" s="15" t="n">
        <f aca="false">Inputs!$B$54*H24/(Inputs!$B$35*F24+E24*H24^2/(PI()*IF24*Inputs!$B$36))</f>
        <v>18.5163278166571</v>
      </c>
      <c r="IH24" s="15" t="n">
        <f aca="false">EXP(-Inputs!$B$11*Inputs!$B$14*Inputs!$B$17/(Inputs!$B$51*IG24*Inputs!$B$16))</f>
        <v>0.744287028117776</v>
      </c>
      <c r="II24" s="15" t="n">
        <f aca="false">Inputs!$B$50*Inputs!$B$18*IH24*Inputs!$B$19</f>
        <v>0.727260888796788</v>
      </c>
      <c r="IJ24" s="15" t="n">
        <f aca="false">1-II24</f>
        <v>0.272739111203212</v>
      </c>
      <c r="IK24" s="15" t="n">
        <f aca="false">Inputs!$B$20*IJ24</f>
        <v>0.00818217333609637</v>
      </c>
      <c r="IL24" s="15" t="n">
        <f aca="false">0.8*(1-Inputs!$B$50)*(II24-IK24)</f>
        <v>0.00173197874668835</v>
      </c>
      <c r="IM24" s="15" t="n">
        <f aca="false">II24-IK24-IL24</f>
        <v>0.717346736714003</v>
      </c>
      <c r="IN24" s="15" t="n">
        <f aca="false">IM24*(1-Inputs!$B$18*EXP(-Inputs!$B$21*Inputs!$B$14*Inputs!$B$17/(Inputs!$B$22*Inputs!$B$23*Inputs!$B$24*IG24*Inputs!$B$16))*Inputs!$B$19)</f>
        <v>0.0264532934177822</v>
      </c>
      <c r="IO24" s="15" t="n">
        <f aca="false">(IM24-IN24)*(1-EXP(-Inputs!$B$25*Inputs!$B$14*Inputs!$B$17*Inputs!$B$26/(IG24*Inputs!$B$16/0.866)))</f>
        <v>0.00774770752931372</v>
      </c>
      <c r="IP24" s="15" t="n">
        <f aca="false">(IM24-IN24-IO24)*(1-Inputs!$B$19)</f>
        <v>0.00341572867883454</v>
      </c>
      <c r="IQ24" s="15" t="n">
        <f aca="false">(IJ24+IK24+IL24+IN24+IO24+IP24)*(1+Inputs!$B$27)</f>
        <v>0.321230802890663</v>
      </c>
      <c r="IR24" s="15" t="n">
        <f aca="false">Inputs!$B$52/(1-IQ24-G24)</f>
        <v>201132.262609409</v>
      </c>
      <c r="IS24" s="15" t="n">
        <f aca="false">IR24/Inputs!$B$34</f>
        <v>335.220437682349</v>
      </c>
      <c r="IT24" s="15" t="n">
        <f aca="false">B24^2/IS24</f>
        <v>11.4670812632329</v>
      </c>
      <c r="IU24" s="15" t="n">
        <f aca="false">Inputs!$B$54*H24/(Inputs!$B$35*F24+E24*H24^2/(PI()*IT24*Inputs!$B$36))</f>
        <v>18.5163261200678</v>
      </c>
      <c r="IV24" s="15" t="n">
        <f aca="false">EXP(-Inputs!$B$11*Inputs!$B$14*Inputs!$B$17/(Inputs!$B$51*IU24*Inputs!$B$16))</f>
        <v>0.744287007977391</v>
      </c>
      <c r="IW24" s="15" t="n">
        <f aca="false">Inputs!$B$50*Inputs!$B$18*IV24*Inputs!$B$19</f>
        <v>0.72726086911713</v>
      </c>
      <c r="IX24" s="15" t="n">
        <f aca="false">1-IW24</f>
        <v>0.27273913088287</v>
      </c>
      <c r="IY24" s="15" t="n">
        <f aca="false">Inputs!$B$20*IX24</f>
        <v>0.00818217392648611</v>
      </c>
      <c r="IZ24" s="15" t="n">
        <f aca="false">0.8*(1-Inputs!$B$50)*(IW24-IY24)</f>
        <v>0.00173197869786575</v>
      </c>
      <c r="JA24" s="15" t="n">
        <f aca="false">IW24-IY24-IZ24</f>
        <v>0.717346716492778</v>
      </c>
      <c r="JB24" s="15" t="n">
        <f aca="false">JA24*(1-Inputs!$B$18*EXP(-Inputs!$B$21*Inputs!$B$14*Inputs!$B$17/(Inputs!$B$22*Inputs!$B$23*Inputs!$B$24*IU24*Inputs!$B$16))*Inputs!$B$19)</f>
        <v>0.0264532937765958</v>
      </c>
      <c r="JC24" s="15" t="n">
        <f aca="false">(JA24-JB24)*(1-EXP(-Inputs!$B$25*Inputs!$B$14*Inputs!$B$17*Inputs!$B$26/(IU24*Inputs!$B$16/0.866)))</f>
        <v>0.00774770800442958</v>
      </c>
      <c r="JD24" s="15" t="n">
        <f aca="false">(JA24-JB24-JC24)*(1-Inputs!$B$19)</f>
        <v>0.00341572857355877</v>
      </c>
      <c r="JE24" s="15" t="n">
        <f aca="false">(IX24+IY24+IZ24+JB24+JC24+JD24)*(1+Inputs!$B$27)</f>
        <v>0.321230823903392</v>
      </c>
      <c r="JF24" s="15" t="n">
        <f aca="false">Inputs!$B$52/(1-JE24-G24)</f>
        <v>201132.288664672</v>
      </c>
      <c r="JG24" s="15" t="n">
        <f aca="false">JF24/Inputs!$B$34</f>
        <v>335.220481107787</v>
      </c>
      <c r="JH24" s="15" t="n">
        <f aca="false">B24^2/JG24</f>
        <v>11.4670797777538</v>
      </c>
      <c r="JI24" s="15" t="n">
        <f aca="false">Inputs!$B$54*H24/(Inputs!$B$35*F24+E24*H24^2/(PI()*JH24*Inputs!$B$36))</f>
        <v>18.5163253096428</v>
      </c>
      <c r="JJ24" s="15" t="n">
        <f aca="false">EXP(-Inputs!$B$11*Inputs!$B$14*Inputs!$B$17/(Inputs!$B$51*JI24*Inputs!$B$16))</f>
        <v>0.744286998356752</v>
      </c>
      <c r="JK24" s="15" t="n">
        <f aca="false">Inputs!$B$50*Inputs!$B$18*JJ24*Inputs!$B$19</f>
        <v>0.727260859716571</v>
      </c>
      <c r="JL24" s="15" t="n">
        <f aca="false">1-JK24</f>
        <v>0.27273914028343</v>
      </c>
      <c r="JM24" s="15" t="n">
        <f aca="false">Inputs!$B$20*JL24</f>
        <v>0.00818217420850288</v>
      </c>
      <c r="JN24" s="15" t="n">
        <f aca="false">0.8*(1-Inputs!$B$50)*(JK24-JM24)</f>
        <v>0.00173197867454422</v>
      </c>
      <c r="JO24" s="15" t="n">
        <f aca="false">JK24-JM24-JN24</f>
        <v>0.717346706833523</v>
      </c>
      <c r="JP24" s="15" t="n">
        <f aca="false">JO24*(1-Inputs!$B$18*EXP(-Inputs!$B$21*Inputs!$B$14*Inputs!$B$17/(Inputs!$B$22*Inputs!$B$23*Inputs!$B$24*JI24*Inputs!$B$16))*Inputs!$B$19)</f>
        <v>0.0264532939479936</v>
      </c>
      <c r="JQ24" s="15" t="n">
        <f aca="false">(JO24-JP24)*(1-EXP(-Inputs!$B$25*Inputs!$B$14*Inputs!$B$17*Inputs!$B$26/(JI24*Inputs!$B$16/0.866)))</f>
        <v>0.00774770823138248</v>
      </c>
      <c r="JR24" s="15" t="n">
        <f aca="false">(JO24-JP24-JQ24)*(1-Inputs!$B$19)</f>
        <v>0.00341572852327074</v>
      </c>
      <c r="JS24" s="15" t="n">
        <f aca="false">(JL24+JM24+JN24+JP24+JQ24+JR24)*(1+Inputs!$B$27)</f>
        <v>0.321230833940731</v>
      </c>
      <c r="JT24" s="15" t="n">
        <f aca="false">Inputs!$B$52/(1-JS24-G24)</f>
        <v>201132.301110726</v>
      </c>
      <c r="JU24" s="15" t="n">
        <f aca="false">JT24/Inputs!$B$34</f>
        <v>335.220501851211</v>
      </c>
      <c r="JV24" s="15" t="n">
        <f aca="false">B24^2/JU24</f>
        <v>11.4670790681716</v>
      </c>
      <c r="JW24" s="15" t="n">
        <f aca="false">Inputs!$B$54*H24/(Inputs!$B$35*F24+E24*H24^2/(PI()*JV24*Inputs!$B$36))</f>
        <v>18.5163249225197</v>
      </c>
      <c r="JX24" s="15" t="n">
        <f aca="false">EXP(-Inputs!$B$11*Inputs!$B$14*Inputs!$B$17/(Inputs!$B$51*JW24*Inputs!$B$16))</f>
        <v>0.744286993761174</v>
      </c>
      <c r="JY24" s="15" t="n">
        <f aca="false">Inputs!$B$50*Inputs!$B$18*JX24*Inputs!$B$19</f>
        <v>0.72726085522612</v>
      </c>
      <c r="JZ24" s="15" t="n">
        <f aca="false">1-JY24</f>
        <v>0.27273914477388</v>
      </c>
      <c r="KA24" s="15" t="n">
        <f aca="false">Inputs!$B$20*JZ24</f>
        <v>0.00818217434321641</v>
      </c>
      <c r="KB24" s="15" t="n">
        <f aca="false">0.8*(1-Inputs!$B$50)*(JY24-KA24)</f>
        <v>0.00173197866340401</v>
      </c>
      <c r="KC24" s="15" t="n">
        <f aca="false">JY24-KA24-KB24</f>
        <v>0.717346702219499</v>
      </c>
      <c r="KD24" s="15" t="n">
        <f aca="false">KC24*(1-Inputs!$B$18*EXP(-Inputs!$B$21*Inputs!$B$14*Inputs!$B$17/(Inputs!$B$22*Inputs!$B$23*Inputs!$B$24*JW24*Inputs!$B$16))*Inputs!$B$19)</f>
        <v>0.0264532940298667</v>
      </c>
      <c r="KE24" s="15" t="n">
        <f aca="false">(KC24-KD24)*(1-EXP(-Inputs!$B$25*Inputs!$B$14*Inputs!$B$17*Inputs!$B$26/(JW24*Inputs!$B$16/0.866)))</f>
        <v>0.00774770833979305</v>
      </c>
      <c r="KF24" s="15" t="n">
        <f aca="false">(KC24-KD24-KE24)*(1-Inputs!$B$19)</f>
        <v>0.0034157284992492</v>
      </c>
      <c r="KG24" s="15" t="n">
        <f aca="false">(JZ24+KA24+KB24+KD24+KE24+KF24)*(1+Inputs!$B$27)</f>
        <v>0.321230838735358</v>
      </c>
      <c r="KH24" s="15" t="n">
        <f aca="false">Inputs!$B$52/(1-KG24-G24)</f>
        <v>201132.307055947</v>
      </c>
      <c r="KI24" s="15" t="n">
        <f aca="false">KH24/Inputs!$B$34</f>
        <v>335.220511759912</v>
      </c>
      <c r="KJ24" s="15" t="n">
        <f aca="false">B24^2/KI24</f>
        <v>11.467078729219</v>
      </c>
      <c r="KK24" s="15" t="n">
        <f aca="false">Inputs!$B$54*H24/(Inputs!$B$35*F24+E24*H24^2/(PI()*KJ24*Inputs!$B$36))</f>
        <v>18.5163247375991</v>
      </c>
      <c r="KL24" s="15" t="n">
        <f aca="false">EXP(-Inputs!$B$11*Inputs!$B$14*Inputs!$B$17/(Inputs!$B$51*KK24*Inputs!$B$16))</f>
        <v>0.744286991565963</v>
      </c>
      <c r="KM24" s="15" t="n">
        <f aca="false">Inputs!$B$50*Inputs!$B$18*KL24*Inputs!$B$19</f>
        <v>0.727260853081125</v>
      </c>
      <c r="KN24" s="15" t="n">
        <f aca="false">1-KM24</f>
        <v>0.272739146918875</v>
      </c>
      <c r="KO24" s="15" t="n">
        <f aca="false">Inputs!$B$20*KN24</f>
        <v>0.00818217440756624</v>
      </c>
      <c r="KP24" s="15" t="n">
        <f aca="false">0.8*(1-Inputs!$B$50)*(KM24-KO24)</f>
        <v>0.00173197865808257</v>
      </c>
      <c r="KQ24" s="15" t="n">
        <f aca="false">KM24-KO24-KP24</f>
        <v>0.717346700015477</v>
      </c>
      <c r="KR24" s="15" t="n">
        <f aca="false">KQ24*(1-Inputs!$B$18*EXP(-Inputs!$B$21*Inputs!$B$14*Inputs!$B$17/(Inputs!$B$22*Inputs!$B$23*Inputs!$B$24*KK24*Inputs!$B$16))*Inputs!$B$19)</f>
        <v>0.0264532940689757</v>
      </c>
      <c r="KS24" s="15" t="n">
        <f aca="false">(KQ24-KR24)*(1-EXP(-Inputs!$B$25*Inputs!$B$14*Inputs!$B$17*Inputs!$B$26/(KK24*Inputs!$B$16/0.866)))</f>
        <v>0.0077477083915786</v>
      </c>
      <c r="KT24" s="15" t="n">
        <f aca="false">(KQ24-KR24-KS24)*(1-Inputs!$B$19)</f>
        <v>0.00341572848777461</v>
      </c>
      <c r="KU24" s="15" t="n">
        <f aca="false">(KN24+KO24+KP24+KR24+KS24+KT24)*(1+Inputs!$B$27)</f>
        <v>0.321230841025651</v>
      </c>
      <c r="KV24" s="15" t="n">
        <f aca="false">Inputs!$B$52/(1-KU24-G24)</f>
        <v>201132.309895855</v>
      </c>
      <c r="KW24" s="15" t="n">
        <f aca="false">KV24/Inputs!$B$34</f>
        <v>335.220516493091</v>
      </c>
      <c r="KX24" s="15" t="n">
        <f aca="false">B24^2/KW24</f>
        <v>11.4670785673085</v>
      </c>
      <c r="KY24" s="15" t="n">
        <f aca="false">Inputs!$B$54*H24/(Inputs!$B$35*F24+E24*H24^2/(PI()*KX24*Inputs!$B$36))</f>
        <v>18.5163246492664</v>
      </c>
      <c r="KZ24" s="15" t="n">
        <f aca="false">EXP(-Inputs!$B$11*Inputs!$B$14*Inputs!$B$17/(Inputs!$B$51*KY24*Inputs!$B$16))</f>
        <v>0.744286990517356</v>
      </c>
      <c r="LA24" s="15" t="n">
        <f aca="false">Inputs!$B$50*Inputs!$B$18*KZ24*Inputs!$B$19</f>
        <v>0.727260852056506</v>
      </c>
      <c r="LB24" s="15" t="n">
        <f aca="false">1-LA24</f>
        <v>0.272739147943494</v>
      </c>
      <c r="LC24" s="15" t="n">
        <f aca="false">Inputs!$B$20*LB24</f>
        <v>0.00818217443830482</v>
      </c>
      <c r="LD24" s="15" t="n">
        <f aca="false">0.8*(1-Inputs!$B$50)*(LA24-LC24)</f>
        <v>0.00173197865554062</v>
      </c>
      <c r="LE24" s="15" t="n">
        <f aca="false">LA24-LC24-LD24</f>
        <v>0.717346698962661</v>
      </c>
      <c r="LF24" s="15" t="n">
        <f aca="false">LE24*(1-Inputs!$B$18*EXP(-Inputs!$B$21*Inputs!$B$14*Inputs!$B$17/(Inputs!$B$22*Inputs!$B$23*Inputs!$B$24*KY24*Inputs!$B$16))*Inputs!$B$19)</f>
        <v>0.0264532940876573</v>
      </c>
      <c r="LG24" s="15" t="n">
        <f aca="false">(LE24-LF24)*(1-EXP(-Inputs!$B$25*Inputs!$B$14*Inputs!$B$17*Inputs!$B$26/(KY24*Inputs!$B$16/0.866)))</f>
        <v>0.0077477084163154</v>
      </c>
      <c r="LH24" s="15" t="n">
        <f aca="false">(LE24-LF24-LG24)*(1-Inputs!$B$19)</f>
        <v>0.00341572848229344</v>
      </c>
      <c r="LI24" s="15" t="n">
        <f aca="false">(LB24+LC24+LD24+LF24+LG24+LH24)*(1+Inputs!$B$27)</f>
        <v>0.321230842119676</v>
      </c>
      <c r="LJ24" s="15" t="n">
        <f aca="false">Inputs!$B$52/(1-LI24-G24)</f>
        <v>201132.311252419</v>
      </c>
      <c r="LK24" s="15" t="n">
        <f aca="false">LJ24/Inputs!$B$34</f>
        <v>335.220518754032</v>
      </c>
      <c r="LL24" s="15" t="n">
        <f aca="false">B24^2/LK24</f>
        <v>11.4670784899672</v>
      </c>
      <c r="LM24" s="15" t="n">
        <f aca="false">Inputs!$B$54*H24/(Inputs!$B$35*F24+E24*H24^2/(PI()*LL24*Inputs!$B$36))</f>
        <v>18.5163246070717</v>
      </c>
      <c r="LN24" s="15" t="n">
        <f aca="false">EXP(-Inputs!$B$11*Inputs!$B$14*Inputs!$B$17/(Inputs!$B$51*LM24*Inputs!$B$16))</f>
        <v>0.744286990016458</v>
      </c>
      <c r="LO24" s="15" t="n">
        <f aca="false">Inputs!$B$50*Inputs!$B$18*LN24*Inputs!$B$19</f>
        <v>0.727260851567067</v>
      </c>
      <c r="LP24" s="15" t="n">
        <f aca="false">1-LO24</f>
        <v>0.272739148432933</v>
      </c>
      <c r="LQ24" s="15" t="n">
        <f aca="false">Inputs!$B$20*LP24</f>
        <v>0.00818217445298799</v>
      </c>
      <c r="LR24" s="15" t="n">
        <f aca="false">0.8*(1-Inputs!$B$50)*(LO24-LQ24)</f>
        <v>0.00173197865432639</v>
      </c>
      <c r="LS24" s="15" t="n">
        <f aca="false">LO24-LQ24-LR24</f>
        <v>0.717346698459753</v>
      </c>
      <c r="LT24" s="15" t="n">
        <f aca="false">LS24*(1-Inputs!$B$18*EXP(-Inputs!$B$21*Inputs!$B$14*Inputs!$B$17/(Inputs!$B$22*Inputs!$B$23*Inputs!$B$24*LM24*Inputs!$B$16))*Inputs!$B$19)</f>
        <v>0.0264532940965811</v>
      </c>
      <c r="LU24" s="15" t="n">
        <f aca="false">(LS24-LT24)*(1-EXP(-Inputs!$B$25*Inputs!$B$14*Inputs!$B$17*Inputs!$B$26/(LM24*Inputs!$B$16/0.866)))</f>
        <v>0.00774770842813169</v>
      </c>
      <c r="LV24" s="15" t="n">
        <f aca="false">(LS24-LT24-LU24)*(1-Inputs!$B$19)</f>
        <v>0.0034157284796752</v>
      </c>
      <c r="LW24" s="15" t="n">
        <f aca="false">(LP24+LQ24+LR24+LT24+LU24+LV24)*(1+Inputs!$B$27)</f>
        <v>0.321230842642269</v>
      </c>
      <c r="LX24" s="15" t="n">
        <f aca="false">Inputs!$B$52/(1-LW24-G24)</f>
        <v>201132.311900422</v>
      </c>
      <c r="LY24" s="15" t="n">
        <f aca="false">LX24/Inputs!$B$34</f>
        <v>335.220519834037</v>
      </c>
      <c r="LZ24" s="15" t="n">
        <f aca="false">B24^2/LY24</f>
        <v>11.4670784530228</v>
      </c>
      <c r="MA24" s="15" t="n">
        <f aca="false">Inputs!$B$54*H24/(Inputs!$B$35*F24+E24*H24^2/(PI()*LZ24*Inputs!$B$36))</f>
        <v>18.5163245869162</v>
      </c>
      <c r="MB24" s="15" t="n">
        <f aca="false">EXP(-Inputs!$B$11*Inputs!$B$14*Inputs!$B$17/(Inputs!$B$51*MA24*Inputs!$B$16))</f>
        <v>0.74428698977719</v>
      </c>
      <c r="MC24" s="15" t="n">
        <f aca="false">Inputs!$B$50*Inputs!$B$18*MB24*Inputs!$B$19</f>
        <v>0.727260851333272</v>
      </c>
      <c r="MD24" s="15" t="n">
        <f aca="false">1-MC24</f>
        <v>0.272739148666728</v>
      </c>
      <c r="ME24" s="15" t="n">
        <f aca="false">Inputs!$B$20*MD24</f>
        <v>0.00818217446000184</v>
      </c>
      <c r="MF24" s="15" t="n">
        <f aca="false">0.8*(1-Inputs!$B$50)*(MC24-ME24)</f>
        <v>0.00173197865374637</v>
      </c>
      <c r="MG24" s="15" t="n">
        <f aca="false">MC24-ME24-MF24</f>
        <v>0.717346698219524</v>
      </c>
      <c r="MH24" s="15" t="n">
        <f aca="false">MG24*(1-Inputs!$B$18*EXP(-Inputs!$B$21*Inputs!$B$14*Inputs!$B$17/(Inputs!$B$22*Inputs!$B$23*Inputs!$B$24*MA24*Inputs!$B$16))*Inputs!$B$19)</f>
        <v>0.0264532941008438</v>
      </c>
      <c r="MI24" s="15" t="n">
        <f aca="false">(MG24-MH24)*(1-EXP(-Inputs!$B$25*Inputs!$B$14*Inputs!$B$17*Inputs!$B$26/(MA24*Inputs!$B$16/0.866)))</f>
        <v>0.00774770843377614</v>
      </c>
      <c r="MJ24" s="15" t="n">
        <f aca="false">(MG24-MH24-MI24)*(1-Inputs!$B$19)</f>
        <v>0.00341572847842452</v>
      </c>
      <c r="MK24" s="15" t="n">
        <f aca="false">(MD24+ME24+MF24+MH24+MI24+MJ24)*(1+Inputs!$B$27)</f>
        <v>0.321230842891901</v>
      </c>
      <c r="ML24" s="15" t="n">
        <f aca="false">Inputs!$B$52/(1-MK24-G24)</f>
        <v>201132.31220996</v>
      </c>
      <c r="MM24" s="15" t="n">
        <f aca="false">ML24/Inputs!$B$34</f>
        <v>335.220520349933</v>
      </c>
      <c r="MN24" s="15" t="n">
        <f aca="false">B24^2/MM24</f>
        <v>11.4670784353753</v>
      </c>
      <c r="MO24" s="15" t="n">
        <f aca="false">Inputs!$B$54*H24/(Inputs!$B$35*F24+E24*H24^2/(PI()*MN24*Inputs!$B$36))</f>
        <v>18.5163245772883</v>
      </c>
      <c r="MP24" s="15" t="n">
        <f aca="false">EXP(-Inputs!$B$11*Inputs!$B$14*Inputs!$B$17/(Inputs!$B$51*MO24*Inputs!$B$16))</f>
        <v>0.744286989662896</v>
      </c>
      <c r="MQ24" s="15" t="n">
        <f aca="false">Inputs!$B$50*Inputs!$B$18*MP24*Inputs!$B$19</f>
        <v>0.727260851221593</v>
      </c>
      <c r="MR24" s="15" t="n">
        <f aca="false">1-MQ24</f>
        <v>0.272739148778407</v>
      </c>
      <c r="MS24" s="15" t="n">
        <f aca="false">Inputs!$B$20*MR24</f>
        <v>0.00818217446335221</v>
      </c>
      <c r="MT24" s="15" t="n">
        <f aca="false">0.8*(1-Inputs!$B$50)*(MQ24-MS24)</f>
        <v>0.00173197865346931</v>
      </c>
      <c r="MU24" s="15" t="n">
        <f aca="false">MQ24-MS24-MT24</f>
        <v>0.717346698104772</v>
      </c>
      <c r="MV24" s="15" t="n">
        <f aca="false">MU24*(1-Inputs!$B$18*EXP(-Inputs!$B$21*Inputs!$B$14*Inputs!$B$17/(Inputs!$B$22*Inputs!$B$23*Inputs!$B$24*MO24*Inputs!$B$16))*Inputs!$B$19)</f>
        <v>0.0264532941028801</v>
      </c>
      <c r="MW24" s="15" t="n">
        <f aca="false">(MU24-MV24)*(1-EXP(-Inputs!$B$25*Inputs!$B$14*Inputs!$B$17*Inputs!$B$26/(MO24*Inputs!$B$16/0.866)))</f>
        <v>0.00774770843647228</v>
      </c>
      <c r="MX24" s="15" t="n">
        <f aca="false">(MU24-MV24-MW24)*(1-Inputs!$B$19)</f>
        <v>0.0034157284778271</v>
      </c>
      <c r="MY24" s="15" t="n">
        <f aca="false">(MR24+MS24+MT24+MV24+MW24+MX24)*(1+Inputs!$B$27)</f>
        <v>0.321230843011145</v>
      </c>
      <c r="MZ24" s="15" t="n">
        <f aca="false">Inputs!$B$52/(1-MY24-G24)</f>
        <v>201132.312357819</v>
      </c>
      <c r="NA24" s="15" t="n">
        <f aca="false">MZ24/Inputs!$B$34</f>
        <v>335.220520596365</v>
      </c>
      <c r="NB24" s="15" t="n">
        <f aca="false">B24^2/NA24</f>
        <v>11.4670784269454</v>
      </c>
      <c r="NC24" s="15" t="n">
        <f aca="false">Inputs!$B$54*H24/(Inputs!$B$35*F24+E24*H24^2/(PI()*NB24*Inputs!$B$36))</f>
        <v>18.5163245726892</v>
      </c>
      <c r="ND24" s="15" t="n">
        <f aca="false">EXP(-Inputs!$B$11*Inputs!$B$14*Inputs!$B$17/(Inputs!$B$51*NC24*Inputs!$B$16))</f>
        <v>0.7442869896083</v>
      </c>
      <c r="NE24" s="15" t="n">
        <f aca="false">Inputs!$B$50*Inputs!$B$18*ND24*Inputs!$B$19</f>
        <v>0.727260851168246</v>
      </c>
      <c r="NF24" s="15" t="n">
        <f aca="false">1-NE24</f>
        <v>0.272739148831754</v>
      </c>
      <c r="NG24" s="15" t="n">
        <f aca="false">Inputs!$B$20*NF24</f>
        <v>0.00818217446495261</v>
      </c>
      <c r="NH24" s="15" t="n">
        <f aca="false">0.8*(1-Inputs!$B$50)*(NE24-NG24)</f>
        <v>0.00173197865333697</v>
      </c>
      <c r="NI24" s="15" t="n">
        <f aca="false">NE24-NG24-NH24</f>
        <v>0.717346698049957</v>
      </c>
      <c r="NJ24" s="15" t="n">
        <f aca="false">NI24*(1-Inputs!$B$18*EXP(-Inputs!$B$21*Inputs!$B$14*Inputs!$B$17/(Inputs!$B$22*Inputs!$B$23*Inputs!$B$24*NC24*Inputs!$B$16))*Inputs!$B$19)</f>
        <v>0.0264532941038526</v>
      </c>
      <c r="NK24" s="15" t="n">
        <f aca="false">(NI24-NJ24)*(1-EXP(-Inputs!$B$25*Inputs!$B$14*Inputs!$B$17*Inputs!$B$26/(NC24*Inputs!$B$16/0.866)))</f>
        <v>0.00774770843776023</v>
      </c>
      <c r="NL24" s="15" t="n">
        <f aca="false">(NI24-NJ24-NK24)*(1-Inputs!$B$19)</f>
        <v>0.00341572847754172</v>
      </c>
      <c r="NM24" s="15" t="n">
        <f aca="false">(NF24+NG24+NH24+NJ24+NK24+NL24)*(1+Inputs!$B$27)</f>
        <v>0.321230843068105</v>
      </c>
      <c r="NN24" s="15" t="n">
        <f aca="false">Inputs!$B$52/(1-NM24-G24)</f>
        <v>201132.312428449</v>
      </c>
    </row>
    <row r="25" customFormat="false" ht="15" hidden="false" customHeight="false" outlineLevel="0" collapsed="false">
      <c r="A25" s="21" t="s">
        <v>501</v>
      </c>
      <c r="B25" s="21" t="n">
        <v>62</v>
      </c>
      <c r="C25" s="22" t="n">
        <v>0.05</v>
      </c>
      <c r="D25" s="23" t="n">
        <f aca="false">B25*C25</f>
        <v>3.1</v>
      </c>
      <c r="E25" s="24" t="n">
        <f aca="false">IF(C25=0,1,(1+0.45*C25)/(1.04+2.81*C25))</f>
        <v>0.866158407454468</v>
      </c>
      <c r="F25" s="24" t="n">
        <f aca="false">1+Inputs!$B$42*D25</f>
        <v>1.0155</v>
      </c>
      <c r="G25" s="25" t="n">
        <f aca="false">Inputs!$B$31+Inputs!$B$43*(B25/Inputs!$B$32-1)+Inputs!$B$44+Inputs!$B$45*D25</f>
        <v>0.5224225</v>
      </c>
      <c r="H25" s="22" t="n">
        <f aca="false">Inputs!$B$38</f>
        <v>0.5</v>
      </c>
      <c r="I25" s="23" t="n">
        <f aca="false">Inputs!$B$40</f>
        <v>2.4</v>
      </c>
      <c r="J25" s="26" t="n">
        <f aca="false">NN25/Inputs!$B$34</f>
        <v>327.685388985396</v>
      </c>
      <c r="K25" s="23" t="n">
        <f aca="false">B25^2/J25</f>
        <v>11.7307641085313</v>
      </c>
      <c r="L25" s="23" t="n">
        <f aca="false">2*K25</f>
        <v>23.4615282170626</v>
      </c>
      <c r="M25" s="22" t="n">
        <f aca="false">NC25</f>
        <v>19.3187391644109</v>
      </c>
      <c r="N25" s="23" t="n">
        <f aca="false">B25/SQRT(E25)</f>
        <v>66.618220375987</v>
      </c>
      <c r="O25" s="24" t="n">
        <f aca="false">NM25</f>
        <v>0.311640897918473</v>
      </c>
      <c r="P25" s="23" t="n">
        <f aca="false">NN25/1000</f>
        <v>196.611233391238</v>
      </c>
      <c r="Q25" s="23" t="n">
        <f aca="false">G25*NN25/1000</f>
        <v>102.714132076334</v>
      </c>
      <c r="R25" s="23" t="n">
        <f aca="false">NM25*NN25/1000</f>
        <v>61.2721013149039</v>
      </c>
      <c r="S25" s="23" t="n">
        <f aca="false">NM25*NN25/Inputs!$B$28/1000</f>
        <v>81.6961350865385</v>
      </c>
      <c r="T25" s="27" t="n">
        <f aca="false">R25/Sweep!$R$5-1</f>
        <v>-0.0195933825550431</v>
      </c>
      <c r="U25" s="27" t="n">
        <f aca="false">R25/SUMIFS(Sweep!$R:$R,Sweep!$A:$A,"Conventional",Sweep!$B:$B,B25)-1</f>
        <v>-0.051660826846044</v>
      </c>
      <c r="V25" s="26" t="n">
        <f aca="false">2*0.54*(J25/2)^1.5/SQRT(L25)*Inputs!$B$46*Inputs!$B$47</f>
        <v>43.7217805456551</v>
      </c>
      <c r="W25" s="28" t="n">
        <f aca="false">MIN(1,V25/S25)</f>
        <v>0.535175629781529</v>
      </c>
      <c r="X25" s="26" t="n">
        <f aca="false">1.23*SQRT(2*Inputs!$B$41*NN25*Inputs!$B$49/(1.225*J25*I25))/0.5144</f>
        <v>133.62967568068</v>
      </c>
      <c r="Y25" s="29" t="n">
        <f aca="false">(11000+6341.6*LN(0.36392/(2*Inputs!$B$50*Inputs!$B$18*(1+ND25)/2*Inputs!$B$34*Inputs!$B$49/((Inputs!$B$12*295.07)^2*H25))))/0.3048</f>
        <v>38619.5857227508</v>
      </c>
      <c r="Z25" s="26" t="n">
        <f aca="false">NN25-MZ25</f>
        <v>-8.14266968518496E-007</v>
      </c>
      <c r="AA25" s="30" t="str">
        <f aca="false">IF(ABS(NN25-MZ25)&lt;10,"Yes","No")</f>
        <v>Yes</v>
      </c>
      <c r="AC25" s="15" t="n">
        <f aca="false">Inputs!$B$52/(1-0.3154-G25)/Inputs!$B$34</f>
        <v>335.280788025466</v>
      </c>
      <c r="AD25" s="15" t="n">
        <f aca="false">B25^2/AC25</f>
        <v>11.4650171954023</v>
      </c>
      <c r="AE25" s="15" t="n">
        <f aca="false">Inputs!$B$54*H25/(Inputs!$B$35*F25+E25*H25^2/(PI()*AD25*Inputs!$B$36))</f>
        <v>19.1860087825354</v>
      </c>
      <c r="AF25" s="15" t="n">
        <f aca="false">EXP(-Inputs!$B$11*Inputs!$B$14*Inputs!$B$17/(Inputs!$B$51*AE25*Inputs!$B$16))</f>
        <v>0.751999072451546</v>
      </c>
      <c r="AG25" s="15" t="n">
        <f aca="false">Inputs!$B$50*Inputs!$B$18*AF25*Inputs!$B$19</f>
        <v>0.734796514173467</v>
      </c>
      <c r="AH25" s="15" t="n">
        <f aca="false">1-AG25</f>
        <v>0.265203485826533</v>
      </c>
      <c r="AI25" s="15" t="n">
        <f aca="false">Inputs!$B$20*AH25</f>
        <v>0.00795610457479599</v>
      </c>
      <c r="AJ25" s="15" t="n">
        <f aca="false">0.8*(1-Inputs!$B$50)*(AG25-AI25)</f>
        <v>0.00175067362528264</v>
      </c>
      <c r="AK25" s="15" t="n">
        <f aca="false">AG25-AI25-AJ25</f>
        <v>0.725089735973389</v>
      </c>
      <c r="AL25" s="15" t="n">
        <f aca="false">AK25*(1-Inputs!$B$18*EXP(-Inputs!$B$21*Inputs!$B$14*Inputs!$B$17/(Inputs!$B$22*Inputs!$B$23*Inputs!$B$24*AE25*Inputs!$B$16))*Inputs!$B$19)</f>
        <v>0.0263134034704355</v>
      </c>
      <c r="AM25" s="15" t="n">
        <f aca="false">(AK25-AL25)*(1-EXP(-Inputs!$B$25*Inputs!$B$14*Inputs!$B$17*Inputs!$B$26/(AE25*Inputs!$B$16/0.866)))</f>
        <v>0.00756407583950782</v>
      </c>
      <c r="AN25" s="15" t="n">
        <f aca="false">(AK25-AL25-AM25)*(1-Inputs!$B$19)</f>
        <v>0.00345606128331723</v>
      </c>
      <c r="AO25" s="15" t="n">
        <f aca="false">(AH25+AI25+AJ25+AL25+AM25+AN25)*(1+Inputs!$B$27)</f>
        <v>0.313180536033732</v>
      </c>
      <c r="AP25" s="15" t="n">
        <f aca="false">Inputs!$B$52/(1-AO25-G25)</f>
        <v>198452.570004238</v>
      </c>
      <c r="AQ25" s="15" t="n">
        <f aca="false">AP25/Inputs!$B$34</f>
        <v>330.754283340396</v>
      </c>
      <c r="AR25" s="15" t="n">
        <f aca="false">B25^2/AQ25</f>
        <v>11.6219205422774</v>
      </c>
      <c r="AS25" s="15" t="n">
        <f aca="false">Inputs!$B$54*H25/(Inputs!$B$35*F25+E25*H25^2/(PI()*AR25*Inputs!$B$36))</f>
        <v>19.2648894296434</v>
      </c>
      <c r="AT25" s="15" t="n">
        <f aca="false">EXP(-Inputs!$B$11*Inputs!$B$14*Inputs!$B$17/(Inputs!$B$51*AS25*Inputs!$B$16))</f>
        <v>0.752877185260894</v>
      </c>
      <c r="AU25" s="15" t="n">
        <f aca="false">Inputs!$B$50*Inputs!$B$18*AT25*Inputs!$B$19</f>
        <v>0.735654539475622</v>
      </c>
      <c r="AV25" s="15" t="n">
        <f aca="false">1-AU25</f>
        <v>0.264345460524378</v>
      </c>
      <c r="AW25" s="15" t="n">
        <f aca="false">Inputs!$B$20*AV25</f>
        <v>0.00793036381573134</v>
      </c>
      <c r="AX25" s="15" t="n">
        <f aca="false">0.8*(1-Inputs!$B$50)*(AU25-AW25)</f>
        <v>0.00175280227128782</v>
      </c>
      <c r="AY25" s="15" t="n">
        <f aca="false">AU25-AW25-AX25</f>
        <v>0.725971373388603</v>
      </c>
      <c r="AZ25" s="15" t="n">
        <f aca="false">AY25*(1-Inputs!$B$18*EXP(-Inputs!$B$21*Inputs!$B$14*Inputs!$B$17/(Inputs!$B$22*Inputs!$B$23*Inputs!$B$24*AS25*Inputs!$B$16))*Inputs!$B$19)</f>
        <v>0.0262971599908517</v>
      </c>
      <c r="BA25" s="15" t="n">
        <f aca="false">(AY25-AZ25)*(1-EXP(-Inputs!$B$25*Inputs!$B$14*Inputs!$B$17*Inputs!$B$26/(AS25*Inputs!$B$16/0.866)))</f>
        <v>0.00754295181351936</v>
      </c>
      <c r="BB25" s="15" t="n">
        <f aca="false">(AY25-AZ25-BA25)*(1-Inputs!$B$19)</f>
        <v>0.00346065630792116</v>
      </c>
      <c r="BC25" s="15" t="n">
        <f aca="false">(AV25+AW25+AX25+AZ25+BA25+BB25)*(1+Inputs!$B$27)</f>
        <v>0.31226338290786</v>
      </c>
      <c r="BD25" s="15" t="n">
        <f aca="false">Inputs!$B$52/(1-BC25-G25)</f>
        <v>197351.566665151</v>
      </c>
      <c r="BE25" s="15" t="n">
        <f aca="false">BD25/Inputs!$B$34</f>
        <v>328.919277775252</v>
      </c>
      <c r="BF25" s="15" t="n">
        <f aca="false">B25^2/BE25</f>
        <v>11.6867579972816</v>
      </c>
      <c r="BG25" s="15" t="n">
        <f aca="false">Inputs!$B$54*H25/(Inputs!$B$35*F25+E25*H25^2/(PI()*BF25*Inputs!$B$36))</f>
        <v>19.2970520337662</v>
      </c>
      <c r="BH25" s="15" t="n">
        <f aca="false">EXP(-Inputs!$B$11*Inputs!$B$14*Inputs!$B$17/(Inputs!$B$51*BG25*Inputs!$B$16))</f>
        <v>0.753233456571839</v>
      </c>
      <c r="BI25" s="15" t="n">
        <f aca="false">Inputs!$B$50*Inputs!$B$18*BH25*Inputs!$B$19</f>
        <v>0.736002660805784</v>
      </c>
      <c r="BJ25" s="15" t="n">
        <f aca="false">1-BI25</f>
        <v>0.263997339194216</v>
      </c>
      <c r="BK25" s="15" t="n">
        <f aca="false">Inputs!$B$20*BJ25</f>
        <v>0.00791992017582648</v>
      </c>
      <c r="BL25" s="15" t="n">
        <f aca="false">0.8*(1-Inputs!$B$50)*(BI25-BK25)</f>
        <v>0.00175366591374324</v>
      </c>
      <c r="BM25" s="15" t="n">
        <f aca="false">BI25-BK25-BL25</f>
        <v>0.726329074716214</v>
      </c>
      <c r="BN25" s="15" t="n">
        <f aca="false">BM25*(1-Inputs!$B$18*EXP(-Inputs!$B$21*Inputs!$B$14*Inputs!$B$17/(Inputs!$B$22*Inputs!$B$23*Inputs!$B$24*BG25*Inputs!$B$16))*Inputs!$B$19)</f>
        <v>0.0262905513148853</v>
      </c>
      <c r="BO25" s="15" t="n">
        <f aca="false">(BM25-BN25)*(1-EXP(-Inputs!$B$25*Inputs!$B$14*Inputs!$B$17*Inputs!$B$26/(BG25*Inputs!$B$16/0.866)))</f>
        <v>0.00753436878600149</v>
      </c>
      <c r="BP25" s="15" t="n">
        <f aca="false">(BM25-BN25-BO25)*(1-Inputs!$B$19)</f>
        <v>0.00346252077307664</v>
      </c>
      <c r="BQ25" s="15" t="n">
        <f aca="false">(BJ25+BK25+BL25+BN25+BO25+BP25)*(1+Inputs!$B$27)</f>
        <v>0.311891241256222</v>
      </c>
      <c r="BR25" s="15" t="n">
        <f aca="false">Inputs!$B$52/(1-BQ25-G25)</f>
        <v>196908.302760655</v>
      </c>
      <c r="BS25" s="15" t="n">
        <f aca="false">BR25/Inputs!$B$34</f>
        <v>328.180504601092</v>
      </c>
      <c r="BT25" s="15" t="n">
        <f aca="false">B25^2/BS25</f>
        <v>11.7130662733072</v>
      </c>
      <c r="BU25" s="15" t="n">
        <f aca="false">Inputs!$B$54*H25/(Inputs!$B$35*F25+E25*H25^2/(PI()*BT25*Inputs!$B$36))</f>
        <v>19.3100310384112</v>
      </c>
      <c r="BV25" s="15" t="n">
        <f aca="false">EXP(-Inputs!$B$11*Inputs!$B$14*Inputs!$B$17/(Inputs!$B$51*BU25*Inputs!$B$16))</f>
        <v>0.753376938985151</v>
      </c>
      <c r="BW25" s="15" t="n">
        <f aca="false">Inputs!$B$50*Inputs!$B$18*BV25*Inputs!$B$19</f>
        <v>0.736142860948323</v>
      </c>
      <c r="BX25" s="15" t="n">
        <f aca="false">1-BW25</f>
        <v>0.263857139051677</v>
      </c>
      <c r="BY25" s="15" t="n">
        <f aca="false">Inputs!$B$20*BX25</f>
        <v>0.00791571417155031</v>
      </c>
      <c r="BZ25" s="15" t="n">
        <f aca="false">0.8*(1-Inputs!$B$50)*(BW25-BY25)</f>
        <v>0.00175401373154371</v>
      </c>
      <c r="CA25" s="15" t="n">
        <f aca="false">BW25-BY25-BZ25</f>
        <v>0.726473133045229</v>
      </c>
      <c r="CB25" s="15" t="n">
        <f aca="false">CA25*(1-Inputs!$B$18*EXP(-Inputs!$B$21*Inputs!$B$14*Inputs!$B$17/(Inputs!$B$22*Inputs!$B$23*Inputs!$B$24*BU25*Inputs!$B$16))*Inputs!$B$19)</f>
        <v>0.0262878867957828</v>
      </c>
      <c r="CC25" s="15" t="n">
        <f aca="false">(CA25-CB25)*(1-EXP(-Inputs!$B$25*Inputs!$B$14*Inputs!$B$17*Inputs!$B$26/(BU25*Inputs!$B$16/0.866)))</f>
        <v>0.00753091007469227</v>
      </c>
      <c r="CD25" s="15" t="n">
        <f aca="false">(CA25-CB25-CC25)*(1-Inputs!$B$19)</f>
        <v>0.00346327168087377</v>
      </c>
      <c r="CE25" s="15" t="n">
        <f aca="false">(BX25+BY25+BZ25+CB25+CC25+CD25)*(1+Inputs!$B$27)</f>
        <v>0.311741362312638</v>
      </c>
      <c r="CF25" s="15" t="n">
        <f aca="false">Inputs!$B$52/(1-CE25-G25)</f>
        <v>196730.341498337</v>
      </c>
      <c r="CG25" s="15" t="n">
        <f aca="false">CF25/Inputs!$B$34</f>
        <v>327.883902497229</v>
      </c>
      <c r="CH25" s="15" t="n">
        <f aca="false">B25^2/CG25</f>
        <v>11.7236618532454</v>
      </c>
      <c r="CI25" s="15" t="n">
        <f aca="false">Inputs!$B$54*H25/(Inputs!$B$35*F25+E25*H25^2/(PI()*CH25*Inputs!$B$36))</f>
        <v>19.3152467526688</v>
      </c>
      <c r="CJ25" s="15" t="n">
        <f aca="false">EXP(-Inputs!$B$11*Inputs!$B$14*Inputs!$B$17/(Inputs!$B$51*CI25*Inputs!$B$16))</f>
        <v>0.75343455188663</v>
      </c>
      <c r="CK25" s="15" t="n">
        <f aca="false">Inputs!$B$50*Inputs!$B$18*CJ25*Inputs!$B$19</f>
        <v>0.736199155910284</v>
      </c>
      <c r="CL25" s="15" t="n">
        <f aca="false">1-CK25</f>
        <v>0.263800844089716</v>
      </c>
      <c r="CM25" s="15" t="n">
        <f aca="false">Inputs!$B$20*CL25</f>
        <v>0.00791402532269149</v>
      </c>
      <c r="CN25" s="15" t="n">
        <f aca="false">0.8*(1-Inputs!$B$50)*(CK25-CM25)</f>
        <v>0.00175415339181432</v>
      </c>
      <c r="CO25" s="15" t="n">
        <f aca="false">CK25-CM25-CN25</f>
        <v>0.726530977195778</v>
      </c>
      <c r="CP25" s="15" t="n">
        <f aca="false">CO25*(1-Inputs!$B$18*EXP(-Inputs!$B$21*Inputs!$B$14*Inputs!$B$17/(Inputs!$B$22*Inputs!$B$23*Inputs!$B$24*CI25*Inputs!$B$16))*Inputs!$B$19)</f>
        <v>0.0262868164219137</v>
      </c>
      <c r="CQ25" s="15" t="n">
        <f aca="false">(CO25-CP25)*(1-EXP(-Inputs!$B$25*Inputs!$B$14*Inputs!$B$17*Inputs!$B$26/(CI25*Inputs!$B$16/0.866)))</f>
        <v>0.00752952095927698</v>
      </c>
      <c r="CR25" s="15" t="n">
        <f aca="false">(CO25-CP25-CQ25)*(1-Inputs!$B$19)</f>
        <v>0.00346357319907294</v>
      </c>
      <c r="CS25" s="15" t="n">
        <f aca="false">(CL25+CM25+CN25+CP25+CQ25+CR25)*(1+Inputs!$B$27)</f>
        <v>0.311681180184639</v>
      </c>
      <c r="CT25" s="15" t="n">
        <f aca="false">Inputs!$B$52/(1-CS25-G25)</f>
        <v>196658.97372715</v>
      </c>
      <c r="CU25" s="15" t="n">
        <f aca="false">CT25/Inputs!$B$34</f>
        <v>327.764956211917</v>
      </c>
      <c r="CV25" s="15" t="n">
        <f aca="false">B25^2/CU25</f>
        <v>11.7279163838206</v>
      </c>
      <c r="CW25" s="15" t="n">
        <f aca="false">Inputs!$B$54*H25/(Inputs!$B$35*F25+E25*H25^2/(PI()*CV25*Inputs!$B$36))</f>
        <v>19.3173392011837</v>
      </c>
      <c r="CX25" s="15" t="n">
        <f aca="false">EXP(-Inputs!$B$11*Inputs!$B$14*Inputs!$B$17/(Inputs!$B$51*CW25*Inputs!$B$16))</f>
        <v>0.753457657615252</v>
      </c>
      <c r="CY25" s="15" t="n">
        <f aca="false">Inputs!$B$50*Inputs!$B$18*CX25*Inputs!$B$19</f>
        <v>0.736221733077558</v>
      </c>
      <c r="CZ25" s="15" t="n">
        <f aca="false">1-CY25</f>
        <v>0.263778266922442</v>
      </c>
      <c r="DA25" s="15" t="n">
        <f aca="false">Inputs!$B$20*CZ25</f>
        <v>0.00791334800767326</v>
      </c>
      <c r="DB25" s="15" t="n">
        <f aca="false">0.8*(1-Inputs!$B$50)*(CY25-DA25)</f>
        <v>0.00175420940274641</v>
      </c>
      <c r="DC25" s="15" t="n">
        <f aca="false">CY25-DA25-DB25</f>
        <v>0.726554175667138</v>
      </c>
      <c r="DD25" s="15" t="n">
        <f aca="false">DC25*(1-Inputs!$B$18*EXP(-Inputs!$B$21*Inputs!$B$14*Inputs!$B$17/(Inputs!$B$22*Inputs!$B$23*Inputs!$B$24*CW25*Inputs!$B$16))*Inputs!$B$19)</f>
        <v>0.0262863870695154</v>
      </c>
      <c r="DE25" s="15" t="n">
        <f aca="false">(DC25-DD25)*(1-EXP(-Inputs!$B$25*Inputs!$B$14*Inputs!$B$17*Inputs!$B$26/(CW25*Inputs!$B$16/0.866)))</f>
        <v>0.00752896379974947</v>
      </c>
      <c r="DF25" s="15" t="n">
        <f aca="false">(DC25-DD25-DE25)*(1-Inputs!$B$19)</f>
        <v>0.00346369412398937</v>
      </c>
      <c r="DG25" s="15" t="n">
        <f aca="false">(CZ25+DA25+DB25+DD25+DE25+DF25)*(1+Inputs!$B$27)</f>
        <v>0.311657043934094</v>
      </c>
      <c r="DH25" s="15" t="n">
        <f aca="false">Inputs!$B$52/(1-DG25-G25)</f>
        <v>196630.36598116</v>
      </c>
      <c r="DI25" s="15" t="n">
        <f aca="false">DH25/Inputs!$B$34</f>
        <v>327.717276635266</v>
      </c>
      <c r="DJ25" s="15" t="n">
        <f aca="false">B25^2/DI25</f>
        <v>11.7296226780201</v>
      </c>
      <c r="DK25" s="15" t="n">
        <f aca="false">Inputs!$B$54*H25/(Inputs!$B$35*F25+E25*H25^2/(PI()*DJ25*Inputs!$B$36))</f>
        <v>19.3181780857274</v>
      </c>
      <c r="DL25" s="15" t="n">
        <f aca="false">EXP(-Inputs!$B$11*Inputs!$B$14*Inputs!$B$17/(Inputs!$B$51*DK25*Inputs!$B$16))</f>
        <v>0.753466919737393</v>
      </c>
      <c r="DM25" s="15" t="n">
        <f aca="false">Inputs!$B$50*Inputs!$B$18*DL25*Inputs!$B$19</f>
        <v>0.736230783321518</v>
      </c>
      <c r="DN25" s="15" t="n">
        <f aca="false">1-DM25</f>
        <v>0.263769216678482</v>
      </c>
      <c r="DO25" s="15" t="n">
        <f aca="false">Inputs!$B$20*DN25</f>
        <v>0.00791307650035447</v>
      </c>
      <c r="DP25" s="15" t="n">
        <f aca="false">0.8*(1-Inputs!$B$50)*(DM25-DO25)</f>
        <v>0.00175423185519111</v>
      </c>
      <c r="DQ25" s="15" t="n">
        <f aca="false">DM25-DO25-DP25</f>
        <v>0.726563474965972</v>
      </c>
      <c r="DR25" s="15" t="n">
        <f aca="false">DQ25*(1-Inputs!$B$18*EXP(-Inputs!$B$21*Inputs!$B$14*Inputs!$B$17/(Inputs!$B$22*Inputs!$B$23*Inputs!$B$24*DK25*Inputs!$B$16))*Inputs!$B$19)</f>
        <v>0.0262862149475914</v>
      </c>
      <c r="DS25" s="15" t="n">
        <f aca="false">(DQ25-DR25)*(1-EXP(-Inputs!$B$25*Inputs!$B$14*Inputs!$B$17*Inputs!$B$26/(DK25*Inputs!$B$16/0.866)))</f>
        <v>0.00752874044923328</v>
      </c>
      <c r="DT25" s="15" t="n">
        <f aca="false">(DQ25-DR25-DS25)*(1-Inputs!$B$19)</f>
        <v>0.00346374259784574</v>
      </c>
      <c r="DU25" s="15" t="n">
        <f aca="false">(DN25+DO25+DP25+DR25+DS25+DT25)*(1+Inputs!$B$27)</f>
        <v>0.311647368697784</v>
      </c>
      <c r="DV25" s="15" t="n">
        <f aca="false">Inputs!$B$52/(1-DU25-G25)</f>
        <v>196618.900641853</v>
      </c>
      <c r="DW25" s="15" t="n">
        <f aca="false">DV25/Inputs!$B$34</f>
        <v>327.698167736422</v>
      </c>
      <c r="DX25" s="15" t="n">
        <f aca="false">B25^2/DW25</f>
        <v>11.7303066616224</v>
      </c>
      <c r="DY25" s="15" t="n">
        <f aca="false">Inputs!$B$54*H25/(Inputs!$B$35*F25+E25*H25^2/(PI()*DX25*Inputs!$B$36))</f>
        <v>19.3185143121823</v>
      </c>
      <c r="DZ25" s="15" t="n">
        <f aca="false">EXP(-Inputs!$B$11*Inputs!$B$14*Inputs!$B$17/(Inputs!$B$51*DY25*Inputs!$B$16))</f>
        <v>0.753470631818987</v>
      </c>
      <c r="EA25" s="15" t="n">
        <f aca="false">Inputs!$B$50*Inputs!$B$18*DZ25*Inputs!$B$19</f>
        <v>0.736234410486385</v>
      </c>
      <c r="EB25" s="15" t="n">
        <f aca="false">1-EA25</f>
        <v>0.263765589513615</v>
      </c>
      <c r="EC25" s="15" t="n">
        <f aca="false">Inputs!$B$20*EB25</f>
        <v>0.00791296768540846</v>
      </c>
      <c r="ED25" s="15" t="n">
        <f aca="false">0.8*(1-Inputs!$B$50)*(EA25-EC25)</f>
        <v>0.00175424085370197</v>
      </c>
      <c r="EE25" s="15" t="n">
        <f aca="false">EA25-EC25-ED25</f>
        <v>0.726567201947274</v>
      </c>
      <c r="EF25" s="15" t="n">
        <f aca="false">EE25*(1-Inputs!$B$18*EXP(-Inputs!$B$21*Inputs!$B$14*Inputs!$B$17/(Inputs!$B$22*Inputs!$B$23*Inputs!$B$24*DY25*Inputs!$B$16))*Inputs!$B$19)</f>
        <v>0.0262861459624098</v>
      </c>
      <c r="EG25" s="15" t="n">
        <f aca="false">(EE25-EF25)*(1-EXP(-Inputs!$B$25*Inputs!$B$14*Inputs!$B$17*Inputs!$B$26/(DY25*Inputs!$B$16/0.866)))</f>
        <v>0.00752865093324529</v>
      </c>
      <c r="EH25" s="15" t="n">
        <f aca="false">(EE25-EF25-EG25)*(1-Inputs!$B$19)</f>
        <v>0.0034637620252581</v>
      </c>
      <c r="EI25" s="15" t="n">
        <f aca="false">(EB25+EC25+ED25+EF25+EG25+EH25)*(1+Inputs!$B$27)</f>
        <v>0.31164349104456</v>
      </c>
      <c r="EJ25" s="15" t="n">
        <f aca="false">Inputs!$B$52/(1-EI25-G25)</f>
        <v>196614.305924237</v>
      </c>
      <c r="EK25" s="15" t="n">
        <f aca="false">EJ25/Inputs!$B$34</f>
        <v>327.690509873728</v>
      </c>
      <c r="EL25" s="15" t="n">
        <f aca="false">B25^2/EK25</f>
        <v>11.73058078942</v>
      </c>
      <c r="EM25" s="15" t="n">
        <f aca="false">Inputs!$B$54*H25/(Inputs!$B$35*F25+E25*H25^2/(PI()*EL25*Inputs!$B$36))</f>
        <v>19.3186490577174</v>
      </c>
      <c r="EN25" s="15" t="n">
        <f aca="false">EXP(-Inputs!$B$11*Inputs!$B$14*Inputs!$B$17/(Inputs!$B$51*EM25*Inputs!$B$16))</f>
        <v>0.753472119435279</v>
      </c>
      <c r="EO25" s="15" t="n">
        <f aca="false">Inputs!$B$50*Inputs!$B$18*EN25*Inputs!$B$19</f>
        <v>0.736235864072308</v>
      </c>
      <c r="EP25" s="15" t="n">
        <f aca="false">1-EO25</f>
        <v>0.263764135927692</v>
      </c>
      <c r="EQ25" s="15" t="n">
        <f aca="false">Inputs!$B$20*EP25</f>
        <v>0.00791292407783077</v>
      </c>
      <c r="ER25" s="15" t="n">
        <f aca="false">0.8*(1-Inputs!$B$50)*(EO25-EQ25)</f>
        <v>0.00175424445985422</v>
      </c>
      <c r="ES25" s="15" t="n">
        <f aca="false">EO25-EQ25-ER25</f>
        <v>0.726568695534623</v>
      </c>
      <c r="ET25" s="15" t="n">
        <f aca="false">ES25*(1-Inputs!$B$18*EXP(-Inputs!$B$21*Inputs!$B$14*Inputs!$B$17/(Inputs!$B$22*Inputs!$B$23*Inputs!$B$24*EM25*Inputs!$B$16))*Inputs!$B$19)</f>
        <v>0.0262861183162841</v>
      </c>
      <c r="EU25" s="15" t="n">
        <f aca="false">(ES25-ET25)*(1-EXP(-Inputs!$B$25*Inputs!$B$14*Inputs!$B$17*Inputs!$B$26/(EM25*Inputs!$B$16/0.866)))</f>
        <v>0.00752861505950318</v>
      </c>
      <c r="EV25" s="15" t="n">
        <f aca="false">(ES25-ET25-EU25)*(1-Inputs!$B$19)</f>
        <v>0.00346376981079418</v>
      </c>
      <c r="EW25" s="15" t="n">
        <f aca="false">(EP25+EQ25+ER25+ET25+EU25+EV25)*(1+Inputs!$B$27)</f>
        <v>0.311641937074915</v>
      </c>
      <c r="EX25" s="15" t="n">
        <f aca="false">Inputs!$B$52/(1-EW25-G25)</f>
        <v>196612.464651289</v>
      </c>
      <c r="EY25" s="15" t="n">
        <f aca="false">EX25/Inputs!$B$34</f>
        <v>327.687441085481</v>
      </c>
      <c r="EZ25" s="15" t="n">
        <f aca="false">B25^2/EY25</f>
        <v>11.730690646143</v>
      </c>
      <c r="FA25" s="15" t="n">
        <f aca="false">Inputs!$B$54*H25/(Inputs!$B$35*F25+E25*H25^2/(PI()*EZ25*Inputs!$B$36))</f>
        <v>19.3187030557545</v>
      </c>
      <c r="FB25" s="15" t="n">
        <f aca="false">EXP(-Inputs!$B$11*Inputs!$B$14*Inputs!$B$17/(Inputs!$B$51*FA25*Inputs!$B$16))</f>
        <v>0.753472715578862</v>
      </c>
      <c r="FC25" s="15" t="n">
        <f aca="false">Inputs!$B$50*Inputs!$B$18*FB25*Inputs!$B$19</f>
        <v>0.736236446578647</v>
      </c>
      <c r="FD25" s="15" t="n">
        <f aca="false">1-FC25</f>
        <v>0.263763553421353</v>
      </c>
      <c r="FE25" s="15" t="n">
        <f aca="false">Inputs!$B$20*FD25</f>
        <v>0.0079129066026406</v>
      </c>
      <c r="FF25" s="15" t="n">
        <f aca="false">0.8*(1-Inputs!$B$50)*(FC25-FE25)</f>
        <v>0.00175424590497453</v>
      </c>
      <c r="FG25" s="15" t="n">
        <f aca="false">FC25-FE25-FF25</f>
        <v>0.726569294071032</v>
      </c>
      <c r="FH25" s="15" t="n">
        <f aca="false">FG25*(1-Inputs!$B$18*EXP(-Inputs!$B$21*Inputs!$B$14*Inputs!$B$17/(Inputs!$B$22*Inputs!$B$23*Inputs!$B$24*FA25*Inputs!$B$16))*Inputs!$B$19)</f>
        <v>0.026286107237394</v>
      </c>
      <c r="FI25" s="15" t="n">
        <f aca="false">(FG25-FH25)*(1-EXP(-Inputs!$B$25*Inputs!$B$14*Inputs!$B$17*Inputs!$B$26/(FA25*Inputs!$B$16/0.866)))</f>
        <v>0.00752860068351537</v>
      </c>
      <c r="FJ25" s="15" t="n">
        <f aca="false">(FG25-FH25-FI25)*(1-Inputs!$B$19)</f>
        <v>0.00346377293075061</v>
      </c>
      <c r="FK25" s="15" t="n">
        <f aca="false">(FD25+FE25+FF25+FH25+FI25+FJ25)*(1+Inputs!$B$27)</f>
        <v>0.31164131434097</v>
      </c>
      <c r="FL25" s="15" t="n">
        <f aca="false">Inputs!$B$52/(1-FK25-G25)</f>
        <v>196611.726793809</v>
      </c>
      <c r="FM25" s="15" t="n">
        <f aca="false">FL25/Inputs!$B$34</f>
        <v>327.686211323016</v>
      </c>
      <c r="FN25" s="15" t="n">
        <f aca="false">B25^2/FM25</f>
        <v>11.730734669854</v>
      </c>
      <c r="FO25" s="15" t="n">
        <f aca="false">Inputs!$B$54*H25/(Inputs!$B$35*F25+E25*H25^2/(PI()*FN25*Inputs!$B$36))</f>
        <v>19.318724694595</v>
      </c>
      <c r="FP25" s="15" t="n">
        <f aca="false">EXP(-Inputs!$B$11*Inputs!$B$14*Inputs!$B$17/(Inputs!$B$51*FO25*Inputs!$B$16))</f>
        <v>0.753472954472963</v>
      </c>
      <c r="FQ25" s="15" t="n">
        <f aca="false">Inputs!$B$50*Inputs!$B$18*FP25*Inputs!$B$19</f>
        <v>0.736236680007861</v>
      </c>
      <c r="FR25" s="15" t="n">
        <f aca="false">1-FQ25</f>
        <v>0.263763319992139</v>
      </c>
      <c r="FS25" s="15" t="n">
        <f aca="false">Inputs!$B$20*FR25</f>
        <v>0.00791289959976417</v>
      </c>
      <c r="FT25" s="15" t="n">
        <f aca="false">0.8*(1-Inputs!$B$50)*(FQ25-FS25)</f>
        <v>0.00175424648408119</v>
      </c>
      <c r="FU25" s="15" t="n">
        <f aca="false">FQ25-FS25-FT25</f>
        <v>0.726569533924016</v>
      </c>
      <c r="FV25" s="15" t="n">
        <f aca="false">FU25*(1-Inputs!$B$18*EXP(-Inputs!$B$21*Inputs!$B$14*Inputs!$B$17/(Inputs!$B$22*Inputs!$B$23*Inputs!$B$24*FO25*Inputs!$B$16))*Inputs!$B$19)</f>
        <v>0.0262861027977146</v>
      </c>
      <c r="FW25" s="15" t="n">
        <f aca="false">(FU25-FV25)*(1-EXP(-Inputs!$B$25*Inputs!$B$14*Inputs!$B$17*Inputs!$B$26/(FO25*Inputs!$B$16/0.866)))</f>
        <v>0.00752859492258432</v>
      </c>
      <c r="FX25" s="15" t="n">
        <f aca="false">(FU25-FV25-FW25)*(1-Inputs!$B$19)</f>
        <v>0.00346377418101859</v>
      </c>
      <c r="FY25" s="15" t="n">
        <f aca="false">(FR25+FS25+FT25+FV25+FW25+FX25)*(1+Inputs!$B$27)</f>
        <v>0.311641064791234</v>
      </c>
      <c r="FZ25" s="15" t="n">
        <f aca="false">Inputs!$B$52/(1-FY25-G25)</f>
        <v>196611.431111884</v>
      </c>
      <c r="GA25" s="15" t="n">
        <f aca="false">FZ25/Inputs!$B$34</f>
        <v>327.685718519807</v>
      </c>
      <c r="GB25" s="15" t="n">
        <f aca="false">B25^2/GA25</f>
        <v>11.7307523115862</v>
      </c>
      <c r="GC25" s="15" t="n">
        <f aca="false">Inputs!$B$54*H25/(Inputs!$B$35*F25+E25*H25^2/(PI()*GB25*Inputs!$B$36))</f>
        <v>19.3187333659498</v>
      </c>
      <c r="GD25" s="15" t="n">
        <f aca="false">EXP(-Inputs!$B$11*Inputs!$B$14*Inputs!$B$17/(Inputs!$B$51*GC25*Inputs!$B$16))</f>
        <v>0.753473050205114</v>
      </c>
      <c r="GE25" s="15" t="n">
        <f aca="false">Inputs!$B$50*Inputs!$B$18*GD25*Inputs!$B$19</f>
        <v>0.736236773550065</v>
      </c>
      <c r="GF25" s="15" t="n">
        <f aca="false">1-GE25</f>
        <v>0.263763226449935</v>
      </c>
      <c r="GG25" s="15" t="n">
        <f aca="false">Inputs!$B$20*GF25</f>
        <v>0.00791289679349806</v>
      </c>
      <c r="GH25" s="15" t="n">
        <f aca="false">0.8*(1-Inputs!$B$50)*(GE25-GG25)</f>
        <v>0.00175424671614688</v>
      </c>
      <c r="GI25" s="15" t="n">
        <f aca="false">GE25-GG25-GH25</f>
        <v>0.72656963004042</v>
      </c>
      <c r="GJ25" s="15" t="n">
        <f aca="false">GI25*(1-Inputs!$B$18*EXP(-Inputs!$B$21*Inputs!$B$14*Inputs!$B$17/(Inputs!$B$22*Inputs!$B$23*Inputs!$B$24*GC25*Inputs!$B$16))*Inputs!$B$19)</f>
        <v>0.0262861010185984</v>
      </c>
      <c r="GK25" s="15" t="n">
        <f aca="false">(GI25-GJ25)*(1-EXP(-Inputs!$B$25*Inputs!$B$14*Inputs!$B$17*Inputs!$B$26/(GC25*Inputs!$B$16/0.866)))</f>
        <v>0.00752859261400271</v>
      </c>
      <c r="GL25" s="15" t="n">
        <f aca="false">(GI25-GJ25-GK25)*(1-Inputs!$B$19)</f>
        <v>0.0034637746820391</v>
      </c>
      <c r="GM25" s="15" t="n">
        <f aca="false">(GF25+GG25+GH25+GJ25+GK25+GL25)*(1+Inputs!$B$27)</f>
        <v>0.311640964789043</v>
      </c>
      <c r="GN25" s="15" t="n">
        <f aca="false">Inputs!$B$52/(1-GM25-G25)</f>
        <v>196611.312623368</v>
      </c>
      <c r="GO25" s="15" t="n">
        <f aca="false">GN25/Inputs!$B$34</f>
        <v>327.685521038947</v>
      </c>
      <c r="GP25" s="15" t="n">
        <f aca="false">B25^2/GO25</f>
        <v>11.7307593811663</v>
      </c>
      <c r="GQ25" s="15" t="n">
        <f aca="false">Inputs!$B$54*H25/(Inputs!$B$35*F25+E25*H25^2/(PI()*GP25*Inputs!$B$36))</f>
        <v>19.3187368408211</v>
      </c>
      <c r="GR25" s="15" t="n">
        <f aca="false">EXP(-Inputs!$B$11*Inputs!$B$14*Inputs!$B$17/(Inputs!$B$51*GQ25*Inputs!$B$16))</f>
        <v>0.753473088567829</v>
      </c>
      <c r="GS25" s="15" t="n">
        <f aca="false">Inputs!$B$50*Inputs!$B$18*GR25*Inputs!$B$19</f>
        <v>0.736236811035203</v>
      </c>
      <c r="GT25" s="15" t="n">
        <f aca="false">1-GS25</f>
        <v>0.263763188964797</v>
      </c>
      <c r="GU25" s="15" t="n">
        <f aca="false">Inputs!$B$20*GT25</f>
        <v>0.0079128956689439</v>
      </c>
      <c r="GV25" s="15" t="n">
        <f aca="false">0.8*(1-Inputs!$B$50)*(GS25-GU25)</f>
        <v>0.0017542468091425</v>
      </c>
      <c r="GW25" s="15" t="n">
        <f aca="false">GS25-GU25-GV25</f>
        <v>0.726569668557117</v>
      </c>
      <c r="GX25" s="15" t="n">
        <f aca="false">GW25*(1-Inputs!$B$18*EXP(-Inputs!$B$21*Inputs!$B$14*Inputs!$B$17/(Inputs!$B$22*Inputs!$B$23*Inputs!$B$24*GQ25*Inputs!$B$16))*Inputs!$B$19)</f>
        <v>0.0262861003056534</v>
      </c>
      <c r="GY25" s="15" t="n">
        <f aca="false">(GW25-GX25)*(1-EXP(-Inputs!$B$25*Inputs!$B$14*Inputs!$B$17*Inputs!$B$26/(GQ25*Inputs!$B$16/0.866)))</f>
        <v>0.00752859168888531</v>
      </c>
      <c r="GZ25" s="15" t="n">
        <f aca="false">(GW25-GX25-GY25)*(1-Inputs!$B$19)</f>
        <v>0.00346377488281289</v>
      </c>
      <c r="HA25" s="15" t="n">
        <f aca="false">(GT25+GU25+GV25+GX25+GY25+GZ25)*(1+Inputs!$B$27)</f>
        <v>0.311640924715195</v>
      </c>
      <c r="HB25" s="15" t="n">
        <f aca="false">Inputs!$B$52/(1-HA25-G25)</f>
        <v>196611.265141541</v>
      </c>
      <c r="HC25" s="15" t="n">
        <f aca="false">HB25/Inputs!$B$34</f>
        <v>327.685441902568</v>
      </c>
      <c r="HD25" s="15" t="n">
        <f aca="false">B25^2/HC25</f>
        <v>11.730762214157</v>
      </c>
      <c r="HE25" s="15" t="n">
        <f aca="false">Inputs!$B$54*H25/(Inputs!$B$35*F25+E25*H25^2/(PI()*HD25*Inputs!$B$36))</f>
        <v>19.3187382333044</v>
      </c>
      <c r="HF25" s="15" t="n">
        <f aca="false">EXP(-Inputs!$B$11*Inputs!$B$14*Inputs!$B$17/(Inputs!$B$51*HE25*Inputs!$B$16))</f>
        <v>0.753473103940896</v>
      </c>
      <c r="HG25" s="15" t="n">
        <f aca="false">Inputs!$B$50*Inputs!$B$18*HF25*Inputs!$B$19</f>
        <v>0.736236826056599</v>
      </c>
      <c r="HH25" s="15" t="n">
        <f aca="false">1-HG25</f>
        <v>0.263763173943401</v>
      </c>
      <c r="HI25" s="15" t="n">
        <f aca="false">Inputs!$B$20*HH25</f>
        <v>0.00791289521830202</v>
      </c>
      <c r="HJ25" s="15" t="n">
        <f aca="false">0.8*(1-Inputs!$B$50)*(HG25-HI25)</f>
        <v>0.00175424684640857</v>
      </c>
      <c r="HK25" s="15" t="n">
        <f aca="false">HG25-HI25-HJ25</f>
        <v>0.726569683991889</v>
      </c>
      <c r="HL25" s="15" t="n">
        <f aca="false">HK25*(1-Inputs!$B$18*EXP(-Inputs!$B$21*Inputs!$B$14*Inputs!$B$17/(Inputs!$B$22*Inputs!$B$23*Inputs!$B$24*HE25*Inputs!$B$16))*Inputs!$B$19)</f>
        <v>0.0262861000199554</v>
      </c>
      <c r="HM25" s="15" t="n">
        <f aca="false">(HK25-HL25)*(1-EXP(-Inputs!$B$25*Inputs!$B$14*Inputs!$B$17*Inputs!$B$26/(HE25*Inputs!$B$16/0.866)))</f>
        <v>0.00752859131816359</v>
      </c>
      <c r="HN25" s="15" t="n">
        <f aca="false">(HK25-HL25-HM25)*(1-Inputs!$B$19)</f>
        <v>0.00346377496326885</v>
      </c>
      <c r="HO25" s="15" t="n">
        <f aca="false">(HH25+HI25+HJ25+HL25+HM25+HN25)*(1+Inputs!$B$27)</f>
        <v>0.311640908656427</v>
      </c>
      <c r="HP25" s="15" t="n">
        <f aca="false">Inputs!$B$52/(1-HO25-G25)</f>
        <v>196611.246114185</v>
      </c>
      <c r="HQ25" s="15" t="n">
        <f aca="false">HP25/Inputs!$B$34</f>
        <v>327.685410190308</v>
      </c>
      <c r="HR25" s="15" t="n">
        <f aca="false">B25^2/HQ25</f>
        <v>11.7307633494196</v>
      </c>
      <c r="HS25" s="15" t="n">
        <f aca="false">Inputs!$B$54*H25/(Inputs!$B$35*F25+E25*H25^2/(PI()*HR25*Inputs!$B$36))</f>
        <v>19.3187387913132</v>
      </c>
      <c r="HT25" s="15" t="n">
        <f aca="false">EXP(-Inputs!$B$11*Inputs!$B$14*Inputs!$B$17/(Inputs!$B$51*HS25*Inputs!$B$16))</f>
        <v>0.753473110101333</v>
      </c>
      <c r="HU25" s="15" t="n">
        <f aca="false">Inputs!$B$50*Inputs!$B$18*HT25*Inputs!$B$19</f>
        <v>0.736236832076112</v>
      </c>
      <c r="HV25" s="15" t="n">
        <f aca="false">1-HU25</f>
        <v>0.263763167923888</v>
      </c>
      <c r="HW25" s="15" t="n">
        <f aca="false">Inputs!$B$20*HV25</f>
        <v>0.00791289503771664</v>
      </c>
      <c r="HX25" s="15" t="n">
        <f aca="false">0.8*(1-Inputs!$B$50)*(HU25-HW25)</f>
        <v>0.00175424686134218</v>
      </c>
      <c r="HY25" s="15" t="n">
        <f aca="false">HU25-HW25-HX25</f>
        <v>0.726569690177053</v>
      </c>
      <c r="HZ25" s="15" t="n">
        <f aca="false">HY25*(1-Inputs!$B$18*EXP(-Inputs!$B$21*Inputs!$B$14*Inputs!$B$17/(Inputs!$B$22*Inputs!$B$23*Inputs!$B$24*HS25*Inputs!$B$16))*Inputs!$B$19)</f>
        <v>0.0262860999054679</v>
      </c>
      <c r="IA25" s="15" t="n">
        <f aca="false">(HY25-HZ25)*(1-EXP(-Inputs!$B$25*Inputs!$B$14*Inputs!$B$17*Inputs!$B$26/(HS25*Inputs!$B$16/0.866)))</f>
        <v>0.00752859116960454</v>
      </c>
      <c r="IB25" s="15" t="n">
        <f aca="false">(HY25-HZ25-IA25)*(1-Inputs!$B$19)</f>
        <v>0.00346377499550991</v>
      </c>
      <c r="IC25" s="15" t="n">
        <f aca="false">(HV25+HW25+HX25+HZ25+IA25+IB25)*(1+Inputs!$B$27)</f>
        <v>0.31164090222121</v>
      </c>
      <c r="ID25" s="15" t="n">
        <f aca="false">Inputs!$B$52/(1-IC25-G25)</f>
        <v>196611.238489368</v>
      </c>
      <c r="IE25" s="15" t="n">
        <f aca="false">ID25/Inputs!$B$34</f>
        <v>327.685397482279</v>
      </c>
      <c r="IF25" s="15" t="n">
        <f aca="false">B25^2/IE25</f>
        <v>11.7307638043526</v>
      </c>
      <c r="IG25" s="15" t="n">
        <f aca="false">Inputs!$B$54*H25/(Inputs!$B$35*F25+E25*H25^2/(PI()*IF25*Inputs!$B$36))</f>
        <v>19.3187390149236</v>
      </c>
      <c r="IH25" s="15" t="n">
        <f aca="false">EXP(-Inputs!$B$11*Inputs!$B$14*Inputs!$B$17/(Inputs!$B$51*IG25*Inputs!$B$16))</f>
        <v>0.75347311257</v>
      </c>
      <c r="II25" s="15" t="n">
        <f aca="false">Inputs!$B$50*Inputs!$B$18*IH25*Inputs!$B$19</f>
        <v>0.736236834488307</v>
      </c>
      <c r="IJ25" s="15" t="n">
        <f aca="false">1-II25</f>
        <v>0.263763165511693</v>
      </c>
      <c r="IK25" s="15" t="n">
        <f aca="false">Inputs!$B$20*IJ25</f>
        <v>0.0079128949653508</v>
      </c>
      <c r="IL25" s="15" t="n">
        <f aca="false">0.8*(1-Inputs!$B$50)*(II25-IK25)</f>
        <v>0.00175424686732651</v>
      </c>
      <c r="IM25" s="15" t="n">
        <f aca="false">II25-IK25-IL25</f>
        <v>0.726569692655629</v>
      </c>
      <c r="IN25" s="15" t="n">
        <f aca="false">IM25*(1-Inputs!$B$18*EXP(-Inputs!$B$21*Inputs!$B$14*Inputs!$B$17/(Inputs!$B$22*Inputs!$B$23*Inputs!$B$24*IG25*Inputs!$B$16))*Inputs!$B$19)</f>
        <v>0.0262860998595893</v>
      </c>
      <c r="IO25" s="15" t="n">
        <f aca="false">(IM25-IN25)*(1-EXP(-Inputs!$B$25*Inputs!$B$14*Inputs!$B$17*Inputs!$B$26/(IG25*Inputs!$B$16/0.866)))</f>
        <v>0.00752859111007262</v>
      </c>
      <c r="IP25" s="15" t="n">
        <f aca="false">(IM25-IN25-IO25)*(1-Inputs!$B$19)</f>
        <v>0.00346377500842984</v>
      </c>
      <c r="IQ25" s="15" t="n">
        <f aca="false">(IJ25+IK25+IL25+IN25+IO25+IP25)*(1+Inputs!$B$27)</f>
        <v>0.31164089964243</v>
      </c>
      <c r="IR25" s="15" t="n">
        <f aca="false">Inputs!$B$52/(1-IQ25-G25)</f>
        <v>196611.235433881</v>
      </c>
      <c r="IS25" s="15" t="n">
        <f aca="false">IR25/Inputs!$B$34</f>
        <v>327.685392389801</v>
      </c>
      <c r="IT25" s="15" t="n">
        <f aca="false">B25^2/IS25</f>
        <v>11.7307639866575</v>
      </c>
      <c r="IU25" s="15" t="n">
        <f aca="false">Inputs!$B$54*H25/(Inputs!$B$35*F25+E25*H25^2/(PI()*IT25*Inputs!$B$36))</f>
        <v>19.3187391045308</v>
      </c>
      <c r="IV25" s="15" t="n">
        <f aca="false">EXP(-Inputs!$B$11*Inputs!$B$14*Inputs!$B$17/(Inputs!$B$51*IU25*Inputs!$B$16))</f>
        <v>0.753473113559267</v>
      </c>
      <c r="IW25" s="15" t="n">
        <f aca="false">Inputs!$B$50*Inputs!$B$18*IV25*Inputs!$B$19</f>
        <v>0.736236835454943</v>
      </c>
      <c r="IX25" s="15" t="n">
        <f aca="false">1-IW25</f>
        <v>0.263763164545057</v>
      </c>
      <c r="IY25" s="15" t="n">
        <f aca="false">Inputs!$B$20*IX25</f>
        <v>0.0079128949363517</v>
      </c>
      <c r="IZ25" s="15" t="n">
        <f aca="false">0.8*(1-Inputs!$B$50)*(IW25-IY25)</f>
        <v>0.00175424686972461</v>
      </c>
      <c r="JA25" s="15" t="n">
        <f aca="false">IW25-IY25-IZ25</f>
        <v>0.726569693648867</v>
      </c>
      <c r="JB25" s="15" t="n">
        <f aca="false">JA25*(1-Inputs!$B$18*EXP(-Inputs!$B$21*Inputs!$B$14*Inputs!$B$17/(Inputs!$B$22*Inputs!$B$23*Inputs!$B$24*IU25*Inputs!$B$16))*Inputs!$B$19)</f>
        <v>0.0262860998412045</v>
      </c>
      <c r="JC25" s="15" t="n">
        <f aca="false">(JA25-JB25)*(1-EXP(-Inputs!$B$25*Inputs!$B$14*Inputs!$B$17*Inputs!$B$26/(IU25*Inputs!$B$16/0.866)))</f>
        <v>0.00752859108621647</v>
      </c>
      <c r="JD25" s="15" t="n">
        <f aca="false">(JA25-JB25-JC25)*(1-Inputs!$B$19)</f>
        <v>0.00346377501360723</v>
      </c>
      <c r="JE25" s="15" t="n">
        <f aca="false">(IX25+IY25+IZ25+JB25+JC25+JD25)*(1+Inputs!$B$27)</f>
        <v>0.311640898609038</v>
      </c>
      <c r="JF25" s="15" t="n">
        <f aca="false">Inputs!$B$52/(1-JE25-G25)</f>
        <v>196611.234209458</v>
      </c>
      <c r="JG25" s="15" t="n">
        <f aca="false">JF25/Inputs!$B$34</f>
        <v>327.685390349097</v>
      </c>
      <c r="JH25" s="15" t="n">
        <f aca="false">B25^2/JG25</f>
        <v>11.7307640597124</v>
      </c>
      <c r="JI25" s="15" t="n">
        <f aca="false">Inputs!$B$54*H25/(Inputs!$B$35*F25+E25*H25^2/(PI()*JH25*Inputs!$B$36))</f>
        <v>19.3187391404391</v>
      </c>
      <c r="JJ25" s="15" t="n">
        <f aca="false">EXP(-Inputs!$B$11*Inputs!$B$14*Inputs!$B$17/(Inputs!$B$51*JI25*Inputs!$B$16))</f>
        <v>0.753473113955695</v>
      </c>
      <c r="JK25" s="15" t="n">
        <f aca="false">Inputs!$B$50*Inputs!$B$18*JJ25*Inputs!$B$19</f>
        <v>0.736236835842303</v>
      </c>
      <c r="JL25" s="15" t="n">
        <f aca="false">1-JK25</f>
        <v>0.263763164157697</v>
      </c>
      <c r="JM25" s="15" t="n">
        <f aca="false">Inputs!$B$20*JL25</f>
        <v>0.00791289492473092</v>
      </c>
      <c r="JN25" s="15" t="n">
        <f aca="false">0.8*(1-Inputs!$B$50)*(JK25-JM25)</f>
        <v>0.00175424687068559</v>
      </c>
      <c r="JO25" s="15" t="n">
        <f aca="false">JK25-JM25-JN25</f>
        <v>0.726569694046886</v>
      </c>
      <c r="JP25" s="15" t="n">
        <f aca="false">JO25*(1-Inputs!$B$18*EXP(-Inputs!$B$21*Inputs!$B$14*Inputs!$B$17/(Inputs!$B$22*Inputs!$B$23*Inputs!$B$24*JI25*Inputs!$B$16))*Inputs!$B$19)</f>
        <v>0.0262860998338371</v>
      </c>
      <c r="JQ25" s="15" t="n">
        <f aca="false">(JO25-JP25)*(1-EXP(-Inputs!$B$25*Inputs!$B$14*Inputs!$B$17*Inputs!$B$26/(JI25*Inputs!$B$16/0.866)))</f>
        <v>0.00752859107665656</v>
      </c>
      <c r="JR25" s="15" t="n">
        <f aca="false">(JO25-JP25-JQ25)*(1-Inputs!$B$19)</f>
        <v>0.00346377501568197</v>
      </c>
      <c r="JS25" s="15" t="n">
        <f aca="false">(JL25+JM25+JN25+JP25+JQ25+JR25)*(1+Inputs!$B$27)</f>
        <v>0.311640898194927</v>
      </c>
      <c r="JT25" s="15" t="n">
        <f aca="false">Inputs!$B$52/(1-JS25-G25)</f>
        <v>196611.233718796</v>
      </c>
      <c r="JU25" s="15" t="n">
        <f aca="false">JT25/Inputs!$B$34</f>
        <v>327.685389531327</v>
      </c>
      <c r="JV25" s="15" t="n">
        <f aca="false">B25^2/JU25</f>
        <v>11.7307640889876</v>
      </c>
      <c r="JW25" s="15" t="n">
        <f aca="false">Inputs!$B$54*H25/(Inputs!$B$35*F25+E25*H25^2/(PI()*JV25*Inputs!$B$36))</f>
        <v>19.3187391548285</v>
      </c>
      <c r="JX25" s="15" t="n">
        <f aca="false">EXP(-Inputs!$B$11*Inputs!$B$14*Inputs!$B$17/(Inputs!$B$51*JW25*Inputs!$B$16))</f>
        <v>0.753473114114556</v>
      </c>
      <c r="JY25" s="15" t="n">
        <f aca="false">Inputs!$B$50*Inputs!$B$18*JX25*Inputs!$B$19</f>
        <v>0.736236835997529</v>
      </c>
      <c r="JZ25" s="15" t="n">
        <f aca="false">1-JY25</f>
        <v>0.263763164002471</v>
      </c>
      <c r="KA25" s="15" t="n">
        <f aca="false">Inputs!$B$20*JZ25</f>
        <v>0.00791289492007413</v>
      </c>
      <c r="KB25" s="15" t="n">
        <f aca="false">0.8*(1-Inputs!$B$50)*(JY25-KA25)</f>
        <v>0.00175424687107069</v>
      </c>
      <c r="KC25" s="15" t="n">
        <f aca="false">JY25-KA25-KB25</f>
        <v>0.726569694206384</v>
      </c>
      <c r="KD25" s="15" t="n">
        <f aca="false">KC25*(1-Inputs!$B$18*EXP(-Inputs!$B$21*Inputs!$B$14*Inputs!$B$17/(Inputs!$B$22*Inputs!$B$23*Inputs!$B$24*JW25*Inputs!$B$16))*Inputs!$B$19)</f>
        <v>0.0262860998308848</v>
      </c>
      <c r="KE25" s="15" t="n">
        <f aca="false">(KC25-KD25)*(1-EXP(-Inputs!$B$25*Inputs!$B$14*Inputs!$B$17*Inputs!$B$26/(JW25*Inputs!$B$16/0.866)))</f>
        <v>0.00752859107282568</v>
      </c>
      <c r="KF25" s="15" t="n">
        <f aca="false">(KC25-KD25-KE25)*(1-Inputs!$B$19)</f>
        <v>0.00346377501651337</v>
      </c>
      <c r="KG25" s="15" t="n">
        <f aca="false">(JZ25+KA25+KB25+KD25+KE25+KF25)*(1+Inputs!$B$27)</f>
        <v>0.311640898028981</v>
      </c>
      <c r="KH25" s="15" t="n">
        <f aca="false">Inputs!$B$52/(1-KG25-G25)</f>
        <v>196611.233522174</v>
      </c>
      <c r="KI25" s="15" t="n">
        <f aca="false">KH25/Inputs!$B$34</f>
        <v>327.685389203623</v>
      </c>
      <c r="KJ25" s="15" t="n">
        <f aca="false">B25^2/KI25</f>
        <v>11.730764100719</v>
      </c>
      <c r="KK25" s="15" t="n">
        <f aca="false">Inputs!$B$54*H25/(Inputs!$B$35*F25+E25*H25^2/(PI()*KJ25*Inputs!$B$36))</f>
        <v>19.3187391605948</v>
      </c>
      <c r="KL25" s="15" t="n">
        <f aca="false">EXP(-Inputs!$B$11*Inputs!$B$14*Inputs!$B$17/(Inputs!$B$51*KK25*Inputs!$B$16))</f>
        <v>0.753473114178216</v>
      </c>
      <c r="KM25" s="15" t="n">
        <f aca="false">Inputs!$B$50*Inputs!$B$18*KL25*Inputs!$B$19</f>
        <v>0.736236836059733</v>
      </c>
      <c r="KN25" s="15" t="n">
        <f aca="false">1-KM25</f>
        <v>0.263763163940267</v>
      </c>
      <c r="KO25" s="15" t="n">
        <f aca="false">Inputs!$B$20*KN25</f>
        <v>0.00791289491820802</v>
      </c>
      <c r="KP25" s="15" t="n">
        <f aca="false">0.8*(1-Inputs!$B$50)*(KM25-KO25)</f>
        <v>0.00175424687122501</v>
      </c>
      <c r="KQ25" s="15" t="n">
        <f aca="false">KM25-KO25-KP25</f>
        <v>0.7265696942703</v>
      </c>
      <c r="KR25" s="15" t="n">
        <f aca="false">KQ25*(1-Inputs!$B$18*EXP(-Inputs!$B$21*Inputs!$B$14*Inputs!$B$17/(Inputs!$B$22*Inputs!$B$23*Inputs!$B$24*KK25*Inputs!$B$16))*Inputs!$B$19)</f>
        <v>0.0262860998297018</v>
      </c>
      <c r="KS25" s="15" t="n">
        <f aca="false">(KQ25-KR25)*(1-EXP(-Inputs!$B$25*Inputs!$B$14*Inputs!$B$17*Inputs!$B$26/(KK25*Inputs!$B$16/0.866)))</f>
        <v>0.00752859107129046</v>
      </c>
      <c r="KT25" s="15" t="n">
        <f aca="false">(KQ25-KR25-KS25)*(1-Inputs!$B$19)</f>
        <v>0.00346377501684654</v>
      </c>
      <c r="KU25" s="15" t="n">
        <f aca="false">(KN25+KO25+KP25+KR25+KS25+KT25)*(1+Inputs!$B$27)</f>
        <v>0.311640897962482</v>
      </c>
      <c r="KV25" s="15" t="n">
        <f aca="false">Inputs!$B$52/(1-KU25-G25)</f>
        <v>196611.233443382</v>
      </c>
      <c r="KW25" s="15" t="n">
        <f aca="false">KV25/Inputs!$B$34</f>
        <v>327.685389072303</v>
      </c>
      <c r="KX25" s="15" t="n">
        <f aca="false">B25^2/KW25</f>
        <v>11.7307641054201</v>
      </c>
      <c r="KY25" s="15" t="n">
        <f aca="false">Inputs!$B$54*H25/(Inputs!$B$35*F25+E25*H25^2/(PI()*KX25*Inputs!$B$36))</f>
        <v>19.3187391629055</v>
      </c>
      <c r="KZ25" s="15" t="n">
        <f aca="false">EXP(-Inputs!$B$11*Inputs!$B$14*Inputs!$B$17/(Inputs!$B$51*KY25*Inputs!$B$16))</f>
        <v>0.753473114203726</v>
      </c>
      <c r="LA25" s="15" t="n">
        <f aca="false">Inputs!$B$50*Inputs!$B$18*KZ25*Inputs!$B$19</f>
        <v>0.73623683608466</v>
      </c>
      <c r="LB25" s="15" t="n">
        <f aca="false">1-LA25</f>
        <v>0.263763163915341</v>
      </c>
      <c r="LC25" s="15" t="n">
        <f aca="false">Inputs!$B$20*LB25</f>
        <v>0.00791289491746021</v>
      </c>
      <c r="LD25" s="15" t="n">
        <f aca="false">0.8*(1-Inputs!$B$50)*(LA25-LC25)</f>
        <v>0.00175424687128685</v>
      </c>
      <c r="LE25" s="15" t="n">
        <f aca="false">LA25-LC25-LD25</f>
        <v>0.726569694295912</v>
      </c>
      <c r="LF25" s="15" t="n">
        <f aca="false">LE25*(1-Inputs!$B$18*EXP(-Inputs!$B$21*Inputs!$B$14*Inputs!$B$17/(Inputs!$B$22*Inputs!$B$23*Inputs!$B$24*KY25*Inputs!$B$16))*Inputs!$B$19)</f>
        <v>0.0262860998292277</v>
      </c>
      <c r="LG25" s="15" t="n">
        <f aca="false">(LE25-LF25)*(1-EXP(-Inputs!$B$25*Inputs!$B$14*Inputs!$B$17*Inputs!$B$26/(KY25*Inputs!$B$16/0.866)))</f>
        <v>0.00752859107067535</v>
      </c>
      <c r="LH25" s="15" t="n">
        <f aca="false">(LE25-LF25-LG25)*(1-Inputs!$B$19)</f>
        <v>0.00346377501698005</v>
      </c>
      <c r="LI25" s="15" t="n">
        <f aca="false">(LB25+LC25+LD25+LF25+LG25+LH25)*(1+Inputs!$B$27)</f>
        <v>0.311640897935833</v>
      </c>
      <c r="LJ25" s="15" t="n">
        <f aca="false">Inputs!$B$52/(1-LI25-G25)</f>
        <v>196611.233411807</v>
      </c>
      <c r="LK25" s="15" t="n">
        <f aca="false">LJ25/Inputs!$B$34</f>
        <v>327.685389019678</v>
      </c>
      <c r="LL25" s="15" t="n">
        <f aca="false">B25^2/LK25</f>
        <v>11.730764107304</v>
      </c>
      <c r="LM25" s="15" t="n">
        <f aca="false">Inputs!$B$54*H25/(Inputs!$B$35*F25+E25*H25^2/(PI()*LL25*Inputs!$B$36))</f>
        <v>19.3187391638315</v>
      </c>
      <c r="LN25" s="15" t="n">
        <f aca="false">EXP(-Inputs!$B$11*Inputs!$B$14*Inputs!$B$17/(Inputs!$B$51*LM25*Inputs!$B$16))</f>
        <v>0.753473114213949</v>
      </c>
      <c r="LO25" s="15" t="n">
        <f aca="false">Inputs!$B$50*Inputs!$B$18*LN25*Inputs!$B$19</f>
        <v>0.736236836094649</v>
      </c>
      <c r="LP25" s="15" t="n">
        <f aca="false">1-LO25</f>
        <v>0.263763163905352</v>
      </c>
      <c r="LQ25" s="15" t="n">
        <f aca="false">Inputs!$B$20*LP25</f>
        <v>0.00791289491716054</v>
      </c>
      <c r="LR25" s="15" t="n">
        <f aca="false">0.8*(1-Inputs!$B$50)*(LO25-LQ25)</f>
        <v>0.00175424687131163</v>
      </c>
      <c r="LS25" s="15" t="n">
        <f aca="false">LO25-LQ25-LR25</f>
        <v>0.726569694306176</v>
      </c>
      <c r="LT25" s="15" t="n">
        <f aca="false">LS25*(1-Inputs!$B$18*EXP(-Inputs!$B$21*Inputs!$B$14*Inputs!$B$17/(Inputs!$B$22*Inputs!$B$23*Inputs!$B$24*LM25*Inputs!$B$16))*Inputs!$B$19)</f>
        <v>0.0262860998290377</v>
      </c>
      <c r="LU25" s="15" t="n">
        <f aca="false">(LS25-LT25)*(1-EXP(-Inputs!$B$25*Inputs!$B$14*Inputs!$B$17*Inputs!$B$26/(LM25*Inputs!$B$16/0.866)))</f>
        <v>0.00752859107042878</v>
      </c>
      <c r="LV25" s="15" t="n">
        <f aca="false">(LS25-LT25-LU25)*(1-Inputs!$B$19)</f>
        <v>0.00346377501703355</v>
      </c>
      <c r="LW25" s="15" t="n">
        <f aca="false">(LP25+LQ25+LR25+LT25+LU25+LV25)*(1+Inputs!$B$27)</f>
        <v>0.311640897925155</v>
      </c>
      <c r="LX25" s="15" t="n">
        <f aca="false">Inputs!$B$52/(1-LW25-G25)</f>
        <v>196611.233399154</v>
      </c>
      <c r="LY25" s="15" t="n">
        <f aca="false">LX25/Inputs!$B$34</f>
        <v>327.68538899859</v>
      </c>
      <c r="LZ25" s="15" t="n">
        <f aca="false">B25^2/LY25</f>
        <v>11.730764108059</v>
      </c>
      <c r="MA25" s="15" t="n">
        <f aca="false">Inputs!$B$54*H25/(Inputs!$B$35*F25+E25*H25^2/(PI()*LZ25*Inputs!$B$36))</f>
        <v>19.3187391642026</v>
      </c>
      <c r="MB25" s="15" t="n">
        <f aca="false">EXP(-Inputs!$B$11*Inputs!$B$14*Inputs!$B$17/(Inputs!$B$51*MA25*Inputs!$B$16))</f>
        <v>0.753473114218045</v>
      </c>
      <c r="MC25" s="15" t="n">
        <f aca="false">Inputs!$B$50*Inputs!$B$18*MB25*Inputs!$B$19</f>
        <v>0.736236836098651</v>
      </c>
      <c r="MD25" s="15" t="n">
        <f aca="false">1-MC25</f>
        <v>0.263763163901349</v>
      </c>
      <c r="ME25" s="15" t="n">
        <f aca="false">Inputs!$B$20*MD25</f>
        <v>0.00791289491704046</v>
      </c>
      <c r="MF25" s="15" t="n">
        <f aca="false">0.8*(1-Inputs!$B$50)*(MC25-ME25)</f>
        <v>0.00175424687132156</v>
      </c>
      <c r="MG25" s="15" t="n">
        <f aca="false">MC25-ME25-MF25</f>
        <v>0.726569694310289</v>
      </c>
      <c r="MH25" s="15" t="n">
        <f aca="false">MG25*(1-Inputs!$B$18*EXP(-Inputs!$B$21*Inputs!$B$14*Inputs!$B$17/(Inputs!$B$22*Inputs!$B$23*Inputs!$B$24*MA25*Inputs!$B$16))*Inputs!$B$19)</f>
        <v>0.0262860998289615</v>
      </c>
      <c r="MI25" s="15" t="n">
        <f aca="false">(MG25-MH25)*(1-EXP(-Inputs!$B$25*Inputs!$B$14*Inputs!$B$17*Inputs!$B$26/(MA25*Inputs!$B$16/0.866)))</f>
        <v>0.00752859107032998</v>
      </c>
      <c r="MJ25" s="15" t="n">
        <f aca="false">(MG25-MH25-MI25)*(1-Inputs!$B$19)</f>
        <v>0.00346377501705499</v>
      </c>
      <c r="MK25" s="15" t="n">
        <f aca="false">(MD25+ME25+MF25+MH25+MI25+MJ25)*(1+Inputs!$B$27)</f>
        <v>0.311640897920875</v>
      </c>
      <c r="ML25" s="15" t="n">
        <f aca="false">Inputs!$B$52/(1-MK25-G25)</f>
        <v>196611.233394084</v>
      </c>
      <c r="MM25" s="15" t="n">
        <f aca="false">ML25/Inputs!$B$34</f>
        <v>327.68538899014</v>
      </c>
      <c r="MN25" s="15" t="n">
        <f aca="false">B25^2/MM25</f>
        <v>11.7307641083615</v>
      </c>
      <c r="MO25" s="15" t="n">
        <f aca="false">Inputs!$B$54*H25/(Inputs!$B$35*F25+E25*H25^2/(PI()*MN25*Inputs!$B$36))</f>
        <v>19.3187391643513</v>
      </c>
      <c r="MP25" s="15" t="n">
        <f aca="false">EXP(-Inputs!$B$11*Inputs!$B$14*Inputs!$B$17/(Inputs!$B$51*MO25*Inputs!$B$16))</f>
        <v>0.753473114219687</v>
      </c>
      <c r="MQ25" s="15" t="n">
        <f aca="false">Inputs!$B$50*Inputs!$B$18*MP25*Inputs!$B$19</f>
        <v>0.736236836100255</v>
      </c>
      <c r="MR25" s="15" t="n">
        <f aca="false">1-MQ25</f>
        <v>0.263763163899745</v>
      </c>
      <c r="MS25" s="15" t="n">
        <f aca="false">Inputs!$B$20*MR25</f>
        <v>0.00791289491699234</v>
      </c>
      <c r="MT25" s="15" t="n">
        <f aca="false">0.8*(1-Inputs!$B$50)*(MQ25-MS25)</f>
        <v>0.00175424687132554</v>
      </c>
      <c r="MU25" s="15" t="n">
        <f aca="false">MQ25-MS25-MT25</f>
        <v>0.726569694311938</v>
      </c>
      <c r="MV25" s="15" t="n">
        <f aca="false">MU25*(1-Inputs!$B$18*EXP(-Inputs!$B$21*Inputs!$B$14*Inputs!$B$17/(Inputs!$B$22*Inputs!$B$23*Inputs!$B$24*MO25*Inputs!$B$16))*Inputs!$B$19)</f>
        <v>0.0262860998289311</v>
      </c>
      <c r="MW25" s="15" t="n">
        <f aca="false">(MU25-MV25)*(1-EXP(-Inputs!$B$25*Inputs!$B$14*Inputs!$B$17*Inputs!$B$26/(MO25*Inputs!$B$16/0.866)))</f>
        <v>0.00752859107029042</v>
      </c>
      <c r="MX25" s="15" t="n">
        <f aca="false">(MU25-MV25-MW25)*(1-Inputs!$B$19)</f>
        <v>0.00346377501706358</v>
      </c>
      <c r="MY25" s="15" t="n">
        <f aca="false">(MR25+MS25+MT25+MV25+MW25+MX25)*(1+Inputs!$B$27)</f>
        <v>0.311640897919161</v>
      </c>
      <c r="MZ25" s="15" t="n">
        <f aca="false">Inputs!$B$52/(1-MY25-G25)</f>
        <v>196611.233392052</v>
      </c>
      <c r="NA25" s="15" t="n">
        <f aca="false">MZ25/Inputs!$B$34</f>
        <v>327.685388986753</v>
      </c>
      <c r="NB25" s="15" t="n">
        <f aca="false">B25^2/NA25</f>
        <v>11.7307641084827</v>
      </c>
      <c r="NC25" s="15" t="n">
        <f aca="false">Inputs!$B$54*H25/(Inputs!$B$35*F25+E25*H25^2/(PI()*NB25*Inputs!$B$36))</f>
        <v>19.3187391644109</v>
      </c>
      <c r="ND25" s="15" t="n">
        <f aca="false">EXP(-Inputs!$B$11*Inputs!$B$14*Inputs!$B$17/(Inputs!$B$51*NC25*Inputs!$B$16))</f>
        <v>0.753473114220345</v>
      </c>
      <c r="NE25" s="15" t="n">
        <f aca="false">Inputs!$B$50*Inputs!$B$18*ND25*Inputs!$B$19</f>
        <v>0.736236836100898</v>
      </c>
      <c r="NF25" s="15" t="n">
        <f aca="false">1-NE25</f>
        <v>0.263763163899102</v>
      </c>
      <c r="NG25" s="15" t="n">
        <f aca="false">Inputs!$B$20*NF25</f>
        <v>0.00791289491697306</v>
      </c>
      <c r="NH25" s="15" t="n">
        <f aca="false">0.8*(1-Inputs!$B$50)*(NE25-NG25)</f>
        <v>0.00175424687132713</v>
      </c>
      <c r="NI25" s="15" t="n">
        <f aca="false">NE25-NG25-NH25</f>
        <v>0.726569694312598</v>
      </c>
      <c r="NJ25" s="15" t="n">
        <f aca="false">NI25*(1-Inputs!$B$18*EXP(-Inputs!$B$21*Inputs!$B$14*Inputs!$B$17/(Inputs!$B$22*Inputs!$B$23*Inputs!$B$24*NC25*Inputs!$B$16))*Inputs!$B$19)</f>
        <v>0.0262860998289188</v>
      </c>
      <c r="NK25" s="15" t="n">
        <f aca="false">(NI25-NJ25)*(1-EXP(-Inputs!$B$25*Inputs!$B$14*Inputs!$B$17*Inputs!$B$26/(NC25*Inputs!$B$16/0.866)))</f>
        <v>0.00752859107027456</v>
      </c>
      <c r="NL25" s="15" t="n">
        <f aca="false">(NI25-NJ25-NK25)*(1-Inputs!$B$19)</f>
        <v>0.00346377501706703</v>
      </c>
      <c r="NM25" s="15" t="n">
        <f aca="false">(NF25+NG25+NH25+NJ25+NK25+NL25)*(1+Inputs!$B$27)</f>
        <v>0.311640897918473</v>
      </c>
      <c r="NN25" s="15" t="n">
        <f aca="false">Inputs!$B$52/(1-NM25-G25)</f>
        <v>196611.233391238</v>
      </c>
    </row>
    <row r="26" customFormat="false" ht="15" hidden="false" customHeight="false" outlineLevel="0" collapsed="false">
      <c r="A26" s="21" t="s">
        <v>501</v>
      </c>
      <c r="B26" s="21" t="n">
        <v>62</v>
      </c>
      <c r="C26" s="22" t="n">
        <v>0.1</v>
      </c>
      <c r="D26" s="23" t="n">
        <f aca="false">B26*C26</f>
        <v>6.2</v>
      </c>
      <c r="E26" s="24" t="n">
        <f aca="false">IF(C26=0,1,(1+0.45*C26)/(1.04+2.81*C26))</f>
        <v>0.791067373202119</v>
      </c>
      <c r="F26" s="24" t="n">
        <f aca="false">1+Inputs!$B$42*D26</f>
        <v>1.031</v>
      </c>
      <c r="G26" s="25" t="n">
        <f aca="false">Inputs!$B$31+Inputs!$B$43*(B26/Inputs!$B$32-1)+Inputs!$B$44+Inputs!$B$45*D26</f>
        <v>0.5242825</v>
      </c>
      <c r="H26" s="22" t="n">
        <f aca="false">Inputs!$B$38</f>
        <v>0.5</v>
      </c>
      <c r="I26" s="23" t="n">
        <f aca="false">Inputs!$B$40</f>
        <v>2.4</v>
      </c>
      <c r="J26" s="26" t="n">
        <f aca="false">NN26/Inputs!$B$34</f>
        <v>323.020572229823</v>
      </c>
      <c r="K26" s="23" t="n">
        <f aca="false">B26^2/J26</f>
        <v>11.9001708574309</v>
      </c>
      <c r="L26" s="23" t="n">
        <f aca="false">2*K26</f>
        <v>23.8003417148619</v>
      </c>
      <c r="M26" s="22" t="n">
        <f aca="false">NC26</f>
        <v>19.693864020471</v>
      </c>
      <c r="N26" s="23" t="n">
        <f aca="false">B26/SQRT(E26)</f>
        <v>69.7083740756299</v>
      </c>
      <c r="O26" s="24" t="n">
        <f aca="false">NM26</f>
        <v>0.307384568061185</v>
      </c>
      <c r="P26" s="23" t="n">
        <f aca="false">NN26/1000</f>
        <v>193.812343337894</v>
      </c>
      <c r="Q26" s="23" t="n">
        <f aca="false">G26*NN26/1000</f>
        <v>101.612419896049</v>
      </c>
      <c r="R26" s="23" t="n">
        <f aca="false">NM26*NN26/1000</f>
        <v>59.5749234418445</v>
      </c>
      <c r="S26" s="23" t="n">
        <f aca="false">NM26*NN26/Inputs!$B$28/1000</f>
        <v>79.4332312557926</v>
      </c>
      <c r="T26" s="27" t="n">
        <f aca="false">R26/Sweep!$R$5-1</f>
        <v>-0.0467496964731339</v>
      </c>
      <c r="U26" s="27" t="n">
        <f aca="false">R26/SUMIFS(Sweep!$R:$R,Sweep!$A:$A,"Conventional",Sweep!$B:$B,B26)-1</f>
        <v>-0.0779289036100581</v>
      </c>
      <c r="V26" s="26" t="n">
        <f aca="false">2*0.54*(J26/2)^1.5/SQRT(L26)*Inputs!$B$46*Inputs!$B$47</f>
        <v>42.4858244058477</v>
      </c>
      <c r="W26" s="28" t="n">
        <f aca="false">MIN(1,V26/S26)</f>
        <v>0.534862094040137</v>
      </c>
      <c r="X26" s="26" t="n">
        <f aca="false">1.23*SQRT(2*Inputs!$B$41*NN26*Inputs!$B$49/(1.225*J26*I26))/0.5144</f>
        <v>133.62967568068</v>
      </c>
      <c r="Y26" s="29" t="n">
        <f aca="false">(11000+6341.6*LN(0.36392/(2*Inputs!$B$50*Inputs!$B$18*(1+ND26)/2*Inputs!$B$34*Inputs!$B$49/((Inputs!$B$12*295.07)^2*H26))))/0.3048</f>
        <v>38571.3080555477</v>
      </c>
      <c r="Z26" s="26" t="n">
        <f aca="false">NN26-MZ26</f>
        <v>-1.23371137306094E-007</v>
      </c>
      <c r="AA26" s="30" t="str">
        <f aca="false">IF(ABS(NN26-MZ26)&lt;10,"Yes","No")</f>
        <v>Yes</v>
      </c>
      <c r="AC26" s="15" t="n">
        <f aca="false">Inputs!$B$52/(1-0.3154-G26)/Inputs!$B$34</f>
        <v>339.170708126062</v>
      </c>
      <c r="AD26" s="15" t="n">
        <f aca="false">B26^2/AC26</f>
        <v>11.3335258850575</v>
      </c>
      <c r="AE26" s="15" t="n">
        <f aca="false">Inputs!$B$54*H26/(Inputs!$B$35*F26+E26*H26^2/(PI()*AD26*Inputs!$B$36))</f>
        <v>19.4277896839989</v>
      </c>
      <c r="AF26" s="15" t="n">
        <f aca="false">EXP(-Inputs!$B$11*Inputs!$B$14*Inputs!$B$17/(Inputs!$B$51*AE26*Inputs!$B$16))</f>
        <v>0.754671229623343</v>
      </c>
      <c r="AG26" s="15" t="n">
        <f aca="false">Inputs!$B$50*Inputs!$B$18*AF26*Inputs!$B$19</f>
        <v>0.737407543690777</v>
      </c>
      <c r="AH26" s="15" t="n">
        <f aca="false">1-AG26</f>
        <v>0.262592456309223</v>
      </c>
      <c r="AI26" s="15" t="n">
        <f aca="false">Inputs!$B$20*AH26</f>
        <v>0.00787777368927669</v>
      </c>
      <c r="AJ26" s="15" t="n">
        <f aca="false">0.8*(1-Inputs!$B$50)*(AG26-AI26)</f>
        <v>0.00175715124026378</v>
      </c>
      <c r="AK26" s="15" t="n">
        <f aca="false">AG26-AI26-AJ26</f>
        <v>0.727772618761237</v>
      </c>
      <c r="AL26" s="15" t="n">
        <f aca="false">AK26*(1-Inputs!$B$18*EXP(-Inputs!$B$21*Inputs!$B$14*Inputs!$B$17/(Inputs!$B$22*Inputs!$B$23*Inputs!$B$24*AE26*Inputs!$B$16))*Inputs!$B$19)</f>
        <v>0.0262637739939627</v>
      </c>
      <c r="AM26" s="15" t="n">
        <f aca="false">(AK26-AL26)*(1-EXP(-Inputs!$B$25*Inputs!$B$14*Inputs!$B$17*Inputs!$B$26/(AE26*Inputs!$B$16/0.866)))</f>
        <v>0.00749965773262465</v>
      </c>
      <c r="AN26" s="15" t="n">
        <f aca="false">(AK26-AL26-AM26)*(1-Inputs!$B$19)</f>
        <v>0.00347004593517325</v>
      </c>
      <c r="AO26" s="15" t="n">
        <f aca="false">(AH26+AI26+AJ26+AL26+AM26+AN26)*(1+Inputs!$B$27)</f>
        <v>0.310389241477225</v>
      </c>
      <c r="AP26" s="15" t="n">
        <f aca="false">Inputs!$B$52/(1-AO26-G26)</f>
        <v>197334.686105738</v>
      </c>
      <c r="AQ26" s="15" t="n">
        <f aca="false">AP26/Inputs!$B$34</f>
        <v>328.891143509563</v>
      </c>
      <c r="AR26" s="15" t="n">
        <f aca="false">B26^2/AQ26</f>
        <v>11.6877577151549</v>
      </c>
      <c r="AS26" s="15" t="n">
        <f aca="false">Inputs!$B$54*H26/(Inputs!$B$35*F26+E26*H26^2/(PI()*AR26*Inputs!$B$36))</f>
        <v>19.5963071149733</v>
      </c>
      <c r="AT26" s="15" t="n">
        <f aca="false">EXP(-Inputs!$B$11*Inputs!$B$14*Inputs!$B$17/(Inputs!$B$51*AS26*Inputs!$B$16))</f>
        <v>0.75650013387102</v>
      </c>
      <c r="AU26" s="15" t="n">
        <f aca="false">Inputs!$B$50*Inputs!$B$18*AT26*Inputs!$B$19</f>
        <v>0.739194610344422</v>
      </c>
      <c r="AV26" s="15" t="n">
        <f aca="false">1-AU26</f>
        <v>0.260805389655578</v>
      </c>
      <c r="AW26" s="15" t="n">
        <f aca="false">Inputs!$B$20*AV26</f>
        <v>0.00782416168966734</v>
      </c>
      <c r="AX26" s="15" t="n">
        <f aca="false">0.8*(1-Inputs!$B$50)*(AU26-AW26)</f>
        <v>0.00176158471359343</v>
      </c>
      <c r="AY26" s="15" t="n">
        <f aca="false">AU26-AW26-AX26</f>
        <v>0.729608863941161</v>
      </c>
      <c r="AZ26" s="15" t="n">
        <f aca="false">AY26*(1-Inputs!$B$18*EXP(-Inputs!$B$21*Inputs!$B$14*Inputs!$B$17/(Inputs!$B$22*Inputs!$B$23*Inputs!$B$24*AS26*Inputs!$B$16))*Inputs!$B$19)</f>
        <v>0.0262294641258481</v>
      </c>
      <c r="BA26" s="15" t="n">
        <f aca="false">(AY26-AZ26)*(1-EXP(-Inputs!$B$25*Inputs!$B$14*Inputs!$B$17*Inputs!$B$26/(AS26*Inputs!$B$16/0.866)))</f>
        <v>0.00745533441048218</v>
      </c>
      <c r="BB26" s="15" t="n">
        <f aca="false">(AY26-AZ26-BA26)*(1-Inputs!$B$19)</f>
        <v>0.00347962032702416</v>
      </c>
      <c r="BC26" s="15" t="n">
        <f aca="false">(AV26+AW26+AX26+AZ26+BA26+BB26)*(1+Inputs!$B$27)</f>
        <v>0.30847822158696</v>
      </c>
      <c r="BD26" s="15" t="n">
        <f aca="false">Inputs!$B$52/(1-BC26-G26)</f>
        <v>195079.770192647</v>
      </c>
      <c r="BE26" s="15" t="n">
        <f aca="false">BD26/Inputs!$B$34</f>
        <v>325.132950321078</v>
      </c>
      <c r="BF26" s="15" t="n">
        <f aca="false">B26^2/BE26</f>
        <v>11.8228558385237</v>
      </c>
      <c r="BG26" s="15" t="n">
        <f aca="false">Inputs!$B$54*H26/(Inputs!$B$35*F26+E26*H26^2/(PI()*BF26*Inputs!$B$36))</f>
        <v>19.6586489359622</v>
      </c>
      <c r="BH26" s="15" t="n">
        <f aca="false">EXP(-Inputs!$B$11*Inputs!$B$14*Inputs!$B$17/(Inputs!$B$51*BG26*Inputs!$B$16))</f>
        <v>0.757169884339644</v>
      </c>
      <c r="BI26" s="15" t="n">
        <f aca="false">Inputs!$B$50*Inputs!$B$18*BH26*Inputs!$B$19</f>
        <v>0.739849039754961</v>
      </c>
      <c r="BJ26" s="15" t="n">
        <f aca="false">1-BI26</f>
        <v>0.260150960245039</v>
      </c>
      <c r="BK26" s="15" t="n">
        <f aca="false">Inputs!$B$20*BJ26</f>
        <v>0.00780452880735116</v>
      </c>
      <c r="BL26" s="15" t="n">
        <f aca="false">0.8*(1-Inputs!$B$50)*(BI26-BK26)</f>
        <v>0.0017632082654245</v>
      </c>
      <c r="BM26" s="15" t="n">
        <f aca="false">BI26-BK26-BL26</f>
        <v>0.730281302682186</v>
      </c>
      <c r="BN26" s="15" t="n">
        <f aca="false">BM26*(1-Inputs!$B$18*EXP(-Inputs!$B$21*Inputs!$B$14*Inputs!$B$17/(Inputs!$B$22*Inputs!$B$23*Inputs!$B$24*BG26*Inputs!$B$16))*Inputs!$B$19)</f>
        <v>0.0262168303803175</v>
      </c>
      <c r="BO26" s="15" t="n">
        <f aca="false">(BM26-BN26)*(1-EXP(-Inputs!$B$25*Inputs!$B$14*Inputs!$B$17*Inputs!$B$26/(BG26*Inputs!$B$16/0.866)))</f>
        <v>0.00743905566851163</v>
      </c>
      <c r="BP26" s="15" t="n">
        <f aca="false">(BM26-BN26-BO26)*(1-Inputs!$B$19)</f>
        <v>0.00348312708316679</v>
      </c>
      <c r="BQ26" s="15" t="n">
        <f aca="false">(BJ26+BK26+BL26+BN26+BO26+BP26)*(1+Inputs!$B$27)</f>
        <v>0.30777828358116</v>
      </c>
      <c r="BR26" s="15" t="n">
        <f aca="false">Inputs!$B$52/(1-BQ26-G26)</f>
        <v>194266.715634979</v>
      </c>
      <c r="BS26" s="15" t="n">
        <f aca="false">BR26/Inputs!$B$34</f>
        <v>323.777859391631</v>
      </c>
      <c r="BT26" s="15" t="n">
        <f aca="false">B26^2/BS26</f>
        <v>11.8723374329016</v>
      </c>
      <c r="BU26" s="15" t="n">
        <f aca="false">Inputs!$B$54*H26/(Inputs!$B$35*F26+E26*H26^2/(PI()*BT26*Inputs!$B$36))</f>
        <v>19.6812249209894</v>
      </c>
      <c r="BV26" s="15" t="n">
        <f aca="false">EXP(-Inputs!$B$11*Inputs!$B$14*Inputs!$B$17/(Inputs!$B$51*BU26*Inputs!$B$16))</f>
        <v>0.757411521542624</v>
      </c>
      <c r="BW26" s="15" t="n">
        <f aca="false">Inputs!$B$50*Inputs!$B$18*BV26*Inputs!$B$19</f>
        <v>0.740085149320716</v>
      </c>
      <c r="BX26" s="15" t="n">
        <f aca="false">1-BW26</f>
        <v>0.259914850679284</v>
      </c>
      <c r="BY26" s="15" t="n">
        <f aca="false">Inputs!$B$20*BX26</f>
        <v>0.00779744552037851</v>
      </c>
      <c r="BZ26" s="15" t="n">
        <f aca="false">0.8*(1-Inputs!$B$50)*(BW26-BY26)</f>
        <v>0.00176379402167513</v>
      </c>
      <c r="CA26" s="15" t="n">
        <f aca="false">BW26-BY26-BZ26</f>
        <v>0.730523909778663</v>
      </c>
      <c r="CB26" s="15" t="n">
        <f aca="false">CA26*(1-Inputs!$B$18*EXP(-Inputs!$B$21*Inputs!$B$14*Inputs!$B$17/(Inputs!$B$22*Inputs!$B$23*Inputs!$B$24*BU26*Inputs!$B$16))*Inputs!$B$19)</f>
        <v>0.026212263172862</v>
      </c>
      <c r="CC26" s="15" t="n">
        <f aca="false">(CA26-CB26)*(1-EXP(-Inputs!$B$25*Inputs!$B$14*Inputs!$B$17*Inputs!$B$26/(BU26*Inputs!$B$16/0.866)))</f>
        <v>0.00743317628001536</v>
      </c>
      <c r="CD26" s="15" t="n">
        <f aca="false">(CA26-CB26-CC26)*(1-Inputs!$B$19)</f>
        <v>0.00348439235162893</v>
      </c>
      <c r="CE26" s="15" t="n">
        <f aca="false">(BX26+BY26+BZ26+CB26+CC26+CD26)*(1+Inputs!$B$27)</f>
        <v>0.307525739791921</v>
      </c>
      <c r="CF26" s="15" t="n">
        <f aca="false">Inputs!$B$52/(1-CE26-G26)</f>
        <v>193975.019701547</v>
      </c>
      <c r="CG26" s="15" t="n">
        <f aca="false">CF26/Inputs!$B$34</f>
        <v>323.291699502579</v>
      </c>
      <c r="CH26" s="15" t="n">
        <f aca="false">B26^2/CG26</f>
        <v>11.8901908273996</v>
      </c>
      <c r="CI26" s="15" t="n">
        <f aca="false">Inputs!$B$54*H26/(Inputs!$B$35*F26+E26*H26^2/(PI()*CH26*Inputs!$B$36))</f>
        <v>19.6893370494746</v>
      </c>
      <c r="CJ26" s="15" t="n">
        <f aca="false">EXP(-Inputs!$B$11*Inputs!$B$14*Inputs!$B$17/(Inputs!$B$51*CI26*Inputs!$B$16))</f>
        <v>0.757498231431563</v>
      </c>
      <c r="CK26" s="15" t="n">
        <f aca="false">Inputs!$B$50*Inputs!$B$18*CJ26*Inputs!$B$19</f>
        <v>0.740169875654126</v>
      </c>
      <c r="CL26" s="15" t="n">
        <f aca="false">1-CK26</f>
        <v>0.259830124345874</v>
      </c>
      <c r="CM26" s="15" t="n">
        <f aca="false">Inputs!$B$20*CL26</f>
        <v>0.00779490373037621</v>
      </c>
      <c r="CN26" s="15" t="n">
        <f aca="false">0.8*(1-Inputs!$B$50)*(CK26-CM26)</f>
        <v>0.00176400421637532</v>
      </c>
      <c r="CO26" s="15" t="n">
        <f aca="false">CK26-CM26-CN26</f>
        <v>0.730610967707375</v>
      </c>
      <c r="CP26" s="15" t="n">
        <f aca="false">CO26*(1-Inputs!$B$18*EXP(-Inputs!$B$21*Inputs!$B$14*Inputs!$B$17/(Inputs!$B$22*Inputs!$B$23*Inputs!$B$24*CI26*Inputs!$B$16))*Inputs!$B$19)</f>
        <v>0.0262106230829063</v>
      </c>
      <c r="CQ26" s="15" t="n">
        <f aca="false">(CO26-CP26)*(1-EXP(-Inputs!$B$25*Inputs!$B$14*Inputs!$B$17*Inputs!$B$26/(CI26*Inputs!$B$16/0.866)))</f>
        <v>0.0074310656956034</v>
      </c>
      <c r="CR26" s="15" t="n">
        <f aca="false">(CO26-CP26-CQ26)*(1-Inputs!$B$19)</f>
        <v>0.00348484639464433</v>
      </c>
      <c r="CS26" s="15" t="n">
        <f aca="false">(CL26+CM26+CN26+CP26+CQ26+CR26)*(1+Inputs!$B$27)</f>
        <v>0.307435114168177</v>
      </c>
      <c r="CT26" s="15" t="n">
        <f aca="false">Inputs!$B$52/(1-CS26-G26)</f>
        <v>193870.557745743</v>
      </c>
      <c r="CU26" s="15" t="n">
        <f aca="false">CT26/Inputs!$B$34</f>
        <v>323.117596242906</v>
      </c>
      <c r="CV26" s="15" t="n">
        <f aca="false">B26^2/CU26</f>
        <v>11.8965975381615</v>
      </c>
      <c r="CW26" s="15" t="n">
        <f aca="false">Inputs!$B$54*H26/(Inputs!$B$35*F26+E26*H26^2/(PI()*CV26*Inputs!$B$36))</f>
        <v>19.6922437860664</v>
      </c>
      <c r="CX26" s="15" t="n">
        <f aca="false">EXP(-Inputs!$B$11*Inputs!$B$14*Inputs!$B$17/(Inputs!$B$51*CW26*Inputs!$B$16))</f>
        <v>0.757529286333914</v>
      </c>
      <c r="CY26" s="15" t="n">
        <f aca="false">Inputs!$B$50*Inputs!$B$18*CX26*Inputs!$B$19</f>
        <v>0.740200220151655</v>
      </c>
      <c r="CZ26" s="15" t="n">
        <f aca="false">1-CY26</f>
        <v>0.259799779848345</v>
      </c>
      <c r="DA26" s="15" t="n">
        <f aca="false">Inputs!$B$20*CZ26</f>
        <v>0.00779399339545035</v>
      </c>
      <c r="DB26" s="15" t="n">
        <f aca="false">0.8*(1-Inputs!$B$50)*(CY26-DA26)</f>
        <v>0.00176407949701481</v>
      </c>
      <c r="DC26" s="15" t="n">
        <f aca="false">CY26-DA26-DB26</f>
        <v>0.73064214725919</v>
      </c>
      <c r="DD26" s="15" t="n">
        <f aca="false">DC26*(1-Inputs!$B$18*EXP(-Inputs!$B$21*Inputs!$B$14*Inputs!$B$17/(Inputs!$B$22*Inputs!$B$23*Inputs!$B$24*CW26*Inputs!$B$16))*Inputs!$B$19)</f>
        <v>0.0262100355379903</v>
      </c>
      <c r="DE26" s="15" t="n">
        <f aca="false">(DC26-DD26)*(1-EXP(-Inputs!$B$25*Inputs!$B$14*Inputs!$B$17*Inputs!$B$26/(CW26*Inputs!$B$16/0.866)))</f>
        <v>0.00743030969231565</v>
      </c>
      <c r="DF26" s="15" t="n">
        <f aca="false">(DC26-DD26-DE26)*(1-Inputs!$B$19)</f>
        <v>0.00348500901014442</v>
      </c>
      <c r="DG26" s="15" t="n">
        <f aca="false">(CZ26+DA26+DB26+DD26+DE26+DF26)*(1+Inputs!$B$27)</f>
        <v>0.307402656602204</v>
      </c>
      <c r="DH26" s="15" t="n">
        <f aca="false">Inputs!$B$52/(1-DG26-G26)</f>
        <v>193833.172056572</v>
      </c>
      <c r="DI26" s="15" t="n">
        <f aca="false">DH26/Inputs!$B$34</f>
        <v>323.055286760954</v>
      </c>
      <c r="DJ26" s="15" t="n">
        <f aca="false">B26^2/DI26</f>
        <v>11.898892101538</v>
      </c>
      <c r="DK26" s="15" t="n">
        <f aca="false">Inputs!$B$54*H26/(Inputs!$B$35*F26+E26*H26^2/(PI()*DJ26*Inputs!$B$36))</f>
        <v>19.6932842810068</v>
      </c>
      <c r="DL26" s="15" t="n">
        <f aca="false">EXP(-Inputs!$B$11*Inputs!$B$14*Inputs!$B$17/(Inputs!$B$51*DK26*Inputs!$B$16))</f>
        <v>0.757540400822757</v>
      </c>
      <c r="DM26" s="15" t="n">
        <f aca="false">Inputs!$B$50*Inputs!$B$18*DL26*Inputs!$B$19</f>
        <v>0.740211080388001</v>
      </c>
      <c r="DN26" s="15" t="n">
        <f aca="false">1-DM26</f>
        <v>0.259788919611999</v>
      </c>
      <c r="DO26" s="15" t="n">
        <f aca="false">Inputs!$B$20*DN26</f>
        <v>0.00779366758835997</v>
      </c>
      <c r="DP26" s="15" t="n">
        <f aca="false">0.8*(1-Inputs!$B$50)*(DM26-DO26)</f>
        <v>0.00176410643980852</v>
      </c>
      <c r="DQ26" s="15" t="n">
        <f aca="false">DM26-DO26-DP26</f>
        <v>0.730653306359832</v>
      </c>
      <c r="DR26" s="15" t="n">
        <f aca="false">DQ26*(1-Inputs!$B$18*EXP(-Inputs!$B$21*Inputs!$B$14*Inputs!$B$17/(Inputs!$B$22*Inputs!$B$23*Inputs!$B$24*DK26*Inputs!$B$16))*Inputs!$B$19)</f>
        <v>0.0262098252374218</v>
      </c>
      <c r="DS26" s="15" t="n">
        <f aca="false">(DQ26-DR26)*(1-EXP(-Inputs!$B$25*Inputs!$B$14*Inputs!$B$17*Inputs!$B$26/(DK26*Inputs!$B$16/0.866)))</f>
        <v>0.00743003910696242</v>
      </c>
      <c r="DT26" s="15" t="n">
        <f aca="false">(DQ26-DR26-DS26)*(1-Inputs!$B$19)</f>
        <v>0.00348506721007724</v>
      </c>
      <c r="DU26" s="15" t="n">
        <f aca="false">(DN26+DO26+DP26+DR26+DS26+DT26)*(1+Inputs!$B$27)</f>
        <v>0.307391040070213</v>
      </c>
      <c r="DV26" s="15" t="n">
        <f aca="false">Inputs!$B$52/(1-DU26-G26)</f>
        <v>193819.795257434</v>
      </c>
      <c r="DW26" s="15" t="n">
        <f aca="false">DV26/Inputs!$B$34</f>
        <v>323.032992095723</v>
      </c>
      <c r="DX26" s="15" t="n">
        <f aca="false">B26^2/DW26</f>
        <v>11.8997133235881</v>
      </c>
      <c r="DY26" s="15" t="n">
        <f aca="false">Inputs!$B$54*H26/(Inputs!$B$35*F26+E26*H26^2/(PI()*DX26*Inputs!$B$36))</f>
        <v>19.6936566023605</v>
      </c>
      <c r="DZ26" s="15" t="n">
        <f aca="false">EXP(-Inputs!$B$11*Inputs!$B$14*Inputs!$B$17/(Inputs!$B$51*DY26*Inputs!$B$16))</f>
        <v>0.757544377685803</v>
      </c>
      <c r="EA26" s="15" t="n">
        <f aca="false">Inputs!$B$50*Inputs!$B$18*DZ26*Inputs!$B$19</f>
        <v>0.74021496627724</v>
      </c>
      <c r="EB26" s="15" t="n">
        <f aca="false">1-EA26</f>
        <v>0.25978503372276</v>
      </c>
      <c r="EC26" s="15" t="n">
        <f aca="false">Inputs!$B$20*EB26</f>
        <v>0.00779355101168279</v>
      </c>
      <c r="ED26" s="15" t="n">
        <f aca="false">0.8*(1-Inputs!$B$50)*(EA26-EC26)</f>
        <v>0.00176411608017994</v>
      </c>
      <c r="EE26" s="15" t="n">
        <f aca="false">EA26-EC26-ED26</f>
        <v>0.730657299185378</v>
      </c>
      <c r="EF26" s="15" t="n">
        <f aca="false">EE26*(1-Inputs!$B$18*EXP(-Inputs!$B$21*Inputs!$B$14*Inputs!$B$17/(Inputs!$B$22*Inputs!$B$23*Inputs!$B$24*DY26*Inputs!$B$16))*Inputs!$B$19)</f>
        <v>0.0262097499875232</v>
      </c>
      <c r="EG26" s="15" t="n">
        <f aca="false">(EE26-EF26)*(1-EXP(-Inputs!$B$25*Inputs!$B$14*Inputs!$B$17*Inputs!$B$26/(DY26*Inputs!$B$16/0.866)))</f>
        <v>0.00742994228741714</v>
      </c>
      <c r="EH26" s="15" t="n">
        <f aca="false">(EE26-EF26-EG26)*(1-Inputs!$B$19)</f>
        <v>0.00348508803455219</v>
      </c>
      <c r="EI26" s="15" t="n">
        <f aca="false">(EB26+EC26+ED26+EF26+EG26+EH26)*(1+Inputs!$B$27)</f>
        <v>0.307386883567487</v>
      </c>
      <c r="EJ26" s="15" t="n">
        <f aca="false">Inputs!$B$52/(1-EI26-G26)</f>
        <v>193815.009363315</v>
      </c>
      <c r="EK26" s="15" t="n">
        <f aca="false">EJ26/Inputs!$B$34</f>
        <v>323.025015605525</v>
      </c>
      <c r="EL26" s="15" t="n">
        <f aca="false">B26^2/EK26</f>
        <v>11.9000071644428</v>
      </c>
      <c r="EM26" s="15" t="n">
        <f aca="false">Inputs!$B$54*H26/(Inputs!$B$35*F26+E26*H26^2/(PI()*EL26*Inputs!$B$36))</f>
        <v>19.6937898133253</v>
      </c>
      <c r="EN26" s="15" t="n">
        <f aca="false">EXP(-Inputs!$B$11*Inputs!$B$14*Inputs!$B$17/(Inputs!$B$51*EM26*Inputs!$B$16))</f>
        <v>0.757545800515966</v>
      </c>
      <c r="EO26" s="15" t="n">
        <f aca="false">Inputs!$B$50*Inputs!$B$18*EN26*Inputs!$B$19</f>
        <v>0.740216356559067</v>
      </c>
      <c r="EP26" s="15" t="n">
        <f aca="false">1-EO26</f>
        <v>0.259783643440933</v>
      </c>
      <c r="EQ26" s="15" t="n">
        <f aca="false">Inputs!$B$20*EP26</f>
        <v>0.007793509303228</v>
      </c>
      <c r="ER26" s="15" t="n">
        <f aca="false">0.8*(1-Inputs!$B$50)*(EO26-EQ26)</f>
        <v>0.00176411952928319</v>
      </c>
      <c r="ES26" s="15" t="n">
        <f aca="false">EO26-EQ26-ER26</f>
        <v>0.730658727726556</v>
      </c>
      <c r="ET26" s="15" t="n">
        <f aca="false">ES26*(1-Inputs!$B$18*EXP(-Inputs!$B$21*Inputs!$B$14*Inputs!$B$17/(Inputs!$B$22*Inputs!$B$23*Inputs!$B$24*EM26*Inputs!$B$16))*Inputs!$B$19)</f>
        <v>0.0262097230645217</v>
      </c>
      <c r="EU26" s="15" t="n">
        <f aca="false">(ES26-ET26)*(1-EXP(-Inputs!$B$25*Inputs!$B$14*Inputs!$B$17*Inputs!$B$26/(EM26*Inputs!$B$16/0.866)))</f>
        <v>0.00742990764739262</v>
      </c>
      <c r="EV26" s="15" t="n">
        <f aca="false">(ES26-ET26-EU26)*(1-Inputs!$B$19)</f>
        <v>0.00348509548507321</v>
      </c>
      <c r="EW26" s="15" t="n">
        <f aca="false">(EP26+EQ26+ER26+ET26+EU26+EV26)*(1+Inputs!$B$27)</f>
        <v>0.307385396465843</v>
      </c>
      <c r="EX26" s="15" t="n">
        <f aca="false">Inputs!$B$52/(1-EW26-G26)</f>
        <v>193813.297137227</v>
      </c>
      <c r="EY26" s="15" t="n">
        <f aca="false">EX26/Inputs!$B$34</f>
        <v>323.022161895379</v>
      </c>
      <c r="EZ26" s="15" t="n">
        <f aca="false">B26^2/EY26</f>
        <v>11.9001122939825</v>
      </c>
      <c r="FA26" s="15" t="n">
        <f aca="false">Inputs!$B$54*H26/(Inputs!$B$35*F26+E26*H26^2/(PI()*EZ26*Inputs!$B$36))</f>
        <v>19.6938374720027</v>
      </c>
      <c r="FB26" s="15" t="n">
        <f aca="false">EXP(-Inputs!$B$11*Inputs!$B$14*Inputs!$B$17/(Inputs!$B$51*FA26*Inputs!$B$16))</f>
        <v>0.75754630955565</v>
      </c>
      <c r="FC26" s="15" t="n">
        <f aca="false">Inputs!$B$50*Inputs!$B$18*FB26*Inputs!$B$19</f>
        <v>0.740216853954076</v>
      </c>
      <c r="FD26" s="15" t="n">
        <f aca="false">1-FC26</f>
        <v>0.259783146045924</v>
      </c>
      <c r="FE26" s="15" t="n">
        <f aca="false">Inputs!$B$20*FD26</f>
        <v>0.00779349438137773</v>
      </c>
      <c r="FF26" s="15" t="n">
        <f aca="false">0.8*(1-Inputs!$B$50)*(FC26-FE26)</f>
        <v>0.00176412076325368</v>
      </c>
      <c r="FG26" s="15" t="n">
        <f aca="false">FC26-FE26-FF26</f>
        <v>0.730659238809444</v>
      </c>
      <c r="FH26" s="15" t="n">
        <f aca="false">FG26*(1-Inputs!$B$18*EXP(-Inputs!$B$21*Inputs!$B$14*Inputs!$B$17/(Inputs!$B$22*Inputs!$B$23*Inputs!$B$24*FA26*Inputs!$B$16))*Inputs!$B$19)</f>
        <v>0.0262097134323574</v>
      </c>
      <c r="FI26" s="15" t="n">
        <f aca="false">(FG26-FH26)*(1-EXP(-Inputs!$B$25*Inputs!$B$14*Inputs!$B$17*Inputs!$B$26/(FA26*Inputs!$B$16/0.866)))</f>
        <v>0.00742989525435577</v>
      </c>
      <c r="FJ26" s="15" t="n">
        <f aca="false">(FG26-FH26-FI26)*(1-Inputs!$B$19)</f>
        <v>0.00348509815061366</v>
      </c>
      <c r="FK26" s="15" t="n">
        <f aca="false">(FD26+FE26+FF26+FH26+FI26+FJ26)*(1+Inputs!$B$27)</f>
        <v>0.307384864431966</v>
      </c>
      <c r="FL26" s="15" t="n">
        <f aca="false">Inputs!$B$52/(1-FK26-G26)</f>
        <v>193812.684568906</v>
      </c>
      <c r="FM26" s="15" t="n">
        <f aca="false">FL26/Inputs!$B$34</f>
        <v>323.021140948177</v>
      </c>
      <c r="FN26" s="15" t="n">
        <f aca="false">B26^2/FM26</f>
        <v>11.90014990572</v>
      </c>
      <c r="FO26" s="15" t="n">
        <f aca="false">Inputs!$B$54*H26/(Inputs!$B$35*F26+E26*H26^2/(PI()*FN26*Inputs!$B$36))</f>
        <v>19.6938545224916</v>
      </c>
      <c r="FP26" s="15" t="n">
        <f aca="false">EXP(-Inputs!$B$11*Inputs!$B$14*Inputs!$B$17/(Inputs!$B$51*FO26*Inputs!$B$16))</f>
        <v>0.757546491670459</v>
      </c>
      <c r="FQ26" s="15" t="n">
        <f aca="false">Inputs!$B$50*Inputs!$B$18*FP26*Inputs!$B$19</f>
        <v>0.740217031902868</v>
      </c>
      <c r="FR26" s="15" t="n">
        <f aca="false">1-FQ26</f>
        <v>0.259782968097132</v>
      </c>
      <c r="FS26" s="15" t="n">
        <f aca="false">Inputs!$B$20*FR26</f>
        <v>0.00779348904291397</v>
      </c>
      <c r="FT26" s="15" t="n">
        <f aca="false">0.8*(1-Inputs!$B$50)*(FQ26-FS26)</f>
        <v>0.00176412120472083</v>
      </c>
      <c r="FU26" s="15" t="n">
        <f aca="false">FQ26-FS26-FT26</f>
        <v>0.730659421655233</v>
      </c>
      <c r="FV26" s="15" t="n">
        <f aca="false">FU26*(1-Inputs!$B$18*EXP(-Inputs!$B$21*Inputs!$B$14*Inputs!$B$17/(Inputs!$B$22*Inputs!$B$23*Inputs!$B$24*FO26*Inputs!$B$16))*Inputs!$B$19)</f>
        <v>0.0262097099863345</v>
      </c>
      <c r="FW26" s="15" t="n">
        <f aca="false">(FU26-FV26)*(1-EXP(-Inputs!$B$25*Inputs!$B$14*Inputs!$B$17*Inputs!$B$26/(FO26*Inputs!$B$16/0.866)))</f>
        <v>0.00742989082060054</v>
      </c>
      <c r="FX26" s="15" t="n">
        <f aca="false">(FU26-FV26-FW26)*(1-Inputs!$B$19)</f>
        <v>0.00348509910424149</v>
      </c>
      <c r="FY26" s="15" t="n">
        <f aca="false">(FR26+FS26+FT26+FV26+FW26+FX26)*(1+Inputs!$B$27)</f>
        <v>0.307384674090711</v>
      </c>
      <c r="FZ26" s="15" t="n">
        <f aca="false">Inputs!$B$52/(1-FY26-G26)</f>
        <v>193812.465416466</v>
      </c>
      <c r="GA26" s="15" t="n">
        <f aca="false">FZ26/Inputs!$B$34</f>
        <v>323.02077569411</v>
      </c>
      <c r="GB26" s="15" t="n">
        <f aca="false">B26^2/GA26</f>
        <v>11.9001633617527</v>
      </c>
      <c r="GC26" s="15" t="n">
        <f aca="false">Inputs!$B$54*H26/(Inputs!$B$35*F26+E26*H26^2/(PI()*GB26*Inputs!$B$36))</f>
        <v>19.6938606224816</v>
      </c>
      <c r="GD26" s="15" t="n">
        <f aca="false">EXP(-Inputs!$B$11*Inputs!$B$14*Inputs!$B$17/(Inputs!$B$51*GC26*Inputs!$B$16))</f>
        <v>0.757546556823863</v>
      </c>
      <c r="GE26" s="15" t="n">
        <f aca="false">Inputs!$B$50*Inputs!$B$18*GD26*Inputs!$B$19</f>
        <v>0.740217095565838</v>
      </c>
      <c r="GF26" s="15" t="n">
        <f aca="false">1-GE26</f>
        <v>0.259782904434163</v>
      </c>
      <c r="GG26" s="15" t="n">
        <f aca="false">Inputs!$B$20*GF26</f>
        <v>0.00779348713302488</v>
      </c>
      <c r="GH26" s="15" t="n">
        <f aca="false">0.8*(1-Inputs!$B$50)*(GE26-GG26)</f>
        <v>0.00176412136266014</v>
      </c>
      <c r="GI26" s="15" t="n">
        <f aca="false">GE26-GG26-GH26</f>
        <v>0.730659487070153</v>
      </c>
      <c r="GJ26" s="15" t="n">
        <f aca="false">GI26*(1-Inputs!$B$18*EXP(-Inputs!$B$21*Inputs!$B$14*Inputs!$B$17/(Inputs!$B$22*Inputs!$B$23*Inputs!$B$24*GC26*Inputs!$B$16))*Inputs!$B$19)</f>
        <v>0.0262097087534844</v>
      </c>
      <c r="GK26" s="15" t="n">
        <f aca="false">(GI26-GJ26)*(1-EXP(-Inputs!$B$25*Inputs!$B$14*Inputs!$B$17*Inputs!$B$26/(GC26*Inputs!$B$16/0.866)))</f>
        <v>0.00742988923437959</v>
      </c>
      <c r="GL26" s="15" t="n">
        <f aca="false">(GI26-GJ26-GK26)*(1-Inputs!$B$19)</f>
        <v>0.00348509944541145</v>
      </c>
      <c r="GM26" s="15" t="n">
        <f aca="false">(GF26+GG26+GH26+GJ26+GK26+GL26)*(1+Inputs!$B$27)</f>
        <v>0.307384605994212</v>
      </c>
      <c r="GN26" s="15" t="n">
        <f aca="false">Inputs!$B$52/(1-GM26-G26)</f>
        <v>193812.387012596</v>
      </c>
      <c r="GO26" s="15" t="n">
        <f aca="false">GN26/Inputs!$B$34</f>
        <v>323.020645020993</v>
      </c>
      <c r="GP26" s="15" t="n">
        <f aca="false">B26^2/GO26</f>
        <v>11.9001681757839</v>
      </c>
      <c r="GQ26" s="15" t="n">
        <f aca="false">Inputs!$B$54*H26/(Inputs!$B$35*F26+E26*H26^2/(PI()*GP26*Inputs!$B$36))</f>
        <v>19.693862804812</v>
      </c>
      <c r="GR26" s="15" t="n">
        <f aca="false">EXP(-Inputs!$B$11*Inputs!$B$14*Inputs!$B$17/(Inputs!$B$51*GQ26*Inputs!$B$16))</f>
        <v>0.757546580133114</v>
      </c>
      <c r="GS26" s="15" t="n">
        <f aca="false">Inputs!$B$50*Inputs!$B$18*GR26*Inputs!$B$19</f>
        <v>0.740217118341872</v>
      </c>
      <c r="GT26" s="15" t="n">
        <f aca="false">1-GS26</f>
        <v>0.259782881658128</v>
      </c>
      <c r="GU26" s="15" t="n">
        <f aca="false">Inputs!$B$20*GT26</f>
        <v>0.00779348644974384</v>
      </c>
      <c r="GV26" s="15" t="n">
        <f aca="false">0.8*(1-Inputs!$B$50)*(GS26-GU26)</f>
        <v>0.00176412141916444</v>
      </c>
      <c r="GW26" s="15" t="n">
        <f aca="false">GS26-GU26-GV26</f>
        <v>0.730659510472964</v>
      </c>
      <c r="GX26" s="15" t="n">
        <f aca="false">GW26*(1-Inputs!$B$18*EXP(-Inputs!$B$21*Inputs!$B$14*Inputs!$B$17/(Inputs!$B$22*Inputs!$B$23*Inputs!$B$24*GQ26*Inputs!$B$16))*Inputs!$B$19)</f>
        <v>0.0262097083124205</v>
      </c>
      <c r="GY26" s="15" t="n">
        <f aca="false">(GW26-GX26)*(1-EXP(-Inputs!$B$25*Inputs!$B$14*Inputs!$B$17*Inputs!$B$26/(GQ26*Inputs!$B$16/0.866)))</f>
        <v>0.00742988866689385</v>
      </c>
      <c r="GZ26" s="15" t="n">
        <f aca="false">(GW26-GX26-GY26)*(1-Inputs!$B$19)</f>
        <v>0.00348509956746825</v>
      </c>
      <c r="HA26" s="15" t="n">
        <f aca="false">(GT26+GU26+GV26+GX26+GY26+GZ26)*(1+Inputs!$B$27)</f>
        <v>0.30738458163204</v>
      </c>
      <c r="HB26" s="15" t="n">
        <f aca="false">Inputs!$B$52/(1-HA26-G26)</f>
        <v>193812.358962879</v>
      </c>
      <c r="HC26" s="15" t="n">
        <f aca="false">HB26/Inputs!$B$34</f>
        <v>323.020598271465</v>
      </c>
      <c r="HD26" s="15" t="n">
        <f aca="false">B26^2/HC26</f>
        <v>11.9001698980494</v>
      </c>
      <c r="HE26" s="15" t="n">
        <f aca="false">Inputs!$B$54*H26/(Inputs!$B$35*F26+E26*H26^2/(PI()*HD26*Inputs!$B$36))</f>
        <v>19.6938635855611</v>
      </c>
      <c r="HF26" s="15" t="n">
        <f aca="false">EXP(-Inputs!$B$11*Inputs!$B$14*Inputs!$B$17/(Inputs!$B$51*HE26*Inputs!$B$16))</f>
        <v>0.757546588472217</v>
      </c>
      <c r="HG26" s="15" t="n">
        <f aca="false">Inputs!$B$50*Inputs!$B$18*HF26*Inputs!$B$19</f>
        <v>0.740217126490211</v>
      </c>
      <c r="HH26" s="15" t="n">
        <f aca="false">1-HG26</f>
        <v>0.259782873509789</v>
      </c>
      <c r="HI26" s="15" t="n">
        <f aca="false">Inputs!$B$20*HH26</f>
        <v>0.00779348620529367</v>
      </c>
      <c r="HJ26" s="15" t="n">
        <f aca="false">0.8*(1-Inputs!$B$50)*(HG26-HI26)</f>
        <v>0.00176412143937938</v>
      </c>
      <c r="HK26" s="15" t="n">
        <f aca="false">HG26-HI26-HJ26</f>
        <v>0.730659518845538</v>
      </c>
      <c r="HL26" s="15" t="n">
        <f aca="false">HK26*(1-Inputs!$B$18*EXP(-Inputs!$B$21*Inputs!$B$14*Inputs!$B$17/(Inputs!$B$22*Inputs!$B$23*Inputs!$B$24*HE26*Inputs!$B$16))*Inputs!$B$19)</f>
        <v>0.0262097081546258</v>
      </c>
      <c r="HM26" s="15" t="n">
        <f aca="false">(HK26-HL26)*(1-EXP(-Inputs!$B$25*Inputs!$B$14*Inputs!$B$17*Inputs!$B$26/(HE26*Inputs!$B$16/0.866)))</f>
        <v>0.00742988846387054</v>
      </c>
      <c r="HN26" s="15" t="n">
        <f aca="false">(HK26-HL26-HM26)*(1-Inputs!$B$19)</f>
        <v>0.00348509961113521</v>
      </c>
      <c r="HO26" s="15" t="n">
        <f aca="false">(HH26+HI26+HJ26+HL26+HM26+HN26)*(1+Inputs!$B$27)</f>
        <v>0.307384572916246</v>
      </c>
      <c r="HP26" s="15" t="n">
        <f aca="false">Inputs!$B$52/(1-HO26-G26)</f>
        <v>193812.348927833</v>
      </c>
      <c r="HQ26" s="15" t="n">
        <f aca="false">HP26/Inputs!$B$34</f>
        <v>323.020581546388</v>
      </c>
      <c r="HR26" s="15" t="n">
        <f aca="false">B26^2/HQ26</f>
        <v>11.900170514206</v>
      </c>
      <c r="HS26" s="15" t="n">
        <f aca="false">Inputs!$B$54*H26/(Inputs!$B$35*F26+E26*H26^2/(PI()*HR26*Inputs!$B$36))</f>
        <v>19.6938638648814</v>
      </c>
      <c r="HT26" s="15" t="n">
        <f aca="false">EXP(-Inputs!$B$11*Inputs!$B$14*Inputs!$B$17/(Inputs!$B$51*HS26*Inputs!$B$16))</f>
        <v>0.757546591455608</v>
      </c>
      <c r="HU26" s="15" t="n">
        <f aca="false">Inputs!$B$50*Inputs!$B$18*HT26*Inputs!$B$19</f>
        <v>0.740217129405355</v>
      </c>
      <c r="HV26" s="15" t="n">
        <f aca="false">1-HU26</f>
        <v>0.259782870594645</v>
      </c>
      <c r="HW26" s="15" t="n">
        <f aca="false">Inputs!$B$20*HV26</f>
        <v>0.00779348611783935</v>
      </c>
      <c r="HX26" s="15" t="n">
        <f aca="false">0.8*(1-Inputs!$B$50)*(HU26-HW26)</f>
        <v>0.00176412144661146</v>
      </c>
      <c r="HY26" s="15" t="n">
        <f aca="false">HU26-HW26-HX26</f>
        <v>0.730659521840904</v>
      </c>
      <c r="HZ26" s="15" t="n">
        <f aca="false">HY26*(1-Inputs!$B$18*EXP(-Inputs!$B$21*Inputs!$B$14*Inputs!$B$17/(Inputs!$B$22*Inputs!$B$23*Inputs!$B$24*HS26*Inputs!$B$16))*Inputs!$B$19)</f>
        <v>0.0262097080981732</v>
      </c>
      <c r="IA26" s="15" t="n">
        <f aca="false">(HY26-HZ26)*(1-EXP(-Inputs!$B$25*Inputs!$B$14*Inputs!$B$17*Inputs!$B$26/(HS26*Inputs!$B$16/0.866)))</f>
        <v>0.00742988839123706</v>
      </c>
      <c r="IB26" s="15" t="n">
        <f aca="false">(HY26-HZ26-IA26)*(1-Inputs!$B$19)</f>
        <v>0.00348509962675747</v>
      </c>
      <c r="IC26" s="15" t="n">
        <f aca="false">(HV26+HW26+HX26+HZ26+IA26+IB26)*(1+Inputs!$B$27)</f>
        <v>0.307384569798089</v>
      </c>
      <c r="ID26" s="15" t="n">
        <f aca="false">Inputs!$B$52/(1-IC26-G26)</f>
        <v>193812.345337702</v>
      </c>
      <c r="IE26" s="15" t="n">
        <f aca="false">ID26/Inputs!$B$34</f>
        <v>323.020575562837</v>
      </c>
      <c r="IF26" s="15" t="n">
        <f aca="false">B26^2/IE26</f>
        <v>11.9001707346417</v>
      </c>
      <c r="IG26" s="15" t="n">
        <f aca="false">Inputs!$B$54*H26/(Inputs!$B$35*F26+E26*H26^2/(PI()*IF26*Inputs!$B$36))</f>
        <v>19.6938639648108</v>
      </c>
      <c r="IH26" s="15" t="n">
        <f aca="false">EXP(-Inputs!$B$11*Inputs!$B$14*Inputs!$B$17/(Inputs!$B$51*IG26*Inputs!$B$16))</f>
        <v>0.757546592522944</v>
      </c>
      <c r="II26" s="15" t="n">
        <f aca="false">Inputs!$B$50*Inputs!$B$18*IH26*Inputs!$B$19</f>
        <v>0.740217130448275</v>
      </c>
      <c r="IJ26" s="15" t="n">
        <f aca="false">1-II26</f>
        <v>0.259782869551725</v>
      </c>
      <c r="IK26" s="15" t="n">
        <f aca="false">Inputs!$B$20*IJ26</f>
        <v>0.00779348608655175</v>
      </c>
      <c r="IL26" s="15" t="n">
        <f aca="false">0.8*(1-Inputs!$B$50)*(II26-IK26)</f>
        <v>0.0017641214491988</v>
      </c>
      <c r="IM26" s="15" t="n">
        <f aca="false">II26-IK26-IL26</f>
        <v>0.730659522912524</v>
      </c>
      <c r="IN26" s="15" t="n">
        <f aca="false">IM26*(1-Inputs!$B$18*EXP(-Inputs!$B$21*Inputs!$B$14*Inputs!$B$17/(Inputs!$B$22*Inputs!$B$23*Inputs!$B$24*IG26*Inputs!$B$16))*Inputs!$B$19)</f>
        <v>0.0262097080779769</v>
      </c>
      <c r="IO26" s="15" t="n">
        <f aca="false">(IM26-IN26)*(1-EXP(-Inputs!$B$25*Inputs!$B$14*Inputs!$B$17*Inputs!$B$26/(IG26*Inputs!$B$16/0.866)))</f>
        <v>0.00742988836525172</v>
      </c>
      <c r="IP26" s="15" t="n">
        <f aca="false">(IM26-IN26-IO26)*(1-Inputs!$B$19)</f>
        <v>0.00348509963234648</v>
      </c>
      <c r="IQ26" s="15" t="n">
        <f aca="false">(IJ26+IK26+IL26+IN26+IO26+IP26)*(1+Inputs!$B$27)</f>
        <v>0.30738456868254</v>
      </c>
      <c r="IR26" s="15" t="n">
        <f aca="false">Inputs!$B$52/(1-IQ26-G26)</f>
        <v>193812.344053299</v>
      </c>
      <c r="IS26" s="15" t="n">
        <f aca="false">IR26/Inputs!$B$34</f>
        <v>323.020573422166</v>
      </c>
      <c r="IT26" s="15" t="n">
        <f aca="false">B26^2/IS26</f>
        <v>11.9001708135047</v>
      </c>
      <c r="IU26" s="15" t="n">
        <f aca="false">Inputs!$B$54*H26/(Inputs!$B$35*F26+E26*H26^2/(PI()*IT26*Inputs!$B$36))</f>
        <v>19.6938640005615</v>
      </c>
      <c r="IV26" s="15" t="n">
        <f aca="false">EXP(-Inputs!$B$11*Inputs!$B$14*Inputs!$B$17/(Inputs!$B$51*IU26*Inputs!$B$16))</f>
        <v>0.757546592904793</v>
      </c>
      <c r="IW26" s="15" t="n">
        <f aca="false">Inputs!$B$50*Inputs!$B$18*IV26*Inputs!$B$19</f>
        <v>0.740217130821389</v>
      </c>
      <c r="IX26" s="15" t="n">
        <f aca="false">1-IW26</f>
        <v>0.259782869178611</v>
      </c>
      <c r="IY26" s="15" t="n">
        <f aca="false">Inputs!$B$20*IX26</f>
        <v>0.00779348607535833</v>
      </c>
      <c r="IZ26" s="15" t="n">
        <f aca="false">0.8*(1-Inputs!$B$50)*(IW26-IY26)</f>
        <v>0.00176412145012445</v>
      </c>
      <c r="JA26" s="15" t="n">
        <f aca="false">IW26-IY26-IZ26</f>
        <v>0.730659523295906</v>
      </c>
      <c r="JB26" s="15" t="n">
        <f aca="false">JA26*(1-Inputs!$B$18*EXP(-Inputs!$B$21*Inputs!$B$14*Inputs!$B$17/(Inputs!$B$22*Inputs!$B$23*Inputs!$B$24*IU26*Inputs!$B$16))*Inputs!$B$19)</f>
        <v>0.0262097080707514</v>
      </c>
      <c r="JC26" s="15" t="n">
        <f aca="false">(JA26-JB26)*(1-EXP(-Inputs!$B$25*Inputs!$B$14*Inputs!$B$17*Inputs!$B$26/(IU26*Inputs!$B$16/0.866)))</f>
        <v>0.00742988835595525</v>
      </c>
      <c r="JD26" s="15" t="n">
        <f aca="false">(JA26-JB26-JC26)*(1-Inputs!$B$19)</f>
        <v>0.003485099634346</v>
      </c>
      <c r="JE26" s="15" t="n">
        <f aca="false">(IX26+IY26+IZ26+JB26+JC26+JD26)*(1+Inputs!$B$27)</f>
        <v>0.307384568283442</v>
      </c>
      <c r="JF26" s="15" t="n">
        <f aca="false">Inputs!$B$52/(1-JE26-G26)</f>
        <v>193812.343593793</v>
      </c>
      <c r="JG26" s="15" t="n">
        <f aca="false">JF26/Inputs!$B$34</f>
        <v>323.020572656321</v>
      </c>
      <c r="JH26" s="15" t="n">
        <f aca="false">B26^2/JG26</f>
        <v>11.9001708417186</v>
      </c>
      <c r="JI26" s="15" t="n">
        <f aca="false">Inputs!$B$54*H26/(Inputs!$B$35*F26+E26*H26^2/(PI()*JH26*Inputs!$B$36))</f>
        <v>19.6938640133517</v>
      </c>
      <c r="JJ26" s="15" t="n">
        <f aca="false">EXP(-Inputs!$B$11*Inputs!$B$14*Inputs!$B$17/(Inputs!$B$51*JI26*Inputs!$B$16))</f>
        <v>0.757546593041404</v>
      </c>
      <c r="JK26" s="15" t="n">
        <f aca="false">Inputs!$B$50*Inputs!$B$18*JJ26*Inputs!$B$19</f>
        <v>0.740217130954874</v>
      </c>
      <c r="JL26" s="15" t="n">
        <f aca="false">1-JK26</f>
        <v>0.259782869045126</v>
      </c>
      <c r="JM26" s="15" t="n">
        <f aca="false">Inputs!$B$20*JL26</f>
        <v>0.00779348607135378</v>
      </c>
      <c r="JN26" s="15" t="n">
        <f aca="false">0.8*(1-Inputs!$B$50)*(JK26-JM26)</f>
        <v>0.00176412145045561</v>
      </c>
      <c r="JO26" s="15" t="n">
        <f aca="false">JK26-JM26-JN26</f>
        <v>0.730659523433065</v>
      </c>
      <c r="JP26" s="15" t="n">
        <f aca="false">JO26*(1-Inputs!$B$18*EXP(-Inputs!$B$21*Inputs!$B$14*Inputs!$B$17/(Inputs!$B$22*Inputs!$B$23*Inputs!$B$24*JI26*Inputs!$B$16))*Inputs!$B$19)</f>
        <v>0.0262097080681664</v>
      </c>
      <c r="JQ26" s="15" t="n">
        <f aca="false">(JO26-JP26)*(1-EXP(-Inputs!$B$25*Inputs!$B$14*Inputs!$B$17*Inputs!$B$26/(JI26*Inputs!$B$16/0.866)))</f>
        <v>0.00742988835262933</v>
      </c>
      <c r="JR26" s="15" t="n">
        <f aca="false">(JO26-JP26-JQ26)*(1-Inputs!$B$19)</f>
        <v>0.00348509963506135</v>
      </c>
      <c r="JS26" s="15" t="n">
        <f aca="false">(JL26+JM26+JN26+JP26+JQ26+JR26)*(1+Inputs!$B$27)</f>
        <v>0.307384568140661</v>
      </c>
      <c r="JT26" s="15" t="n">
        <f aca="false">Inputs!$B$52/(1-JS26-G26)</f>
        <v>193812.3434294</v>
      </c>
      <c r="JU26" s="15" t="n">
        <f aca="false">JT26/Inputs!$B$34</f>
        <v>323.020572382333</v>
      </c>
      <c r="JV26" s="15" t="n">
        <f aca="false">B26^2/JU26</f>
        <v>11.9001708518124</v>
      </c>
      <c r="JW26" s="15" t="n">
        <f aca="false">Inputs!$B$54*H26/(Inputs!$B$35*F26+E26*H26^2/(PI()*JV26*Inputs!$B$36))</f>
        <v>19.6938640179274</v>
      </c>
      <c r="JX26" s="15" t="n">
        <f aca="false">EXP(-Inputs!$B$11*Inputs!$B$14*Inputs!$B$17/(Inputs!$B$51*JW26*Inputs!$B$16))</f>
        <v>0.757546593090277</v>
      </c>
      <c r="JY26" s="15" t="n">
        <f aca="false">Inputs!$B$50*Inputs!$B$18*JX26*Inputs!$B$19</f>
        <v>0.740217131002629</v>
      </c>
      <c r="JZ26" s="15" t="n">
        <f aca="false">1-JY26</f>
        <v>0.259782868997371</v>
      </c>
      <c r="KA26" s="15" t="n">
        <f aca="false">Inputs!$B$20*JZ26</f>
        <v>0.00779348606992112</v>
      </c>
      <c r="KB26" s="15" t="n">
        <f aca="false">0.8*(1-Inputs!$B$50)*(JY26-KA26)</f>
        <v>0.00176412145057408</v>
      </c>
      <c r="KC26" s="15" t="n">
        <f aca="false">JY26-KA26-KB26</f>
        <v>0.730659523482134</v>
      </c>
      <c r="KD26" s="15" t="n">
        <f aca="false">KC26*(1-Inputs!$B$18*EXP(-Inputs!$B$21*Inputs!$B$14*Inputs!$B$17/(Inputs!$B$22*Inputs!$B$23*Inputs!$B$24*JW26*Inputs!$B$16))*Inputs!$B$19)</f>
        <v>0.0262097080672415</v>
      </c>
      <c r="KE26" s="15" t="n">
        <f aca="false">(KC26-KD26)*(1-EXP(-Inputs!$B$25*Inputs!$B$14*Inputs!$B$17*Inputs!$B$26/(JW26*Inputs!$B$16/0.866)))</f>
        <v>0.00742988835143945</v>
      </c>
      <c r="KF26" s="15" t="n">
        <f aca="false">(KC26-KD26-KE26)*(1-Inputs!$B$19)</f>
        <v>0.00348509963531727</v>
      </c>
      <c r="KG26" s="15" t="n">
        <f aca="false">(JZ26+KA26+KB26+KD26+KE26+KF26)*(1+Inputs!$B$27)</f>
        <v>0.30738456808958</v>
      </c>
      <c r="KH26" s="15" t="n">
        <f aca="false">Inputs!$B$52/(1-KG26-G26)</f>
        <v>193812.343370587</v>
      </c>
      <c r="KI26" s="15" t="n">
        <f aca="false">KH26/Inputs!$B$34</f>
        <v>323.020572284311</v>
      </c>
      <c r="KJ26" s="15" t="n">
        <f aca="false">B26^2/KI26</f>
        <v>11.9001708554236</v>
      </c>
      <c r="KK26" s="15" t="n">
        <f aca="false">Inputs!$B$54*H26/(Inputs!$B$35*F26+E26*H26^2/(PI()*KJ26*Inputs!$B$36))</f>
        <v>19.6938640195645</v>
      </c>
      <c r="KL26" s="15" t="n">
        <f aca="false">EXP(-Inputs!$B$11*Inputs!$B$14*Inputs!$B$17/(Inputs!$B$51*KK26*Inputs!$B$16))</f>
        <v>0.757546593107762</v>
      </c>
      <c r="KM26" s="15" t="n">
        <f aca="false">Inputs!$B$50*Inputs!$B$18*KL26*Inputs!$B$19</f>
        <v>0.740217131019714</v>
      </c>
      <c r="KN26" s="15" t="n">
        <f aca="false">1-KM26</f>
        <v>0.259782868980286</v>
      </c>
      <c r="KO26" s="15" t="n">
        <f aca="false">Inputs!$B$20*KN26</f>
        <v>0.00779348606940857</v>
      </c>
      <c r="KP26" s="15" t="n">
        <f aca="false">0.8*(1-Inputs!$B$50)*(KM26-KO26)</f>
        <v>0.00176412145061647</v>
      </c>
      <c r="KQ26" s="15" t="n">
        <f aca="false">KM26-KO26-KP26</f>
        <v>0.730659523499689</v>
      </c>
      <c r="KR26" s="15" t="n">
        <f aca="false">KQ26*(1-Inputs!$B$18*EXP(-Inputs!$B$21*Inputs!$B$14*Inputs!$B$17/(Inputs!$B$22*Inputs!$B$23*Inputs!$B$24*KK26*Inputs!$B$16))*Inputs!$B$19)</f>
        <v>0.0262097080669107</v>
      </c>
      <c r="KS26" s="15" t="n">
        <f aca="false">(KQ26-KR26)*(1-EXP(-Inputs!$B$25*Inputs!$B$14*Inputs!$B$17*Inputs!$B$26/(KK26*Inputs!$B$16/0.866)))</f>
        <v>0.00742988835101376</v>
      </c>
      <c r="KT26" s="15" t="n">
        <f aca="false">(KQ26-KR26-KS26)*(1-Inputs!$B$19)</f>
        <v>0.00348509963540883</v>
      </c>
      <c r="KU26" s="15" t="n">
        <f aca="false">(KN26+KO26+KP26+KR26+KS26+KT26)*(1+Inputs!$B$27)</f>
        <v>0.307384568071305</v>
      </c>
      <c r="KV26" s="15" t="n">
        <f aca="false">Inputs!$B$52/(1-KU26-G26)</f>
        <v>193812.343349546</v>
      </c>
      <c r="KW26" s="15" t="n">
        <f aca="false">KV26/Inputs!$B$34</f>
        <v>323.020572249243</v>
      </c>
      <c r="KX26" s="15" t="n">
        <f aca="false">B26^2/KW26</f>
        <v>11.9001708567155</v>
      </c>
      <c r="KY26" s="15" t="n">
        <f aca="false">Inputs!$B$54*H26/(Inputs!$B$35*F26+E26*H26^2/(PI()*KX26*Inputs!$B$36))</f>
        <v>19.6938640201501</v>
      </c>
      <c r="KZ26" s="15" t="n">
        <f aca="false">EXP(-Inputs!$B$11*Inputs!$B$14*Inputs!$B$17/(Inputs!$B$51*KY26*Inputs!$B$16))</f>
        <v>0.757546593114017</v>
      </c>
      <c r="LA26" s="15" t="n">
        <f aca="false">Inputs!$B$50*Inputs!$B$18*KZ26*Inputs!$B$19</f>
        <v>0.740217131025827</v>
      </c>
      <c r="LB26" s="15" t="n">
        <f aca="false">1-LA26</f>
        <v>0.259782868974173</v>
      </c>
      <c r="LC26" s="15" t="n">
        <f aca="false">Inputs!$B$20*LB26</f>
        <v>0.0077934860692252</v>
      </c>
      <c r="LD26" s="15" t="n">
        <f aca="false">0.8*(1-Inputs!$B$50)*(LA26-LC26)</f>
        <v>0.00176412145063163</v>
      </c>
      <c r="LE26" s="15" t="n">
        <f aca="false">LA26-LC26-LD26</f>
        <v>0.73065952350597</v>
      </c>
      <c r="LF26" s="15" t="n">
        <f aca="false">LE26*(1-Inputs!$B$18*EXP(-Inputs!$B$21*Inputs!$B$14*Inputs!$B$17/(Inputs!$B$22*Inputs!$B$23*Inputs!$B$24*KY26*Inputs!$B$16))*Inputs!$B$19)</f>
        <v>0.0262097080667924</v>
      </c>
      <c r="LG26" s="15" t="n">
        <f aca="false">(LE26-LF26)*(1-EXP(-Inputs!$B$25*Inputs!$B$14*Inputs!$B$17*Inputs!$B$26/(KY26*Inputs!$B$16/0.866)))</f>
        <v>0.00742988835086148</v>
      </c>
      <c r="LH26" s="15" t="n">
        <f aca="false">(LE26-LF26-LG26)*(1-Inputs!$B$19)</f>
        <v>0.00348509963544158</v>
      </c>
      <c r="LI26" s="15" t="n">
        <f aca="false">(LB26+LC26+LD26+LF26+LG26+LH26)*(1+Inputs!$B$27)</f>
        <v>0.307384568064767</v>
      </c>
      <c r="LJ26" s="15" t="n">
        <f aca="false">Inputs!$B$52/(1-LI26-G26)</f>
        <v>193812.343342018</v>
      </c>
      <c r="LK26" s="15" t="n">
        <f aca="false">LJ26/Inputs!$B$34</f>
        <v>323.020572236697</v>
      </c>
      <c r="LL26" s="15" t="n">
        <f aca="false">B26^2/LK26</f>
        <v>11.9001708571777</v>
      </c>
      <c r="LM26" s="15" t="n">
        <f aca="false">Inputs!$B$54*H26/(Inputs!$B$35*F26+E26*H26^2/(PI()*LL26*Inputs!$B$36))</f>
        <v>19.6938640203597</v>
      </c>
      <c r="LN26" s="15" t="n">
        <f aca="false">EXP(-Inputs!$B$11*Inputs!$B$14*Inputs!$B$17/(Inputs!$B$51*LM26*Inputs!$B$16))</f>
        <v>0.757546593116255</v>
      </c>
      <c r="LO26" s="15" t="n">
        <f aca="false">Inputs!$B$50*Inputs!$B$18*LN26*Inputs!$B$19</f>
        <v>0.740217131028013</v>
      </c>
      <c r="LP26" s="15" t="n">
        <f aca="false">1-LO26</f>
        <v>0.259782868971987</v>
      </c>
      <c r="LQ26" s="15" t="n">
        <f aca="false">Inputs!$B$20*LP26</f>
        <v>0.0077934860691596</v>
      </c>
      <c r="LR26" s="15" t="n">
        <f aca="false">0.8*(1-Inputs!$B$50)*(LO26-LQ26)</f>
        <v>0.00176412145063706</v>
      </c>
      <c r="LS26" s="15" t="n">
        <f aca="false">LO26-LQ26-LR26</f>
        <v>0.730659523508217</v>
      </c>
      <c r="LT26" s="15" t="n">
        <f aca="false">LS26*(1-Inputs!$B$18*EXP(-Inputs!$B$21*Inputs!$B$14*Inputs!$B$17/(Inputs!$B$22*Inputs!$B$23*Inputs!$B$24*LM26*Inputs!$B$16))*Inputs!$B$19)</f>
        <v>0.02620970806675</v>
      </c>
      <c r="LU26" s="15" t="n">
        <f aca="false">(LS26-LT26)*(1-EXP(-Inputs!$B$25*Inputs!$B$14*Inputs!$B$17*Inputs!$B$26/(LM26*Inputs!$B$16/0.866)))</f>
        <v>0.00742988835080702</v>
      </c>
      <c r="LV26" s="15" t="n">
        <f aca="false">(LS26-LT26-LU26)*(1-Inputs!$B$19)</f>
        <v>0.0034850996354533</v>
      </c>
      <c r="LW26" s="15" t="n">
        <f aca="false">(LP26+LQ26+LR26+LT26+LU26+LV26)*(1+Inputs!$B$27)</f>
        <v>0.307384568062428</v>
      </c>
      <c r="LX26" s="15" t="n">
        <f aca="false">Inputs!$B$52/(1-LW26-G26)</f>
        <v>193812.343339325</v>
      </c>
      <c r="LY26" s="15" t="n">
        <f aca="false">LX26/Inputs!$B$34</f>
        <v>323.020572232209</v>
      </c>
      <c r="LZ26" s="15" t="n">
        <f aca="false">B26^2/LY26</f>
        <v>11.900170857343</v>
      </c>
      <c r="MA26" s="15" t="n">
        <f aca="false">Inputs!$B$54*H26/(Inputs!$B$35*F26+E26*H26^2/(PI()*LZ26*Inputs!$B$36))</f>
        <v>19.6938640204346</v>
      </c>
      <c r="MB26" s="15" t="n">
        <f aca="false">EXP(-Inputs!$B$11*Inputs!$B$14*Inputs!$B$17/(Inputs!$B$51*MA26*Inputs!$B$16))</f>
        <v>0.757546593117056</v>
      </c>
      <c r="MC26" s="15" t="n">
        <f aca="false">Inputs!$B$50*Inputs!$B$18*MB26*Inputs!$B$19</f>
        <v>0.740217131028796</v>
      </c>
      <c r="MD26" s="15" t="n">
        <f aca="false">1-MC26</f>
        <v>0.259782868971204</v>
      </c>
      <c r="ME26" s="15" t="n">
        <f aca="false">Inputs!$B$20*MD26</f>
        <v>0.00779348606913613</v>
      </c>
      <c r="MF26" s="15" t="n">
        <f aca="false">0.8*(1-Inputs!$B$50)*(MC26-ME26)</f>
        <v>0.001764121450639</v>
      </c>
      <c r="MG26" s="15" t="n">
        <f aca="false">MC26-ME26-MF26</f>
        <v>0.730659523509021</v>
      </c>
      <c r="MH26" s="15" t="n">
        <f aca="false">MG26*(1-Inputs!$B$18*EXP(-Inputs!$B$21*Inputs!$B$14*Inputs!$B$17/(Inputs!$B$22*Inputs!$B$23*Inputs!$B$24*MA26*Inputs!$B$16))*Inputs!$B$19)</f>
        <v>0.0262097080667348</v>
      </c>
      <c r="MI26" s="15" t="n">
        <f aca="false">(MG26-MH26)*(1-EXP(-Inputs!$B$25*Inputs!$B$14*Inputs!$B$17*Inputs!$B$26/(MA26*Inputs!$B$16/0.866)))</f>
        <v>0.00742988835078751</v>
      </c>
      <c r="MJ26" s="15" t="n">
        <f aca="false">(MG26-MH26-MI26)*(1-Inputs!$B$19)</f>
        <v>0.00348509963545749</v>
      </c>
      <c r="MK26" s="15" t="n">
        <f aca="false">(MD26+ME26+MF26+MH26+MI26+MJ26)*(1+Inputs!$B$27)</f>
        <v>0.307384568061591</v>
      </c>
      <c r="ML26" s="15" t="n">
        <f aca="false">Inputs!$B$52/(1-MK26-G26)</f>
        <v>193812.343338362</v>
      </c>
      <c r="MM26" s="15" t="n">
        <f aca="false">ML26/Inputs!$B$34</f>
        <v>323.020572230603</v>
      </c>
      <c r="MN26" s="15" t="n">
        <f aca="false">B26^2/MM26</f>
        <v>11.9001708574022</v>
      </c>
      <c r="MO26" s="15" t="n">
        <f aca="false">Inputs!$B$54*H26/(Inputs!$B$35*F26+E26*H26^2/(PI()*MN26*Inputs!$B$36))</f>
        <v>19.6938640204614</v>
      </c>
      <c r="MP26" s="15" t="n">
        <f aca="false">EXP(-Inputs!$B$11*Inputs!$B$14*Inputs!$B$17/(Inputs!$B$51*MO26*Inputs!$B$16))</f>
        <v>0.757546593117342</v>
      </c>
      <c r="MQ26" s="15" t="n">
        <f aca="false">Inputs!$B$50*Inputs!$B$18*MP26*Inputs!$B$19</f>
        <v>0.740217131029076</v>
      </c>
      <c r="MR26" s="15" t="n">
        <f aca="false">1-MQ26</f>
        <v>0.259782868970924</v>
      </c>
      <c r="MS26" s="15" t="n">
        <f aca="false">Inputs!$B$20*MR26</f>
        <v>0.00779348606912773</v>
      </c>
      <c r="MT26" s="15" t="n">
        <f aca="false">0.8*(1-Inputs!$B$50)*(MQ26-MS26)</f>
        <v>0.00176412145063969</v>
      </c>
      <c r="MU26" s="15" t="n">
        <f aca="false">MQ26-MS26-MT26</f>
        <v>0.730659523509308</v>
      </c>
      <c r="MV26" s="15" t="n">
        <f aca="false">MU26*(1-Inputs!$B$18*EXP(-Inputs!$B$21*Inputs!$B$14*Inputs!$B$17/(Inputs!$B$22*Inputs!$B$23*Inputs!$B$24*MO26*Inputs!$B$16))*Inputs!$B$19)</f>
        <v>0.0262097080667294</v>
      </c>
      <c r="MW26" s="15" t="n">
        <f aca="false">(MU26-MV26)*(1-EXP(-Inputs!$B$25*Inputs!$B$14*Inputs!$B$17*Inputs!$B$26/(MO26*Inputs!$B$16/0.866)))</f>
        <v>0.00742988835078051</v>
      </c>
      <c r="MX26" s="15" t="n">
        <f aca="false">(MU26-MV26-MW26)*(1-Inputs!$B$19)</f>
        <v>0.00348509963545899</v>
      </c>
      <c r="MY26" s="15" t="n">
        <f aca="false">(MR26+MS26+MT26+MV26+MW26+MX26)*(1+Inputs!$B$27)</f>
        <v>0.307384568061292</v>
      </c>
      <c r="MZ26" s="15" t="n">
        <f aca="false">Inputs!$B$52/(1-MY26-G26)</f>
        <v>193812.343338017</v>
      </c>
      <c r="NA26" s="15" t="n">
        <f aca="false">MZ26/Inputs!$B$34</f>
        <v>323.020572230028</v>
      </c>
      <c r="NB26" s="15" t="n">
        <f aca="false">B26^2/NA26</f>
        <v>11.9001708574234</v>
      </c>
      <c r="NC26" s="15" t="n">
        <f aca="false">Inputs!$B$54*H26/(Inputs!$B$35*F26+E26*H26^2/(PI()*NB26*Inputs!$B$36))</f>
        <v>19.693864020471</v>
      </c>
      <c r="ND26" s="15" t="n">
        <f aca="false">EXP(-Inputs!$B$11*Inputs!$B$14*Inputs!$B$17/(Inputs!$B$51*NC26*Inputs!$B$16))</f>
        <v>0.757546593117445</v>
      </c>
      <c r="NE26" s="15" t="n">
        <f aca="false">Inputs!$B$50*Inputs!$B$18*ND26*Inputs!$B$19</f>
        <v>0.740217131029176</v>
      </c>
      <c r="NF26" s="15" t="n">
        <f aca="false">1-NE26</f>
        <v>0.259782868970824</v>
      </c>
      <c r="NG26" s="15" t="n">
        <f aca="false">Inputs!$B$20*NF26</f>
        <v>0.00779348606912473</v>
      </c>
      <c r="NH26" s="15" t="n">
        <f aca="false">0.8*(1-Inputs!$B$50)*(NE26-NG26)</f>
        <v>0.00176412145063994</v>
      </c>
      <c r="NI26" s="15" t="n">
        <f aca="false">NE26-NG26-NH26</f>
        <v>0.730659523509411</v>
      </c>
      <c r="NJ26" s="15" t="n">
        <f aca="false">NI26*(1-Inputs!$B$18*EXP(-Inputs!$B$21*Inputs!$B$14*Inputs!$B$17/(Inputs!$B$22*Inputs!$B$23*Inputs!$B$24*NC26*Inputs!$B$16))*Inputs!$B$19)</f>
        <v>0.0262097080667275</v>
      </c>
      <c r="NK26" s="15" t="n">
        <f aca="false">(NI26-NJ26)*(1-EXP(-Inputs!$B$25*Inputs!$B$14*Inputs!$B$17*Inputs!$B$26/(NC26*Inputs!$B$16/0.866)))</f>
        <v>0.00742988835077802</v>
      </c>
      <c r="NL26" s="15" t="n">
        <f aca="false">(NI26-NJ26-NK26)*(1-Inputs!$B$19)</f>
        <v>0.00348509963545953</v>
      </c>
      <c r="NM26" s="15" t="n">
        <f aca="false">(NF26+NG26+NH26+NJ26+NK26+NL26)*(1+Inputs!$B$27)</f>
        <v>0.307384568061185</v>
      </c>
      <c r="NN26" s="15" t="n">
        <f aca="false">Inputs!$B$52/(1-NM26-G26)</f>
        <v>193812.343337894</v>
      </c>
    </row>
    <row r="27" customFormat="false" ht="15" hidden="false" customHeight="false" outlineLevel="0" collapsed="false">
      <c r="A27" s="21" t="s">
        <v>501</v>
      </c>
      <c r="B27" s="21" t="n">
        <v>62</v>
      </c>
      <c r="C27" s="22" t="n">
        <v>0.15</v>
      </c>
      <c r="D27" s="23" t="n">
        <f aca="false">B27*C27</f>
        <v>9.3</v>
      </c>
      <c r="E27" s="24" t="n">
        <f aca="false">IF(C27=0,1,(1+0.45*C27)/(1.04+2.81*C27))</f>
        <v>0.73041395826206</v>
      </c>
      <c r="F27" s="24" t="n">
        <f aca="false">1+Inputs!$B$42*D27</f>
        <v>1.0465</v>
      </c>
      <c r="G27" s="25" t="n">
        <f aca="false">Inputs!$B$31+Inputs!$B$43*(B27/Inputs!$B$32-1)+Inputs!$B$44+Inputs!$B$45*D27</f>
        <v>0.5261425</v>
      </c>
      <c r="H27" s="22" t="n">
        <f aca="false">Inputs!$B$38</f>
        <v>0.5</v>
      </c>
      <c r="I27" s="23" t="n">
        <f aca="false">Inputs!$B$40</f>
        <v>2.4</v>
      </c>
      <c r="J27" s="26" t="n">
        <f aca="false">NN27/Inputs!$B$34</f>
        <v>321.989315796317</v>
      </c>
      <c r="K27" s="23" t="n">
        <f aca="false">B27^2/J27</f>
        <v>11.9382843200662</v>
      </c>
      <c r="L27" s="23" t="n">
        <f aca="false">2*K27</f>
        <v>23.8765686401323</v>
      </c>
      <c r="M27" s="22" t="n">
        <f aca="false">NC27</f>
        <v>19.9107805367674</v>
      </c>
      <c r="N27" s="23" t="n">
        <f aca="false">B27/SQRT(E27)</f>
        <v>72.5449452867052</v>
      </c>
      <c r="O27" s="24" t="n">
        <f aca="false">NM27</f>
        <v>0.304985437069824</v>
      </c>
      <c r="P27" s="23" t="n">
        <f aca="false">NN27/1000</f>
        <v>193.19358947779</v>
      </c>
      <c r="Q27" s="23" t="n">
        <f aca="false">G27*NN27/1000</f>
        <v>101.647358151818</v>
      </c>
      <c r="R27" s="23" t="n">
        <f aca="false">NM27*NN27/1000</f>
        <v>58.9212313259719</v>
      </c>
      <c r="S27" s="23" t="n">
        <f aca="false">NM27*NN27/Inputs!$B$28/1000</f>
        <v>78.5616417679626</v>
      </c>
      <c r="T27" s="27" t="n">
        <f aca="false">R27/Sweep!$R$5-1</f>
        <v>-0.0572093357285144</v>
      </c>
      <c r="U27" s="27" t="n">
        <f aca="false">R27/SUMIFS(Sweep!$R:$R,Sweep!$A:$A,"Conventional",Sweep!$B:$B,B27)-1</f>
        <v>-0.0880464257344873</v>
      </c>
      <c r="V27" s="26" t="n">
        <f aca="false">2*0.54*(J27/2)^1.5/SQRT(L27)*Inputs!$B$46*Inputs!$B$47</f>
        <v>42.2149819588519</v>
      </c>
      <c r="W27" s="28" t="n">
        <f aca="false">MIN(1,V27/S27)</f>
        <v>0.537348520331804</v>
      </c>
      <c r="X27" s="26" t="n">
        <f aca="false">1.23*SQRT(2*Inputs!$B$41*NN27*Inputs!$B$49/(1.225*J27*I27))/0.5144</f>
        <v>133.62967568068</v>
      </c>
      <c r="Y27" s="29" t="n">
        <f aca="false">(11000+6341.6*LN(0.36392/(2*Inputs!$B$50*Inputs!$B$18*(1+ND27)/2*Inputs!$B$34*Inputs!$B$49/((Inputs!$B$12*295.07)^2*H27))))/0.3048</f>
        <v>38544.1565642467</v>
      </c>
      <c r="Z27" s="26" t="n">
        <f aca="false">NN27-MZ27</f>
        <v>-2.33703758567572E-008</v>
      </c>
      <c r="AA27" s="30" t="str">
        <f aca="false">IF(ABS(NN27-MZ27)&lt;10,"Yes","No")</f>
        <v>Yes</v>
      </c>
      <c r="AC27" s="15" t="n">
        <f aca="false">Inputs!$B$52/(1-0.3154-G27)/Inputs!$B$34</f>
        <v>343.151949260843</v>
      </c>
      <c r="AD27" s="15" t="n">
        <f aca="false">B27^2/AC27</f>
        <v>11.2020345747126</v>
      </c>
      <c r="AE27" s="15" t="n">
        <f aca="false">Inputs!$B$54*H27/(Inputs!$B$35*F27+E27*H27^2/(PI()*AD27*Inputs!$B$36))</f>
        <v>19.5827162197232</v>
      </c>
      <c r="AF27" s="15" t="n">
        <f aca="false">EXP(-Inputs!$B$11*Inputs!$B$14*Inputs!$B$17/(Inputs!$B$51*AE27*Inputs!$B$16))</f>
        <v>0.756353637079008</v>
      </c>
      <c r="AG27" s="15" t="n">
        <f aca="false">Inputs!$B$50*Inputs!$B$18*AF27*Inputs!$B$19</f>
        <v>0.739051464779419</v>
      </c>
      <c r="AH27" s="15" t="n">
        <f aca="false">1-AG27</f>
        <v>0.260948535220581</v>
      </c>
      <c r="AI27" s="15" t="n">
        <f aca="false">Inputs!$B$20*AH27</f>
        <v>0.00782845605661744</v>
      </c>
      <c r="AJ27" s="15" t="n">
        <f aca="false">0.8*(1-Inputs!$B$50)*(AG27-AI27)</f>
        <v>0.00176122958859381</v>
      </c>
      <c r="AK27" s="15" t="n">
        <f aca="false">AG27-AI27-AJ27</f>
        <v>0.729461779134207</v>
      </c>
      <c r="AL27" s="15" t="n">
        <f aca="false">AK27*(1-Inputs!$B$18*EXP(-Inputs!$B$21*Inputs!$B$14*Inputs!$B$17/(Inputs!$B$22*Inputs!$B$23*Inputs!$B$24*AE27*Inputs!$B$16))*Inputs!$B$19)</f>
        <v>0.0262322225950475</v>
      </c>
      <c r="AM27" s="15" t="n">
        <f aca="false">(AK27-AL27)*(1-EXP(-Inputs!$B$25*Inputs!$B$14*Inputs!$B$17*Inputs!$B$26/(AE27*Inputs!$B$16/0.866)))</f>
        <v>0.00745889173000649</v>
      </c>
      <c r="AN27" s="15" t="n">
        <f aca="false">(AK27-AL27-AM27)*(1-Inputs!$B$19)</f>
        <v>0.00347885332404577</v>
      </c>
      <c r="AO27" s="15" t="n">
        <f aca="false">(AH27+AI27+AJ27+AL27+AM27+AN27)*(1+Inputs!$B$27)</f>
        <v>0.308631313080437</v>
      </c>
      <c r="AP27" s="15" t="n">
        <f aca="false">Inputs!$B$52/(1-AO27-G27)</f>
        <v>197456.593341846</v>
      </c>
      <c r="AQ27" s="15" t="n">
        <f aca="false">AP27/Inputs!$B$34</f>
        <v>329.09432223641</v>
      </c>
      <c r="AR27" s="15" t="n">
        <f aca="false">B27^2/AQ27</f>
        <v>11.6805418394262</v>
      </c>
      <c r="AS27" s="15" t="n">
        <f aca="false">Inputs!$B$54*H27/(Inputs!$B$35*F27+E27*H27^2/(PI()*AR27*Inputs!$B$36))</f>
        <v>19.7994194941973</v>
      </c>
      <c r="AT27" s="15" t="n">
        <f aca="false">EXP(-Inputs!$B$11*Inputs!$B$14*Inputs!$B$17/(Inputs!$B$51*AS27*Inputs!$B$16))</f>
        <v>0.758668840152899</v>
      </c>
      <c r="AU27" s="15" t="n">
        <f aca="false">Inputs!$B$50*Inputs!$B$18*AT27*Inputs!$B$19</f>
        <v>0.741313705798883</v>
      </c>
      <c r="AV27" s="15" t="n">
        <f aca="false">1-AU27</f>
        <v>0.258686294201117</v>
      </c>
      <c r="AW27" s="15" t="n">
        <f aca="false">Inputs!$B$20*AV27</f>
        <v>0.00776058882603352</v>
      </c>
      <c r="AX27" s="15" t="n">
        <f aca="false">0.8*(1-Inputs!$B$50)*(AU27-AW27)</f>
        <v>0.00176684190596574</v>
      </c>
      <c r="AY27" s="15" t="n">
        <f aca="false">AU27-AW27-AX27</f>
        <v>0.731786275066883</v>
      </c>
      <c r="AZ27" s="15" t="n">
        <f aca="false">AY27*(1-Inputs!$B$18*EXP(-Inputs!$B$21*Inputs!$B$14*Inputs!$B$17/(Inputs!$B$22*Inputs!$B$23*Inputs!$B$24*AS27*Inputs!$B$16))*Inputs!$B$19)</f>
        <v>0.0261884205223093</v>
      </c>
      <c r="BA27" s="15" t="n">
        <f aca="false">(AY27-AZ27)*(1-EXP(-Inputs!$B$25*Inputs!$B$14*Inputs!$B$17*Inputs!$B$26/(AS27*Inputs!$B$16/0.866)))</f>
        <v>0.00740253058552504</v>
      </c>
      <c r="BB27" s="15" t="n">
        <f aca="false">(AY27-AZ27-BA27)*(1-Inputs!$B$19)</f>
        <v>0.00349097661979525</v>
      </c>
      <c r="BC27" s="15" t="n">
        <f aca="false">(AV27+AW27+AX27+AZ27+BA27+BB27)*(1+Inputs!$B$27)</f>
        <v>0.306211539618729</v>
      </c>
      <c r="BD27" s="15" t="n">
        <f aca="false">Inputs!$B$52/(1-BC27-G27)</f>
        <v>194606.538241674</v>
      </c>
      <c r="BE27" s="15" t="n">
        <f aca="false">BD27/Inputs!$B$34</f>
        <v>324.344230402789</v>
      </c>
      <c r="BF27" s="15" t="n">
        <f aca="false">B27^2/BE27</f>
        <v>11.851605916425</v>
      </c>
      <c r="BG27" s="15" t="n">
        <f aca="false">Inputs!$B$54*H27/(Inputs!$B$35*F27+E27*H27^2/(PI()*BF27*Inputs!$B$36))</f>
        <v>19.873732009597</v>
      </c>
      <c r="BH27" s="15" t="n">
        <f aca="false">EXP(-Inputs!$B$11*Inputs!$B$14*Inputs!$B$17/(Inputs!$B$51*BG27*Inputs!$B$16))</f>
        <v>0.759452751336279</v>
      </c>
      <c r="BI27" s="15" t="n">
        <f aca="false">Inputs!$B$50*Inputs!$B$18*BH27*Inputs!$B$19</f>
        <v>0.742079684409856</v>
      </c>
      <c r="BJ27" s="15" t="n">
        <f aca="false">1-BI27</f>
        <v>0.257920315590144</v>
      </c>
      <c r="BK27" s="15" t="n">
        <f aca="false">Inputs!$B$20*BJ27</f>
        <v>0.00773760946770433</v>
      </c>
      <c r="BL27" s="15" t="n">
        <f aca="false">0.8*(1-Inputs!$B$50)*(BI27-BK27)</f>
        <v>0.00176874219644227</v>
      </c>
      <c r="BM27" s="15" t="n">
        <f aca="false">BI27-BK27-BL27</f>
        <v>0.732573332745709</v>
      </c>
      <c r="BN27" s="15" t="n">
        <f aca="false">BM27*(1-Inputs!$B$18*EXP(-Inputs!$B$21*Inputs!$B$14*Inputs!$B$17/(Inputs!$B$22*Inputs!$B$23*Inputs!$B$24*BG27*Inputs!$B$16))*Inputs!$B$19)</f>
        <v>0.0261734890207592</v>
      </c>
      <c r="BO27" s="15" t="n">
        <f aca="false">(BM27-BN27)*(1-EXP(-Inputs!$B$25*Inputs!$B$14*Inputs!$B$17*Inputs!$B$26/(BG27*Inputs!$B$16/0.866)))</f>
        <v>0.0073833784524416</v>
      </c>
      <c r="BP27" s="15" t="n">
        <f aca="false">(BM27-BN27-BO27)*(1-Inputs!$B$19)</f>
        <v>0.00349508232636254</v>
      </c>
      <c r="BQ27" s="15" t="n">
        <f aca="false">(BJ27+BK27+BL27+BN27+BO27+BP27)*(1+Inputs!$B$27)</f>
        <v>0.305392052905016</v>
      </c>
      <c r="BR27" s="15" t="n">
        <f aca="false">Inputs!$B$52/(1-BQ27-G27)</f>
        <v>193659.89027771</v>
      </c>
      <c r="BS27" s="15" t="n">
        <f aca="false">BR27/Inputs!$B$34</f>
        <v>322.766483796184</v>
      </c>
      <c r="BT27" s="15" t="n">
        <f aca="false">B27^2/BS27</f>
        <v>11.9095389173907</v>
      </c>
      <c r="BU27" s="15" t="n">
        <f aca="false">Inputs!$B$54*H27/(Inputs!$B$35*F27+E27*H27^2/(PI()*BT27*Inputs!$B$36))</f>
        <v>19.898538534783</v>
      </c>
      <c r="BV27" s="15" t="n">
        <f aca="false">EXP(-Inputs!$B$11*Inputs!$B$14*Inputs!$B$17/(Inputs!$B$51*BU27*Inputs!$B$16))</f>
        <v>0.759713307190284</v>
      </c>
      <c r="BW27" s="15" t="n">
        <f aca="false">Inputs!$B$50*Inputs!$B$18*BV27*Inputs!$B$19</f>
        <v>0.742334279847914</v>
      </c>
      <c r="BX27" s="15" t="n">
        <f aca="false">1-BW27</f>
        <v>0.257665720152086</v>
      </c>
      <c r="BY27" s="15" t="n">
        <f aca="false">Inputs!$B$20*BX27</f>
        <v>0.00772997160456258</v>
      </c>
      <c r="BZ27" s="15" t="n">
        <f aca="false">0.8*(1-Inputs!$B$50)*(BW27-BY27)</f>
        <v>0.0017693738136694</v>
      </c>
      <c r="CA27" s="15" t="n">
        <f aca="false">BW27-BY27-BZ27</f>
        <v>0.732834934429682</v>
      </c>
      <c r="CB27" s="15" t="n">
        <f aca="false">CA27*(1-Inputs!$B$18*EXP(-Inputs!$B$21*Inputs!$B$14*Inputs!$B$17/(Inputs!$B$22*Inputs!$B$23*Inputs!$B$24*BU27*Inputs!$B$16))*Inputs!$B$19)</f>
        <v>0.0261685148644086</v>
      </c>
      <c r="CC27" s="15" t="n">
        <f aca="false">(CA27-CB27)*(1-EXP(-Inputs!$B$25*Inputs!$B$14*Inputs!$B$17*Inputs!$B$26/(BU27*Inputs!$B$16/0.866)))</f>
        <v>0.00737700499924789</v>
      </c>
      <c r="CD27" s="15" t="n">
        <f aca="false">(CA27-CB27-CC27)*(1-Inputs!$B$19)</f>
        <v>0.00349644707283013</v>
      </c>
      <c r="CE27" s="15" t="n">
        <f aca="false">(BX27+BY27+BZ27+CB27+CC27+CD27)*(1+Inputs!$B$27)</f>
        <v>0.305119653604325</v>
      </c>
      <c r="CF27" s="15" t="n">
        <f aca="false">Inputs!$B$52/(1-CE27-G27)</f>
        <v>193347.25846564</v>
      </c>
      <c r="CG27" s="15" t="n">
        <f aca="false">CF27/Inputs!$B$34</f>
        <v>322.245430776067</v>
      </c>
      <c r="CH27" s="15" t="n">
        <f aca="false">B27^2/CG27</f>
        <v>11.9287959824363</v>
      </c>
      <c r="CI27" s="15" t="n">
        <f aca="false">Inputs!$B$54*H27/(Inputs!$B$35*F27+E27*H27^2/(PI()*CH27*Inputs!$B$36))</f>
        <v>19.9067445328558</v>
      </c>
      <c r="CJ27" s="15" t="n">
        <f aca="false">EXP(-Inputs!$B$11*Inputs!$B$14*Inputs!$B$17/(Inputs!$B$51*CI27*Inputs!$B$16))</f>
        <v>0.759799375759257</v>
      </c>
      <c r="CK27" s="15" t="n">
        <f aca="false">Inputs!$B$50*Inputs!$B$18*CJ27*Inputs!$B$19</f>
        <v>0.742418379532047</v>
      </c>
      <c r="CL27" s="15" t="n">
        <f aca="false">1-CK27</f>
        <v>0.257581620467954</v>
      </c>
      <c r="CM27" s="15" t="n">
        <f aca="false">Inputs!$B$20*CL27</f>
        <v>0.00772744861403861</v>
      </c>
      <c r="CN27" s="15" t="n">
        <f aca="false">0.8*(1-Inputs!$B$50)*(CK27-CM27)</f>
        <v>0.00176958245373656</v>
      </c>
      <c r="CO27" s="15" t="n">
        <f aca="false">CK27-CM27-CN27</f>
        <v>0.732921348464271</v>
      </c>
      <c r="CP27" s="15" t="n">
        <f aca="false">CO27*(1-Inputs!$B$18*EXP(-Inputs!$B$21*Inputs!$B$14*Inputs!$B$17/(Inputs!$B$22*Inputs!$B$23*Inputs!$B$24*CI27*Inputs!$B$16))*Inputs!$B$19)</f>
        <v>0.0261668705365424</v>
      </c>
      <c r="CQ27" s="15" t="n">
        <f aca="false">(CO27-CP27)*(1-EXP(-Inputs!$B$25*Inputs!$B$14*Inputs!$B$17*Inputs!$B$26/(CI27*Inputs!$B$16/0.866)))</f>
        <v>0.00737489883554671</v>
      </c>
      <c r="CR27" s="15" t="n">
        <f aca="false">(CO27-CP27-CQ27)*(1-Inputs!$B$19)</f>
        <v>0.00349689789546091</v>
      </c>
      <c r="CS27" s="15" t="n">
        <f aca="false">(CL27+CM27+CN27+CP27+CQ27+CR27)*(1+Inputs!$B$27)</f>
        <v>0.305029670759689</v>
      </c>
      <c r="CT27" s="15" t="n">
        <f aca="false">Inputs!$B$52/(1-CS27-G27)</f>
        <v>193244.207112094</v>
      </c>
      <c r="CU27" s="15" t="n">
        <f aca="false">CT27/Inputs!$B$34</f>
        <v>322.073678520157</v>
      </c>
      <c r="CV27" s="15" t="n">
        <f aca="false">B27^2/CU27</f>
        <v>11.9351572524093</v>
      </c>
      <c r="CW27" s="15" t="n">
        <f aca="false">Inputs!$B$54*H27/(Inputs!$B$35*F27+E27*H27^2/(PI()*CV27*Inputs!$B$36))</f>
        <v>19.9094509207716</v>
      </c>
      <c r="CX27" s="15" t="n">
        <f aca="false">EXP(-Inputs!$B$11*Inputs!$B$14*Inputs!$B$17/(Inputs!$B$51*CW27*Inputs!$B$16))</f>
        <v>0.759827748273491</v>
      </c>
      <c r="CY27" s="15" t="n">
        <f aca="false">Inputs!$B$50*Inputs!$B$18*CX27*Inputs!$B$19</f>
        <v>0.742446103003154</v>
      </c>
      <c r="CZ27" s="15" t="n">
        <f aca="false">1-CY27</f>
        <v>0.257553896996846</v>
      </c>
      <c r="DA27" s="15" t="n">
        <f aca="false">Inputs!$B$20*CZ27</f>
        <v>0.00772661690990539</v>
      </c>
      <c r="DB27" s="15" t="n">
        <f aca="false">0.8*(1-Inputs!$B$50)*(CY27-DA27)</f>
        <v>0.00176965123196009</v>
      </c>
      <c r="DC27" s="15" t="n">
        <f aca="false">CY27-DA27-DB27</f>
        <v>0.732949834861288</v>
      </c>
      <c r="DD27" s="15" t="n">
        <f aca="false">DC27*(1-Inputs!$B$18*EXP(-Inputs!$B$21*Inputs!$B$14*Inputs!$B$17/(Inputs!$B$22*Inputs!$B$23*Inputs!$B$24*CW27*Inputs!$B$16))*Inputs!$B$19)</f>
        <v>0.0261663283497095</v>
      </c>
      <c r="DE27" s="15" t="n">
        <f aca="false">(DC27-DD27)*(1-EXP(-Inputs!$B$25*Inputs!$B$14*Inputs!$B$17*Inputs!$B$26/(CW27*Inputs!$B$16/0.866)))</f>
        <v>0.00737420444684147</v>
      </c>
      <c r="DF27" s="15" t="n">
        <f aca="false">(DC27-DD27-DE27)*(1-Inputs!$B$19)</f>
        <v>0.00349704651032369</v>
      </c>
      <c r="DG27" s="15" t="n">
        <f aca="false">(CZ27+DA27+DB27+DD27+DE27+DF27)*(1+Inputs!$B$27)</f>
        <v>0.305000007678923</v>
      </c>
      <c r="DH27" s="15" t="n">
        <f aca="false">Inputs!$B$52/(1-DG27-G27)</f>
        <v>193210.260033737</v>
      </c>
      <c r="DI27" s="15" t="n">
        <f aca="false">DH27/Inputs!$B$34</f>
        <v>322.017100056229</v>
      </c>
      <c r="DJ27" s="15" t="n">
        <f aca="false">B27^2/DI27</f>
        <v>11.937254261742</v>
      </c>
      <c r="DK27" s="15" t="n">
        <f aca="false">Inputs!$B$54*H27/(Inputs!$B$35*F27+E27*H27^2/(PI()*DJ27*Inputs!$B$36))</f>
        <v>19.9103426176337</v>
      </c>
      <c r="DL27" s="15" t="n">
        <f aca="false">EXP(-Inputs!$B$11*Inputs!$B$14*Inputs!$B$17/(Inputs!$B$51*DK27*Inputs!$B$16))</f>
        <v>0.759837094951996</v>
      </c>
      <c r="DM27" s="15" t="n">
        <f aca="false">Inputs!$B$50*Inputs!$B$18*DL27*Inputs!$B$19</f>
        <v>0.742455235869184</v>
      </c>
      <c r="DN27" s="15" t="n">
        <f aca="false">1-DM27</f>
        <v>0.257544764130816</v>
      </c>
      <c r="DO27" s="15" t="n">
        <f aca="false">Inputs!$B$20*DN27</f>
        <v>0.00772634292392447</v>
      </c>
      <c r="DP27" s="15" t="n">
        <f aca="false">0.8*(1-Inputs!$B$50)*(DM27-DO27)</f>
        <v>0.0017696738893791</v>
      </c>
      <c r="DQ27" s="15" t="n">
        <f aca="false">DM27-DO27-DP27</f>
        <v>0.732959219055881</v>
      </c>
      <c r="DR27" s="15" t="n">
        <f aca="false">DQ27*(1-Inputs!$B$18*EXP(-Inputs!$B$21*Inputs!$B$14*Inputs!$B$17/(Inputs!$B$22*Inputs!$B$23*Inputs!$B$24*DK27*Inputs!$B$16))*Inputs!$B$19)</f>
        <v>0.0261661497240647</v>
      </c>
      <c r="DS27" s="15" t="n">
        <f aca="false">(DQ27-DR27)*(1-EXP(-Inputs!$B$25*Inputs!$B$14*Inputs!$B$17*Inputs!$B$26/(DK27*Inputs!$B$16/0.866)))</f>
        <v>0.00737397568635672</v>
      </c>
      <c r="DT27" s="15" t="n">
        <f aca="false">(DQ27-DR27-DS27)*(1-Inputs!$B$19)</f>
        <v>0.0034970954682273</v>
      </c>
      <c r="DU27" s="15" t="n">
        <f aca="false">(DN27+DO27+DP27+DR27+DS27+DT27)*(1+Inputs!$B$27)</f>
        <v>0.304990235828236</v>
      </c>
      <c r="DV27" s="15" t="n">
        <f aca="false">Inputs!$B$52/(1-DU27-G27)</f>
        <v>193199.079525653</v>
      </c>
      <c r="DW27" s="15" t="n">
        <f aca="false">DV27/Inputs!$B$34</f>
        <v>321.998465876088</v>
      </c>
      <c r="DX27" s="15" t="n">
        <f aca="false">B27^2/DW27</f>
        <v>11.9379450754255</v>
      </c>
      <c r="DY27" s="15" t="n">
        <f aca="false">Inputs!$B$54*H27/(Inputs!$B$35*F27+E27*H27^2/(PI()*DX27*Inputs!$B$36))</f>
        <v>19.9106363164745</v>
      </c>
      <c r="DZ27" s="15" t="n">
        <f aca="false">EXP(-Inputs!$B$11*Inputs!$B$14*Inputs!$B$17/(Inputs!$B$51*DY27*Inputs!$B$16))</f>
        <v>0.759840173316145</v>
      </c>
      <c r="EA27" s="15" t="n">
        <f aca="false">Inputs!$B$50*Inputs!$B$18*DZ27*Inputs!$B$19</f>
        <v>0.742458243813382</v>
      </c>
      <c r="EB27" s="15" t="n">
        <f aca="false">1-EA27</f>
        <v>0.257541756186618</v>
      </c>
      <c r="EC27" s="15" t="n">
        <f aca="false">Inputs!$B$20*EB27</f>
        <v>0.00772625268559854</v>
      </c>
      <c r="ED27" s="15" t="n">
        <f aca="false">0.8*(1-Inputs!$B$50)*(EA27-EC27)</f>
        <v>0.00176968135168631</v>
      </c>
      <c r="EE27" s="15" t="n">
        <f aca="false">EA27-EC27-ED27</f>
        <v>0.732962309776097</v>
      </c>
      <c r="EF27" s="15" t="n">
        <f aca="false">EE27*(1-Inputs!$B$18*EXP(-Inputs!$B$21*Inputs!$B$14*Inputs!$B$17/(Inputs!$B$22*Inputs!$B$23*Inputs!$B$24*DY27*Inputs!$B$16))*Inputs!$B$19)</f>
        <v>0.0261660908914507</v>
      </c>
      <c r="EG27" s="15" t="n">
        <f aca="false">(EE27-EF27)*(1-EXP(-Inputs!$B$25*Inputs!$B$14*Inputs!$B$17*Inputs!$B$26/(DY27*Inputs!$B$16/0.866)))</f>
        <v>0.00737390034214139</v>
      </c>
      <c r="EH27" s="15" t="n">
        <f aca="false">(EE27-EF27-EG27)*(1-Inputs!$B$19)</f>
        <v>0.00349711159271253</v>
      </c>
      <c r="EI27" s="15" t="n">
        <f aca="false">(EB27+EC27+ED27+EF27+EG27+EH27)*(1+Inputs!$B$27)</f>
        <v>0.304987017429358</v>
      </c>
      <c r="EJ27" s="15" t="n">
        <f aca="false">Inputs!$B$52/(1-EI27-G27)</f>
        <v>193195.397462978</v>
      </c>
      <c r="EK27" s="15" t="n">
        <f aca="false">EJ27/Inputs!$B$34</f>
        <v>321.992329104963</v>
      </c>
      <c r="EL27" s="15" t="n">
        <f aca="false">B27^2/EK27</f>
        <v>11.9381725977296</v>
      </c>
      <c r="EM27" s="15" t="n">
        <f aca="false">Inputs!$B$54*H27/(Inputs!$B$35*F27+E27*H27^2/(PI()*EL27*Inputs!$B$36))</f>
        <v>19.9107330418412</v>
      </c>
      <c r="EN27" s="15" t="n">
        <f aca="false">EXP(-Inputs!$B$11*Inputs!$B$14*Inputs!$B$17/(Inputs!$B$51*EM27*Inputs!$B$16))</f>
        <v>0.759841187112671</v>
      </c>
      <c r="EO27" s="15" t="n">
        <f aca="false">Inputs!$B$50*Inputs!$B$18*EN27*Inputs!$B$19</f>
        <v>0.742459234418531</v>
      </c>
      <c r="EP27" s="15" t="n">
        <f aca="false">1-EO27</f>
        <v>0.257540765581469</v>
      </c>
      <c r="EQ27" s="15" t="n">
        <f aca="false">Inputs!$B$20*EP27</f>
        <v>0.00772622296744406</v>
      </c>
      <c r="ER27" s="15" t="n">
        <f aca="false">0.8*(1-Inputs!$B$50)*(EO27-EQ27)</f>
        <v>0.00176968380924518</v>
      </c>
      <c r="ES27" s="15" t="n">
        <f aca="false">EO27-EQ27-ER27</f>
        <v>0.732963327641842</v>
      </c>
      <c r="ET27" s="15" t="n">
        <f aca="false">ES27*(1-Inputs!$B$18*EXP(-Inputs!$B$21*Inputs!$B$14*Inputs!$B$17/(Inputs!$B$22*Inputs!$B$23*Inputs!$B$24*EM27*Inputs!$B$16))*Inputs!$B$19)</f>
        <v>0.0261660715159565</v>
      </c>
      <c r="EU27" s="15" t="n">
        <f aca="false">(ES27-ET27)*(1-EXP(-Inputs!$B$25*Inputs!$B$14*Inputs!$B$17*Inputs!$B$26/(EM27*Inputs!$B$16/0.866)))</f>
        <v>0.00737387552894179</v>
      </c>
      <c r="EV27" s="15" t="n">
        <f aca="false">(ES27-ET27-EU27)*(1-Inputs!$B$19)</f>
        <v>0.00349711690298472</v>
      </c>
      <c r="EW27" s="15" t="n">
        <f aca="false">(EP27+EQ27+ER27+ET27+EU27+EV27)*(1+Inputs!$B$27)</f>
        <v>0.304985957514959</v>
      </c>
      <c r="EX27" s="15" t="n">
        <f aca="false">Inputs!$B$52/(1-EW27-G27)</f>
        <v>193194.184881032</v>
      </c>
      <c r="EY27" s="15" t="n">
        <f aca="false">EX27/Inputs!$B$34</f>
        <v>321.990308135053</v>
      </c>
      <c r="EZ27" s="15" t="n">
        <f aca="false">B27^2/EY27</f>
        <v>11.9382475275862</v>
      </c>
      <c r="FA27" s="15" t="n">
        <f aca="false">Inputs!$B$54*H27/(Inputs!$B$35*F27+E27*H27^2/(PI()*EZ27*Inputs!$B$36))</f>
        <v>19.9107648957778</v>
      </c>
      <c r="FB27" s="15" t="n">
        <f aca="false">EXP(-Inputs!$B$11*Inputs!$B$14*Inputs!$B$17/(Inputs!$B$51*FA27*Inputs!$B$16))</f>
        <v>0.759841520977834</v>
      </c>
      <c r="FC27" s="15" t="n">
        <f aca="false">Inputs!$B$50*Inputs!$B$18*FB27*Inputs!$B$19</f>
        <v>0.742459560646271</v>
      </c>
      <c r="FD27" s="15" t="n">
        <f aca="false">1-FC27</f>
        <v>0.257540439353729</v>
      </c>
      <c r="FE27" s="15" t="n">
        <f aca="false">Inputs!$B$20*FD27</f>
        <v>0.00772621318061186</v>
      </c>
      <c r="FF27" s="15" t="n">
        <f aca="false">0.8*(1-Inputs!$B$50)*(FC27-FE27)</f>
        <v>0.00176968461857257</v>
      </c>
      <c r="FG27" s="15" t="n">
        <f aca="false">FC27-FE27-FF27</f>
        <v>0.732963662847087</v>
      </c>
      <c r="FH27" s="15" t="n">
        <f aca="false">FG27*(1-Inputs!$B$18*EXP(-Inputs!$B$21*Inputs!$B$14*Inputs!$B$17/(Inputs!$B$22*Inputs!$B$23*Inputs!$B$24*FA27*Inputs!$B$16))*Inputs!$B$19)</f>
        <v>0.0261660651351679</v>
      </c>
      <c r="FI27" s="15" t="n">
        <f aca="false">(FG27-FH27)*(1-EXP(-Inputs!$B$25*Inputs!$B$14*Inputs!$B$17*Inputs!$B$26/(FA27*Inputs!$B$16/0.866)))</f>
        <v>0.00737386735740486</v>
      </c>
      <c r="FJ27" s="15" t="n">
        <f aca="false">(FG27-FH27-FI27)*(1-Inputs!$B$19)</f>
        <v>0.00349711865177257</v>
      </c>
      <c r="FK27" s="15" t="n">
        <f aca="false">(FD27+FE27+FF27+FH27+FI27+FJ27)*(1+Inputs!$B$27)</f>
        <v>0.30498560846215</v>
      </c>
      <c r="FL27" s="15" t="n">
        <f aca="false">Inputs!$B$52/(1-FK27-G27)</f>
        <v>193193.785554819</v>
      </c>
      <c r="FM27" s="15" t="n">
        <f aca="false">FL27/Inputs!$B$34</f>
        <v>321.989642591365</v>
      </c>
      <c r="FN27" s="15" t="n">
        <f aca="false">B27^2/FM27</f>
        <v>11.9382722036137</v>
      </c>
      <c r="FO27" s="15" t="n">
        <f aca="false">Inputs!$B$54*H27/(Inputs!$B$35*F27+E27*H27^2/(PI()*FN27*Inputs!$B$36))</f>
        <v>19.910775385905</v>
      </c>
      <c r="FP27" s="15" t="n">
        <f aca="false">EXP(-Inputs!$B$11*Inputs!$B$14*Inputs!$B$17/(Inputs!$B$51*FO27*Inputs!$B$16))</f>
        <v>0.759841630925991</v>
      </c>
      <c r="FQ27" s="15" t="n">
        <f aca="false">Inputs!$B$50*Inputs!$B$18*FP27*Inputs!$B$19</f>
        <v>0.742459668079279</v>
      </c>
      <c r="FR27" s="15" t="n">
        <f aca="false">1-FQ27</f>
        <v>0.257540331920721</v>
      </c>
      <c r="FS27" s="15" t="n">
        <f aca="false">Inputs!$B$20*FR27</f>
        <v>0.00772620995762162</v>
      </c>
      <c r="FT27" s="15" t="n">
        <f aca="false">0.8*(1-Inputs!$B$50)*(FQ27-FS27)</f>
        <v>0.00176968488509949</v>
      </c>
      <c r="FU27" s="15" t="n">
        <f aca="false">FQ27-FS27-FT27</f>
        <v>0.732963773236558</v>
      </c>
      <c r="FV27" s="15" t="n">
        <f aca="false">FU27*(1-Inputs!$B$18*EXP(-Inputs!$B$21*Inputs!$B$14*Inputs!$B$17/(Inputs!$B$22*Inputs!$B$23*Inputs!$B$24*FO27*Inputs!$B$16))*Inputs!$B$19)</f>
        <v>0.0261660630338507</v>
      </c>
      <c r="FW27" s="15" t="n">
        <f aca="false">(FU27-FV27)*(1-EXP(-Inputs!$B$25*Inputs!$B$14*Inputs!$B$17*Inputs!$B$26/(FO27*Inputs!$B$16/0.866)))</f>
        <v>0.0073738646663607</v>
      </c>
      <c r="FX27" s="15" t="n">
        <f aca="false">(FU27-FV27-FW27)*(1-Inputs!$B$19)</f>
        <v>0.00349711922768174</v>
      </c>
      <c r="FY27" s="15" t="n">
        <f aca="false">(FR27+FS27+FT27+FV27+FW27+FX27)*(1+Inputs!$B$27)</f>
        <v>0.304985493512409</v>
      </c>
      <c r="FZ27" s="15" t="n">
        <f aca="false">Inputs!$B$52/(1-FY27-G27)</f>
        <v>193193.654049449</v>
      </c>
      <c r="GA27" s="15" t="n">
        <f aca="false">FZ27/Inputs!$B$34</f>
        <v>321.989423415749</v>
      </c>
      <c r="GB27" s="15" t="n">
        <f aca="false">B27^2/GA27</f>
        <v>11.9382803298998</v>
      </c>
      <c r="GC27" s="15" t="n">
        <f aca="false">Inputs!$B$54*H27/(Inputs!$B$35*F27+E27*H27^2/(PI()*GB27*Inputs!$B$36))</f>
        <v>19.9107788404967</v>
      </c>
      <c r="GD27" s="15" t="n">
        <f aca="false">EXP(-Inputs!$B$11*Inputs!$B$14*Inputs!$B$17/(Inputs!$B$51*GC27*Inputs!$B$16))</f>
        <v>0.759841667133918</v>
      </c>
      <c r="GE27" s="15" t="n">
        <f aca="false">Inputs!$B$50*Inputs!$B$18*GD27*Inputs!$B$19</f>
        <v>0.742459703458922</v>
      </c>
      <c r="GF27" s="15" t="n">
        <f aca="false">1-GE27</f>
        <v>0.257540296541078</v>
      </c>
      <c r="GG27" s="15" t="n">
        <f aca="false">Inputs!$B$20*GF27</f>
        <v>0.00772620889623233</v>
      </c>
      <c r="GH27" s="15" t="n">
        <f aca="false">0.8*(1-Inputs!$B$50)*(GE27-GG27)</f>
        <v>0.00176968497287165</v>
      </c>
      <c r="GI27" s="15" t="n">
        <f aca="false">GE27-GG27-GH27</f>
        <v>0.732963809589818</v>
      </c>
      <c r="GJ27" s="15" t="n">
        <f aca="false">GI27*(1-Inputs!$B$18*EXP(-Inputs!$B$21*Inputs!$B$14*Inputs!$B$17/(Inputs!$B$22*Inputs!$B$23*Inputs!$B$24*GC27*Inputs!$B$16))*Inputs!$B$19)</f>
        <v>0.0261660623418485</v>
      </c>
      <c r="GK27" s="15" t="n">
        <f aca="false">(GI27-GJ27)*(1-EXP(-Inputs!$B$25*Inputs!$B$14*Inputs!$B$17*Inputs!$B$26/(GC27*Inputs!$B$16/0.866)))</f>
        <v>0.00737386378015081</v>
      </c>
      <c r="GL27" s="15" t="n">
        <f aca="false">(GI27-GJ27-GK27)*(1-Inputs!$B$19)</f>
        <v>0.0034971194173391</v>
      </c>
      <c r="GM27" s="15" t="n">
        <f aca="false">(GF27+GG27+GH27+GJ27+GK27+GL27)*(1+Inputs!$B$27)</f>
        <v>0.304985455657369</v>
      </c>
      <c r="GN27" s="15" t="n">
        <f aca="false">Inputs!$B$52/(1-GM27-G27)</f>
        <v>193193.610742379</v>
      </c>
      <c r="GO27" s="15" t="n">
        <f aca="false">GN27/Inputs!$B$34</f>
        <v>321.989351237298</v>
      </c>
      <c r="GP27" s="15" t="n">
        <f aca="false">B27^2/GO27</f>
        <v>11.9382830060335</v>
      </c>
      <c r="GQ27" s="15" t="n">
        <f aca="false">Inputs!$B$54*H27/(Inputs!$B$35*F27+E27*H27^2/(PI()*GP27*Inputs!$B$36))</f>
        <v>19.9107799781558</v>
      </c>
      <c r="GR27" s="15" t="n">
        <f aca="false">EXP(-Inputs!$B$11*Inputs!$B$14*Inputs!$B$17/(Inputs!$B$51*GQ27*Inputs!$B$16))</f>
        <v>0.759841679057837</v>
      </c>
      <c r="GS27" s="15" t="n">
        <f aca="false">Inputs!$B$50*Inputs!$B$18*GR27*Inputs!$B$19</f>
        <v>0.742459715110072</v>
      </c>
      <c r="GT27" s="15" t="n">
        <f aca="false">1-GS27</f>
        <v>0.257540284889928</v>
      </c>
      <c r="GU27" s="15" t="n">
        <f aca="false">Inputs!$B$20*GT27</f>
        <v>0.00772620854669785</v>
      </c>
      <c r="GV27" s="15" t="n">
        <f aca="false">0.8*(1-Inputs!$B$50)*(GS27-GU27)</f>
        <v>0.0017696850017766</v>
      </c>
      <c r="GW27" s="15" t="n">
        <f aca="false">GS27-GU27-GV27</f>
        <v>0.732963821561598</v>
      </c>
      <c r="GX27" s="15" t="n">
        <f aca="false">GW27*(1-Inputs!$B$18*EXP(-Inputs!$B$21*Inputs!$B$14*Inputs!$B$17/(Inputs!$B$22*Inputs!$B$23*Inputs!$B$24*GQ27*Inputs!$B$16))*Inputs!$B$19)</f>
        <v>0.0261660621139598</v>
      </c>
      <c r="GY27" s="15" t="n">
        <f aca="false">(GW27-GX27)*(1-EXP(-Inputs!$B$25*Inputs!$B$14*Inputs!$B$17*Inputs!$B$26/(GQ27*Inputs!$B$16/0.866)))</f>
        <v>0.00737386348830599</v>
      </c>
      <c r="GZ27" s="15" t="n">
        <f aca="false">(GW27-GX27-GY27)*(1-Inputs!$B$19)</f>
        <v>0.00349711947979666</v>
      </c>
      <c r="HA27" s="15" t="n">
        <f aca="false">(GT27+GU27+GV27+GX27+GY27+GZ27)*(1+Inputs!$B$27)</f>
        <v>0.304985443191026</v>
      </c>
      <c r="HB27" s="15" t="n">
        <f aca="false">Inputs!$B$52/(1-HA27-G27)</f>
        <v>193193.596480589</v>
      </c>
      <c r="HC27" s="15" t="n">
        <f aca="false">HB27/Inputs!$B$34</f>
        <v>321.989327467649</v>
      </c>
      <c r="HD27" s="15" t="n">
        <f aca="false">B27^2/HC27</f>
        <v>11.9382838873323</v>
      </c>
      <c r="HE27" s="15" t="n">
        <f aca="false">Inputs!$B$54*H27/(Inputs!$B$35*F27+E27*H27^2/(PI()*HD27*Inputs!$B$36))</f>
        <v>19.9107803528073</v>
      </c>
      <c r="HF27" s="15" t="n">
        <f aca="false">EXP(-Inputs!$B$11*Inputs!$B$14*Inputs!$B$17/(Inputs!$B$51*HE27*Inputs!$B$16))</f>
        <v>0.759841682984595</v>
      </c>
      <c r="HG27" s="15" t="n">
        <f aca="false">Inputs!$B$50*Inputs!$B$18*HF27*Inputs!$B$19</f>
        <v>0.742459718947003</v>
      </c>
      <c r="HH27" s="15" t="n">
        <f aca="false">1-HG27</f>
        <v>0.257540281052997</v>
      </c>
      <c r="HI27" s="15" t="n">
        <f aca="false">Inputs!$B$20*HH27</f>
        <v>0.00772620843158991</v>
      </c>
      <c r="HJ27" s="15" t="n">
        <f aca="false">0.8*(1-Inputs!$B$50)*(HG27-HI27)</f>
        <v>0.00176968501129551</v>
      </c>
      <c r="HK27" s="15" t="n">
        <f aca="false">HG27-HI27-HJ27</f>
        <v>0.732963825504118</v>
      </c>
      <c r="HL27" s="15" t="n">
        <f aca="false">HK27*(1-Inputs!$B$18*EXP(-Inputs!$B$21*Inputs!$B$14*Inputs!$B$17/(Inputs!$B$22*Inputs!$B$23*Inputs!$B$24*HE27*Inputs!$B$16))*Inputs!$B$19)</f>
        <v>0.026166062038912</v>
      </c>
      <c r="HM27" s="15" t="n">
        <f aca="false">(HK27-HL27)*(1-EXP(-Inputs!$B$25*Inputs!$B$14*Inputs!$B$17*Inputs!$B$26/(HE27*Inputs!$B$16/0.866)))</f>
        <v>0.00737386339219635</v>
      </c>
      <c r="HN27" s="15" t="n">
        <f aca="false">(HK27-HL27-HM27)*(1-Inputs!$B$19)</f>
        <v>0.00349711950036505</v>
      </c>
      <c r="HO27" s="15" t="n">
        <f aca="false">(HH27+HI27+HJ27+HL27+HM27+HN27)*(1+Inputs!$B$27)</f>
        <v>0.304985439085638</v>
      </c>
      <c r="HP27" s="15" t="n">
        <f aca="false">Inputs!$B$52/(1-HO27-G27)</f>
        <v>193193.591783929</v>
      </c>
      <c r="HQ27" s="15" t="n">
        <f aca="false">HP27/Inputs!$B$34</f>
        <v>321.989319639881</v>
      </c>
      <c r="HR27" s="15" t="n">
        <f aca="false">B27^2/HQ27</f>
        <v>11.9382841775597</v>
      </c>
      <c r="HS27" s="15" t="n">
        <f aca="false">Inputs!$B$54*H27/(Inputs!$B$35*F27+E27*H27^2/(PI()*HR27*Inputs!$B$36))</f>
        <v>19.9107804761866</v>
      </c>
      <c r="HT27" s="15" t="n">
        <f aca="false">EXP(-Inputs!$B$11*Inputs!$B$14*Inputs!$B$17/(Inputs!$B$51*HS27*Inputs!$B$16))</f>
        <v>0.759841684277747</v>
      </c>
      <c r="HU27" s="15" t="n">
        <f aca="false">Inputs!$B$50*Inputs!$B$18*HT27*Inputs!$B$19</f>
        <v>0.742459720210572</v>
      </c>
      <c r="HV27" s="15" t="n">
        <f aca="false">1-HU27</f>
        <v>0.257540279789428</v>
      </c>
      <c r="HW27" s="15" t="n">
        <f aca="false">Inputs!$B$20*HV27</f>
        <v>0.00772620839368283</v>
      </c>
      <c r="HX27" s="15" t="n">
        <f aca="false">0.8*(1-Inputs!$B$50)*(HU27-HW27)</f>
        <v>0.00176968501443026</v>
      </c>
      <c r="HY27" s="15" t="n">
        <f aca="false">HU27-HW27-HX27</f>
        <v>0.732963826802459</v>
      </c>
      <c r="HZ27" s="15" t="n">
        <f aca="false">HY27*(1-Inputs!$B$18*EXP(-Inputs!$B$21*Inputs!$B$14*Inputs!$B$17/(Inputs!$B$22*Inputs!$B$23*Inputs!$B$24*HS27*Inputs!$B$16))*Inputs!$B$19)</f>
        <v>0.0261660620141974</v>
      </c>
      <c r="IA27" s="15" t="n">
        <f aca="false">(HY27-HZ27)*(1-EXP(-Inputs!$B$25*Inputs!$B$14*Inputs!$B$17*Inputs!$B$26/(HS27*Inputs!$B$16/0.866)))</f>
        <v>0.00737386336054573</v>
      </c>
      <c r="IB27" s="15" t="n">
        <f aca="false">(HY27-HZ27-IA27)*(1-Inputs!$B$19)</f>
        <v>0.00349711950713858</v>
      </c>
      <c r="IC27" s="15" t="n">
        <f aca="false">(HV27+HW27+HX27+HZ27+IA27+IB27)*(1+Inputs!$B$27)</f>
        <v>0.304985437733661</v>
      </c>
      <c r="ID27" s="15" t="n">
        <f aca="false">Inputs!$B$52/(1-IC27-G27)</f>
        <v>193193.590237235</v>
      </c>
      <c r="IE27" s="15" t="n">
        <f aca="false">ID27/Inputs!$B$34</f>
        <v>321.989317062059</v>
      </c>
      <c r="IF27" s="15" t="n">
        <f aca="false">B27^2/IE27</f>
        <v>11.9382842731367</v>
      </c>
      <c r="IG27" s="15" t="n">
        <f aca="false">Inputs!$B$54*H27/(Inputs!$B$35*F27+E27*H27^2/(PI()*IF27*Inputs!$B$36))</f>
        <v>19.9107805168177</v>
      </c>
      <c r="IH27" s="15" t="n">
        <f aca="false">EXP(-Inputs!$B$11*Inputs!$B$14*Inputs!$B$17/(Inputs!$B$51*IG27*Inputs!$B$16))</f>
        <v>0.759841684703604</v>
      </c>
      <c r="II27" s="15" t="n">
        <f aca="false">Inputs!$B$50*Inputs!$B$18*IH27*Inputs!$B$19</f>
        <v>0.742459720626688</v>
      </c>
      <c r="IJ27" s="15" t="n">
        <f aca="false">1-II27</f>
        <v>0.257540279373312</v>
      </c>
      <c r="IK27" s="15" t="n">
        <f aca="false">Inputs!$B$20*IJ27</f>
        <v>0.00772620838119935</v>
      </c>
      <c r="IL27" s="15" t="n">
        <f aca="false">0.8*(1-Inputs!$B$50)*(II27-IK27)</f>
        <v>0.00176968501546258</v>
      </c>
      <c r="IM27" s="15" t="n">
        <f aca="false">II27-IK27-IL27</f>
        <v>0.732963827230026</v>
      </c>
      <c r="IN27" s="15" t="n">
        <f aca="false">IM27*(1-Inputs!$B$18*EXP(-Inputs!$B$21*Inputs!$B$14*Inputs!$B$17/(Inputs!$B$22*Inputs!$B$23*Inputs!$B$24*IG27*Inputs!$B$16))*Inputs!$B$19)</f>
        <v>0.0261660620060585</v>
      </c>
      <c r="IO27" s="15" t="n">
        <f aca="false">(IM27-IN27)*(1-EXP(-Inputs!$B$25*Inputs!$B$14*Inputs!$B$17*Inputs!$B$26/(IG27*Inputs!$B$16/0.866)))</f>
        <v>0.00737386335012259</v>
      </c>
      <c r="IP27" s="15" t="n">
        <f aca="false">(IM27-IN27-IO27)*(1-Inputs!$B$19)</f>
        <v>0.00349711950936923</v>
      </c>
      <c r="IQ27" s="15" t="n">
        <f aca="false">(IJ27+IK27+IL27+IN27+IO27+IP27)*(1+Inputs!$B$27)</f>
        <v>0.304985437288431</v>
      </c>
      <c r="IR27" s="15" t="n">
        <f aca="false">Inputs!$B$52/(1-IQ27-G27)</f>
        <v>193193.589727882</v>
      </c>
      <c r="IS27" s="15" t="n">
        <f aca="false">IR27/Inputs!$B$34</f>
        <v>321.989316213136</v>
      </c>
      <c r="IT27" s="15" t="n">
        <f aca="false">B27^2/IS27</f>
        <v>11.9382843046119</v>
      </c>
      <c r="IU27" s="15" t="n">
        <f aca="false">Inputs!$B$54*H27/(Inputs!$B$35*F27+E27*H27^2/(PI()*IT27*Inputs!$B$36))</f>
        <v>19.9107805301982</v>
      </c>
      <c r="IV27" s="15" t="n">
        <f aca="false">EXP(-Inputs!$B$11*Inputs!$B$14*Inputs!$B$17/(Inputs!$B$51*IU27*Inputs!$B$16))</f>
        <v>0.759841684843847</v>
      </c>
      <c r="IW27" s="15" t="n">
        <f aca="false">Inputs!$B$50*Inputs!$B$18*IV27*Inputs!$B$19</f>
        <v>0.742459720763723</v>
      </c>
      <c r="IX27" s="15" t="n">
        <f aca="false">1-IW27</f>
        <v>0.257540279236277</v>
      </c>
      <c r="IY27" s="15" t="n">
        <f aca="false">Inputs!$B$20*IX27</f>
        <v>0.00772620837708832</v>
      </c>
      <c r="IZ27" s="15" t="n">
        <f aca="false">0.8*(1-Inputs!$B$50)*(IW27-IY27)</f>
        <v>0.00176968501580255</v>
      </c>
      <c r="JA27" s="15" t="n">
        <f aca="false">IW27-IY27-IZ27</f>
        <v>0.732963827370832</v>
      </c>
      <c r="JB27" s="15" t="n">
        <f aca="false">JA27*(1-Inputs!$B$18*EXP(-Inputs!$B$21*Inputs!$B$14*Inputs!$B$17/(Inputs!$B$22*Inputs!$B$23*Inputs!$B$24*IU27*Inputs!$B$16))*Inputs!$B$19)</f>
        <v>0.0261660620033781</v>
      </c>
      <c r="JC27" s="15" t="n">
        <f aca="false">(JA27-JB27)*(1-EXP(-Inputs!$B$25*Inputs!$B$14*Inputs!$B$17*Inputs!$B$26/(IU27*Inputs!$B$16/0.866)))</f>
        <v>0.00737386334669004</v>
      </c>
      <c r="JD27" s="15" t="n">
        <f aca="false">(JA27-JB27-JC27)*(1-Inputs!$B$19)</f>
        <v>0.00349711951010382</v>
      </c>
      <c r="JE27" s="15" t="n">
        <f aca="false">(IX27+IY27+IZ27+JB27+JC27+JD27)*(1+Inputs!$B$27)</f>
        <v>0.304985437141808</v>
      </c>
      <c r="JF27" s="15" t="n">
        <f aca="false">Inputs!$B$52/(1-JE27-G27)</f>
        <v>193193.589560142</v>
      </c>
      <c r="JG27" s="15" t="n">
        <f aca="false">JF27/Inputs!$B$34</f>
        <v>321.98931593357</v>
      </c>
      <c r="JH27" s="15" t="n">
        <f aca="false">B27^2/JG27</f>
        <v>11.9382843149773</v>
      </c>
      <c r="JI27" s="15" t="n">
        <f aca="false">Inputs!$B$54*H27/(Inputs!$B$35*F27+E27*H27^2/(PI()*JH27*Inputs!$B$36))</f>
        <v>19.9107805346046</v>
      </c>
      <c r="JJ27" s="15" t="n">
        <f aca="false">EXP(-Inputs!$B$11*Inputs!$B$14*Inputs!$B$17/(Inputs!$B$51*JI27*Inputs!$B$16))</f>
        <v>0.759841684890031</v>
      </c>
      <c r="JK27" s="15" t="n">
        <f aca="false">Inputs!$B$50*Inputs!$B$18*JJ27*Inputs!$B$19</f>
        <v>0.742459720808851</v>
      </c>
      <c r="JL27" s="15" t="n">
        <f aca="false">1-JK27</f>
        <v>0.257540279191149</v>
      </c>
      <c r="JM27" s="15" t="n">
        <f aca="false">Inputs!$B$20*JL27</f>
        <v>0.00772620837573448</v>
      </c>
      <c r="JN27" s="15" t="n">
        <f aca="false">0.8*(1-Inputs!$B$50)*(JK27-JM27)</f>
        <v>0.0017696850159145</v>
      </c>
      <c r="JO27" s="15" t="n">
        <f aca="false">JK27-JM27-JN27</f>
        <v>0.732963827417202</v>
      </c>
      <c r="JP27" s="15" t="n">
        <f aca="false">JO27*(1-Inputs!$B$18*EXP(-Inputs!$B$21*Inputs!$B$14*Inputs!$B$17/(Inputs!$B$22*Inputs!$B$23*Inputs!$B$24*JI27*Inputs!$B$16))*Inputs!$B$19)</f>
        <v>0.0261660620024955</v>
      </c>
      <c r="JQ27" s="15" t="n">
        <f aca="false">(JO27-JP27)*(1-EXP(-Inputs!$B$25*Inputs!$B$14*Inputs!$B$17*Inputs!$B$26/(JI27*Inputs!$B$16/0.866)))</f>
        <v>0.0073738633455597</v>
      </c>
      <c r="JR27" s="15" t="n">
        <f aca="false">(JO27-JP27-JQ27)*(1-Inputs!$B$19)</f>
        <v>0.00349711951034574</v>
      </c>
      <c r="JS27" s="15" t="n">
        <f aca="false">(JL27+JM27+JN27+JP27+JQ27+JR27)*(1+Inputs!$B$27)</f>
        <v>0.304985437093523</v>
      </c>
      <c r="JT27" s="15" t="n">
        <f aca="false">Inputs!$B$52/(1-JS27-G27)</f>
        <v>193193.589504902</v>
      </c>
      <c r="JU27" s="15" t="n">
        <f aca="false">JT27/Inputs!$B$34</f>
        <v>321.989315841504</v>
      </c>
      <c r="JV27" s="15" t="n">
        <f aca="false">B27^2/JU27</f>
        <v>11.9382843183908</v>
      </c>
      <c r="JW27" s="15" t="n">
        <f aca="false">Inputs!$B$54*H27/(Inputs!$B$35*F27+E27*H27^2/(PI()*JV27*Inputs!$B$36))</f>
        <v>19.9107805360557</v>
      </c>
      <c r="JX27" s="15" t="n">
        <f aca="false">EXP(-Inputs!$B$11*Inputs!$B$14*Inputs!$B$17/(Inputs!$B$51*JW27*Inputs!$B$16))</f>
        <v>0.759841684905241</v>
      </c>
      <c r="JY27" s="15" t="n">
        <f aca="false">Inputs!$B$50*Inputs!$B$18*JX27*Inputs!$B$19</f>
        <v>0.742459720823712</v>
      </c>
      <c r="JZ27" s="15" t="n">
        <f aca="false">1-JY27</f>
        <v>0.257540279176288</v>
      </c>
      <c r="KA27" s="15" t="n">
        <f aca="false">Inputs!$B$20*JZ27</f>
        <v>0.00772620837528864</v>
      </c>
      <c r="KB27" s="15" t="n">
        <f aca="false">0.8*(1-Inputs!$B$50)*(JY27-KA27)</f>
        <v>0.00176968501595137</v>
      </c>
      <c r="KC27" s="15" t="n">
        <f aca="false">JY27-KA27-KB27</f>
        <v>0.732963827432472</v>
      </c>
      <c r="KD27" s="15" t="n">
        <f aca="false">KC27*(1-Inputs!$B$18*EXP(-Inputs!$B$21*Inputs!$B$14*Inputs!$B$17/(Inputs!$B$22*Inputs!$B$23*Inputs!$B$24*JW27*Inputs!$B$16))*Inputs!$B$19)</f>
        <v>0.0261660620022048</v>
      </c>
      <c r="KE27" s="15" t="n">
        <f aca="false">(KC27-KD27)*(1-EXP(-Inputs!$B$25*Inputs!$B$14*Inputs!$B$17*Inputs!$B$26/(JW27*Inputs!$B$16/0.866)))</f>
        <v>0.00737386334518743</v>
      </c>
      <c r="KF27" s="15" t="n">
        <f aca="false">(KC27-KD27-KE27)*(1-Inputs!$B$19)</f>
        <v>0.0034971195104254</v>
      </c>
      <c r="KG27" s="15" t="n">
        <f aca="false">(JZ27+KA27+KB27+KD27+KE27+KF27)*(1+Inputs!$B$27)</f>
        <v>0.304985437077622</v>
      </c>
      <c r="KH27" s="15" t="n">
        <f aca="false">Inputs!$B$52/(1-KG27-G27)</f>
        <v>193193.589486711</v>
      </c>
      <c r="KI27" s="15" t="n">
        <f aca="false">KH27/Inputs!$B$34</f>
        <v>321.989315811185</v>
      </c>
      <c r="KJ27" s="15" t="n">
        <f aca="false">B27^2/KI27</f>
        <v>11.9382843195149</v>
      </c>
      <c r="KK27" s="15" t="n">
        <f aca="false">Inputs!$B$54*H27/(Inputs!$B$35*F27+E27*H27^2/(PI()*KJ27*Inputs!$B$36))</f>
        <v>19.9107805365336</v>
      </c>
      <c r="KL27" s="15" t="n">
        <f aca="false">EXP(-Inputs!$B$11*Inputs!$B$14*Inputs!$B$17/(Inputs!$B$51*KK27*Inputs!$B$16))</f>
        <v>0.759841684910249</v>
      </c>
      <c r="KM27" s="15" t="n">
        <f aca="false">Inputs!$B$50*Inputs!$B$18*KL27*Inputs!$B$19</f>
        <v>0.742459720828606</v>
      </c>
      <c r="KN27" s="15" t="n">
        <f aca="false">1-KM27</f>
        <v>0.257540279171394</v>
      </c>
      <c r="KO27" s="15" t="n">
        <f aca="false">Inputs!$B$20*KN27</f>
        <v>0.00772620837514182</v>
      </c>
      <c r="KP27" s="15" t="n">
        <f aca="false">0.8*(1-Inputs!$B$50)*(KM27-KO27)</f>
        <v>0.00176968501596351</v>
      </c>
      <c r="KQ27" s="15" t="n">
        <f aca="false">KM27-KO27-KP27</f>
        <v>0.732963827437501</v>
      </c>
      <c r="KR27" s="15" t="n">
        <f aca="false">KQ27*(1-Inputs!$B$18*EXP(-Inputs!$B$21*Inputs!$B$14*Inputs!$B$17/(Inputs!$B$22*Inputs!$B$23*Inputs!$B$24*KK27*Inputs!$B$16))*Inputs!$B$19)</f>
        <v>0.0261660620021091</v>
      </c>
      <c r="KS27" s="15" t="n">
        <f aca="false">(KQ27-KR27)*(1-EXP(-Inputs!$B$25*Inputs!$B$14*Inputs!$B$17*Inputs!$B$26/(KK27*Inputs!$B$16/0.866)))</f>
        <v>0.0073738633450648</v>
      </c>
      <c r="KT27" s="15" t="n">
        <f aca="false">(KQ27-KR27-KS27)*(1-Inputs!$B$19)</f>
        <v>0.00349711951045164</v>
      </c>
      <c r="KU27" s="15" t="n">
        <f aca="false">(KN27+KO27+KP27+KR27+KS27+KT27)*(1+Inputs!$B$27)</f>
        <v>0.304985437072385</v>
      </c>
      <c r="KV27" s="15" t="n">
        <f aca="false">Inputs!$B$52/(1-KU27-G27)</f>
        <v>193193.589480721</v>
      </c>
      <c r="KW27" s="15" t="n">
        <f aca="false">KV27/Inputs!$B$34</f>
        <v>321.989315801201</v>
      </c>
      <c r="KX27" s="15" t="n">
        <f aca="false">B27^2/KW27</f>
        <v>11.9382843198851</v>
      </c>
      <c r="KY27" s="15" t="n">
        <f aca="false">Inputs!$B$54*H27/(Inputs!$B$35*F27+E27*H27^2/(PI()*KX27*Inputs!$B$36))</f>
        <v>19.910780536691</v>
      </c>
      <c r="KZ27" s="15" t="n">
        <f aca="false">EXP(-Inputs!$B$11*Inputs!$B$14*Inputs!$B$17/(Inputs!$B$51*KY27*Inputs!$B$16))</f>
        <v>0.759841684911899</v>
      </c>
      <c r="LA27" s="15" t="n">
        <f aca="false">Inputs!$B$50*Inputs!$B$18*KZ27*Inputs!$B$19</f>
        <v>0.742459720830218</v>
      </c>
      <c r="LB27" s="15" t="n">
        <f aca="false">1-LA27</f>
        <v>0.257540279169782</v>
      </c>
      <c r="LC27" s="15" t="n">
        <f aca="false">Inputs!$B$20*LB27</f>
        <v>0.00772620837509347</v>
      </c>
      <c r="LD27" s="15" t="n">
        <f aca="false">0.8*(1-Inputs!$B$50)*(LA27-LC27)</f>
        <v>0.00176968501596751</v>
      </c>
      <c r="LE27" s="15" t="n">
        <f aca="false">LA27-LC27-LD27</f>
        <v>0.732963827439157</v>
      </c>
      <c r="LF27" s="15" t="n">
        <f aca="false">LE27*(1-Inputs!$B$18*EXP(-Inputs!$B$21*Inputs!$B$14*Inputs!$B$17/(Inputs!$B$22*Inputs!$B$23*Inputs!$B$24*KY27*Inputs!$B$16))*Inputs!$B$19)</f>
        <v>0.0261660620020776</v>
      </c>
      <c r="LG27" s="15" t="n">
        <f aca="false">(LE27-LF27)*(1-EXP(-Inputs!$B$25*Inputs!$B$14*Inputs!$B$17*Inputs!$B$26/(KY27*Inputs!$B$16/0.866)))</f>
        <v>0.00737386334502449</v>
      </c>
      <c r="LH27" s="15" t="n">
        <f aca="false">(LE27-LF27-LG27)*(1-Inputs!$B$19)</f>
        <v>0.00349711951046028</v>
      </c>
      <c r="LI27" s="15" t="n">
        <f aca="false">(LB27+LC27+LD27+LF27+LG27+LH27)*(1+Inputs!$B$27)</f>
        <v>0.304985437070661</v>
      </c>
      <c r="LJ27" s="15" t="n">
        <f aca="false">Inputs!$B$52/(1-LI27-G27)</f>
        <v>193193.589478748</v>
      </c>
      <c r="LK27" s="15" t="n">
        <f aca="false">LJ27/Inputs!$B$34</f>
        <v>321.989315797913</v>
      </c>
      <c r="LL27" s="15" t="n">
        <f aca="false">B27^2/LK27</f>
        <v>11.938284320007</v>
      </c>
      <c r="LM27" s="15" t="n">
        <f aca="false">Inputs!$B$54*H27/(Inputs!$B$35*F27+E27*H27^2/(PI()*LL27*Inputs!$B$36))</f>
        <v>19.9107805367428</v>
      </c>
      <c r="LN27" s="15" t="n">
        <f aca="false">EXP(-Inputs!$B$11*Inputs!$B$14*Inputs!$B$17/(Inputs!$B$51*LM27*Inputs!$B$16))</f>
        <v>0.759841684912442</v>
      </c>
      <c r="LO27" s="15" t="n">
        <f aca="false">Inputs!$B$50*Inputs!$B$18*LN27*Inputs!$B$19</f>
        <v>0.742459720830749</v>
      </c>
      <c r="LP27" s="15" t="n">
        <f aca="false">1-LO27</f>
        <v>0.257540279169252</v>
      </c>
      <c r="LQ27" s="15" t="n">
        <f aca="false">Inputs!$B$20*LP27</f>
        <v>0.00772620837507755</v>
      </c>
      <c r="LR27" s="15" t="n">
        <f aca="false">0.8*(1-Inputs!$B$50)*(LO27-LQ27)</f>
        <v>0.00176968501596883</v>
      </c>
      <c r="LS27" s="15" t="n">
        <f aca="false">LO27-LQ27-LR27</f>
        <v>0.732963827439702</v>
      </c>
      <c r="LT27" s="15" t="n">
        <f aca="false">LS27*(1-Inputs!$B$18*EXP(-Inputs!$B$21*Inputs!$B$14*Inputs!$B$17/(Inputs!$B$22*Inputs!$B$23*Inputs!$B$24*LM27*Inputs!$B$16))*Inputs!$B$19)</f>
        <v>0.0261660620020671</v>
      </c>
      <c r="LU27" s="15" t="n">
        <f aca="false">(LS27-LT27)*(1-EXP(-Inputs!$B$25*Inputs!$B$14*Inputs!$B$17*Inputs!$B$26/(LM27*Inputs!$B$16/0.866)))</f>
        <v>0.00737386334501115</v>
      </c>
      <c r="LV27" s="15" t="n">
        <f aca="false">(LS27-LT27-LU27)*(1-Inputs!$B$19)</f>
        <v>0.00349711951046312</v>
      </c>
      <c r="LW27" s="15" t="n">
        <f aca="false">(LP27+LQ27+LR27+LT27+LU27+LV27)*(1+Inputs!$B$27)</f>
        <v>0.304985437070093</v>
      </c>
      <c r="LX27" s="15" t="n">
        <f aca="false">Inputs!$B$52/(1-LW27-G27)</f>
        <v>193193.589478098</v>
      </c>
      <c r="LY27" s="15" t="n">
        <f aca="false">LX27/Inputs!$B$34</f>
        <v>321.98931579683</v>
      </c>
      <c r="LZ27" s="15" t="n">
        <f aca="false">B27^2/LY27</f>
        <v>11.9382843200472</v>
      </c>
      <c r="MA27" s="15" t="n">
        <f aca="false">Inputs!$B$54*H27/(Inputs!$B$35*F27+E27*H27^2/(PI()*LZ27*Inputs!$B$36))</f>
        <v>19.9107805367599</v>
      </c>
      <c r="MB27" s="15" t="n">
        <f aca="false">EXP(-Inputs!$B$11*Inputs!$B$14*Inputs!$B$17/(Inputs!$B$51*MA27*Inputs!$B$16))</f>
        <v>0.759841684912621</v>
      </c>
      <c r="MC27" s="15" t="n">
        <f aca="false">Inputs!$B$50*Inputs!$B$18*MB27*Inputs!$B$19</f>
        <v>0.742459720830923</v>
      </c>
      <c r="MD27" s="15" t="n">
        <f aca="false">1-MC27</f>
        <v>0.257540279169077</v>
      </c>
      <c r="ME27" s="15" t="n">
        <f aca="false">Inputs!$B$20*MD27</f>
        <v>0.0077262083750723</v>
      </c>
      <c r="MF27" s="15" t="n">
        <f aca="false">0.8*(1-Inputs!$B$50)*(MC27-ME27)</f>
        <v>0.00176968501596926</v>
      </c>
      <c r="MG27" s="15" t="n">
        <f aca="false">MC27-ME27-MF27</f>
        <v>0.732963827439882</v>
      </c>
      <c r="MH27" s="15" t="n">
        <f aca="false">MG27*(1-Inputs!$B$18*EXP(-Inputs!$B$21*Inputs!$B$14*Inputs!$B$17/(Inputs!$B$22*Inputs!$B$23*Inputs!$B$24*MA27*Inputs!$B$16))*Inputs!$B$19)</f>
        <v>0.0261660620020637</v>
      </c>
      <c r="MI27" s="15" t="n">
        <f aca="false">(MG27-MH27)*(1-EXP(-Inputs!$B$25*Inputs!$B$14*Inputs!$B$17*Inputs!$B$26/(MA27*Inputs!$B$16/0.866)))</f>
        <v>0.00737386334500678</v>
      </c>
      <c r="MJ27" s="15" t="n">
        <f aca="false">(MG27-MH27-MI27)*(1-Inputs!$B$19)</f>
        <v>0.00349711951046406</v>
      </c>
      <c r="MK27" s="15" t="n">
        <f aca="false">(MD27+ME27+MF27+MH27+MI27+MJ27)*(1+Inputs!$B$27)</f>
        <v>0.304985437069906</v>
      </c>
      <c r="ML27" s="15" t="n">
        <f aca="false">Inputs!$B$52/(1-MK27-G27)</f>
        <v>193193.589477884</v>
      </c>
      <c r="MM27" s="15" t="n">
        <f aca="false">ML27/Inputs!$B$34</f>
        <v>321.989315796473</v>
      </c>
      <c r="MN27" s="15" t="n">
        <f aca="false">B27^2/MM27</f>
        <v>11.9382843200604</v>
      </c>
      <c r="MO27" s="15" t="n">
        <f aca="false">Inputs!$B$54*H27/(Inputs!$B$35*F27+E27*H27^2/(PI()*MN27*Inputs!$B$36))</f>
        <v>19.9107805367655</v>
      </c>
      <c r="MP27" s="15" t="n">
        <f aca="false">EXP(-Inputs!$B$11*Inputs!$B$14*Inputs!$B$17/(Inputs!$B$51*MO27*Inputs!$B$16))</f>
        <v>0.75984168491268</v>
      </c>
      <c r="MQ27" s="15" t="n">
        <f aca="false">Inputs!$B$50*Inputs!$B$18*MP27*Inputs!$B$19</f>
        <v>0.742459720830981</v>
      </c>
      <c r="MR27" s="15" t="n">
        <f aca="false">1-MQ27</f>
        <v>0.257540279169019</v>
      </c>
      <c r="MS27" s="15" t="n">
        <f aca="false">Inputs!$B$20*MR27</f>
        <v>0.00772620837507057</v>
      </c>
      <c r="MT27" s="15" t="n">
        <f aca="false">0.8*(1-Inputs!$B$50)*(MQ27-MS27)</f>
        <v>0.00176968501596941</v>
      </c>
      <c r="MU27" s="15" t="n">
        <f aca="false">MQ27-MS27-MT27</f>
        <v>0.732963827439941</v>
      </c>
      <c r="MV27" s="15" t="n">
        <f aca="false">MU27*(1-Inputs!$B$18*EXP(-Inputs!$B$21*Inputs!$B$14*Inputs!$B$17/(Inputs!$B$22*Inputs!$B$23*Inputs!$B$24*MO27*Inputs!$B$16))*Inputs!$B$19)</f>
        <v>0.0261660620020626</v>
      </c>
      <c r="MW27" s="15" t="n">
        <f aca="false">(MU27-MV27)*(1-EXP(-Inputs!$B$25*Inputs!$B$14*Inputs!$B$17*Inputs!$B$26/(MO27*Inputs!$B$16/0.866)))</f>
        <v>0.00737386334500537</v>
      </c>
      <c r="MX27" s="15" t="n">
        <f aca="false">(MU27-MV27-MW27)*(1-Inputs!$B$19)</f>
        <v>0.00349711951046437</v>
      </c>
      <c r="MY27" s="15" t="n">
        <f aca="false">(MR27+MS27+MT27+MV27+MW27+MX27)*(1+Inputs!$B$27)</f>
        <v>0.304985437069844</v>
      </c>
      <c r="MZ27" s="15" t="n">
        <f aca="false">Inputs!$B$52/(1-MY27-G27)</f>
        <v>193193.589477813</v>
      </c>
      <c r="NA27" s="15" t="n">
        <f aca="false">MZ27/Inputs!$B$34</f>
        <v>321.989315796356</v>
      </c>
      <c r="NB27" s="15" t="n">
        <f aca="false">B27^2/NA27</f>
        <v>11.9382843200647</v>
      </c>
      <c r="NC27" s="15" t="n">
        <f aca="false">Inputs!$B$54*H27/(Inputs!$B$35*F27+E27*H27^2/(PI()*NB27*Inputs!$B$36))</f>
        <v>19.9107805367674</v>
      </c>
      <c r="ND27" s="15" t="n">
        <f aca="false">EXP(-Inputs!$B$11*Inputs!$B$14*Inputs!$B$17/(Inputs!$B$51*NC27*Inputs!$B$16))</f>
        <v>0.759841684912699</v>
      </c>
      <c r="NE27" s="15" t="n">
        <f aca="false">Inputs!$B$50*Inputs!$B$18*ND27*Inputs!$B$19</f>
        <v>0.742459720831</v>
      </c>
      <c r="NF27" s="15" t="n">
        <f aca="false">1-NE27</f>
        <v>0.257540279169</v>
      </c>
      <c r="NG27" s="15" t="n">
        <f aca="false">Inputs!$B$20*NF27</f>
        <v>0.00772620837507</v>
      </c>
      <c r="NH27" s="15" t="n">
        <f aca="false">0.8*(1-Inputs!$B$50)*(NE27-NG27)</f>
        <v>0.00176968501596945</v>
      </c>
      <c r="NI27" s="15" t="n">
        <f aca="false">NE27-NG27-NH27</f>
        <v>0.732963827439961</v>
      </c>
      <c r="NJ27" s="15" t="n">
        <f aca="false">NI27*(1-Inputs!$B$18*EXP(-Inputs!$B$21*Inputs!$B$14*Inputs!$B$17/(Inputs!$B$22*Inputs!$B$23*Inputs!$B$24*NC27*Inputs!$B$16))*Inputs!$B$19)</f>
        <v>0.0261660620020622</v>
      </c>
      <c r="NK27" s="15" t="n">
        <f aca="false">(NI27-NJ27)*(1-EXP(-Inputs!$B$25*Inputs!$B$14*Inputs!$B$17*Inputs!$B$26/(NC27*Inputs!$B$16/0.866)))</f>
        <v>0.00737386334500487</v>
      </c>
      <c r="NL27" s="15" t="n">
        <f aca="false">(NI27-NJ27-NK27)*(1-Inputs!$B$19)</f>
        <v>0.00349711951046447</v>
      </c>
      <c r="NM27" s="15" t="n">
        <f aca="false">(NF27+NG27+NH27+NJ27+NK27+NL27)*(1+Inputs!$B$27)</f>
        <v>0.304985437069824</v>
      </c>
      <c r="NN27" s="15" t="n">
        <f aca="false">Inputs!$B$52/(1-NM27-G27)</f>
        <v>193193.58947779</v>
      </c>
    </row>
    <row r="28" customFormat="false" ht="15" hidden="false" customHeight="false" outlineLevel="0" collapsed="false">
      <c r="A28" s="21" t="s">
        <v>501</v>
      </c>
      <c r="B28" s="21" t="n">
        <v>62</v>
      </c>
      <c r="C28" s="22" t="n">
        <v>0.2</v>
      </c>
      <c r="D28" s="23" t="n">
        <f aca="false">B28*C28</f>
        <v>12.4</v>
      </c>
      <c r="E28" s="24" t="n">
        <f aca="false">IF(C28=0,1,(1+0.45*C28)/(1.04+2.81*C28))</f>
        <v>0.68039950062422</v>
      </c>
      <c r="F28" s="24" t="n">
        <f aca="false">1+Inputs!$B$42*D28</f>
        <v>1.062</v>
      </c>
      <c r="G28" s="25" t="n">
        <f aca="false">Inputs!$B$31+Inputs!$B$43*(B28/Inputs!$B$32-1)+Inputs!$B$44+Inputs!$B$45*D28</f>
        <v>0.5280025</v>
      </c>
      <c r="H28" s="22" t="n">
        <f aca="false">Inputs!$B$38</f>
        <v>0.5</v>
      </c>
      <c r="I28" s="23" t="n">
        <f aca="false">Inputs!$B$40</f>
        <v>2.4</v>
      </c>
      <c r="J28" s="26" t="n">
        <f aca="false">NN28/Inputs!$B$34</f>
        <v>323.258465910792</v>
      </c>
      <c r="K28" s="23" t="n">
        <f aca="false">B28^2/J28</f>
        <v>11.8914132354412</v>
      </c>
      <c r="L28" s="23" t="n">
        <f aca="false">2*K28</f>
        <v>23.7828264708823</v>
      </c>
      <c r="M28" s="22" t="n">
        <f aca="false">NC28</f>
        <v>20.0205269979845</v>
      </c>
      <c r="N28" s="23" t="n">
        <f aca="false">B28/SQRT(E28)</f>
        <v>75.1639675532673</v>
      </c>
      <c r="O28" s="24" t="n">
        <f aca="false">NM28</f>
        <v>0.303788448315007</v>
      </c>
      <c r="P28" s="23" t="n">
        <f aca="false">NN28/1000</f>
        <v>193.955079546475</v>
      </c>
      <c r="Q28" s="23" t="n">
        <f aca="false">G28*NN28/1000</f>
        <v>102.408766888238</v>
      </c>
      <c r="R28" s="23" t="n">
        <f aca="false">NM28*NN28/1000</f>
        <v>58.9213126582375</v>
      </c>
      <c r="S28" s="23" t="n">
        <f aca="false">NM28*NN28/Inputs!$B$28/1000</f>
        <v>78.5617502109833</v>
      </c>
      <c r="T28" s="27" t="n">
        <f aca="false">R28/Sweep!$R$5-1</f>
        <v>-0.0572080343419181</v>
      </c>
      <c r="U28" s="27" t="n">
        <f aca="false">R28/SUMIFS(Sweep!$R:$R,Sweep!$A:$A,"Conventional",Sweep!$B:$B,B28)-1</f>
        <v>-0.0880451669140483</v>
      </c>
      <c r="V28" s="26" t="n">
        <f aca="false">2*0.54*(J28/2)^1.5/SQRT(L28)*Inputs!$B$46*Inputs!$B$47</f>
        <v>42.5484261829323</v>
      </c>
      <c r="W28" s="28" t="n">
        <f aca="false">MIN(1,V28/S28)</f>
        <v>0.541592136996254</v>
      </c>
      <c r="X28" s="26" t="n">
        <f aca="false">1.23*SQRT(2*Inputs!$B$41*NN28*Inputs!$B$49/(1.225*J28*I28))/0.5144</f>
        <v>133.62967568068</v>
      </c>
      <c r="Y28" s="29" t="n">
        <f aca="false">(11000+6341.6*LN(0.36392/(2*Inputs!$B$50*Inputs!$B$18*(1+ND28)/2*Inputs!$B$34*Inputs!$B$49/((Inputs!$B$12*295.07)^2*H28))))/0.3048</f>
        <v>38530.6263045192</v>
      </c>
      <c r="Z28" s="26" t="n">
        <f aca="false">NN28-MZ28</f>
        <v>-6.51925802230835E-009</v>
      </c>
      <c r="AA28" s="30" t="str">
        <f aca="false">IF(ABS(NN28-MZ28)&lt;10,"Yes","No")</f>
        <v>Yes</v>
      </c>
      <c r="AC28" s="15" t="n">
        <f aca="false">Inputs!$B$52/(1-0.3154-G28)/Inputs!$B$34</f>
        <v>347.22776544964</v>
      </c>
      <c r="AD28" s="15" t="n">
        <f aca="false">B28^2/AC28</f>
        <v>11.0705432643678</v>
      </c>
      <c r="AE28" s="15" t="n">
        <f aca="false">Inputs!$B$54*H28/(Inputs!$B$35*F28+E28*H28^2/(PI()*AD28*Inputs!$B$36))</f>
        <v>19.6709212697544</v>
      </c>
      <c r="AF28" s="15" t="n">
        <f aca="false">EXP(-Inputs!$B$11*Inputs!$B$14*Inputs!$B$17/(Inputs!$B$51*AE28*Inputs!$B$16))</f>
        <v>0.757301297866418</v>
      </c>
      <c r="AG28" s="15" t="n">
        <f aca="false">Inputs!$B$50*Inputs!$B$18*AF28*Inputs!$B$19</f>
        <v>0.739977447096043</v>
      </c>
      <c r="AH28" s="15" t="n">
        <f aca="false">1-AG28</f>
        <v>0.260022552903957</v>
      </c>
      <c r="AI28" s="15" t="n">
        <f aca="false">Inputs!$B$20*AH28</f>
        <v>0.00780067658711872</v>
      </c>
      <c r="AJ28" s="15" t="n">
        <f aca="false">0.8*(1-Inputs!$B$50)*(AG28-AI28)</f>
        <v>0.00176352682686196</v>
      </c>
      <c r="AK28" s="15" t="n">
        <f aca="false">AG28-AI28-AJ28</f>
        <v>0.730413243682062</v>
      </c>
      <c r="AL28" s="15" t="n">
        <f aca="false">AK28*(1-Inputs!$B$18*EXP(-Inputs!$B$21*Inputs!$B$14*Inputs!$B$17/(Inputs!$B$22*Inputs!$B$23*Inputs!$B$24*AE28*Inputs!$B$16))*Inputs!$B$19)</f>
        <v>0.0262143471203872</v>
      </c>
      <c r="AM28" s="15" t="n">
        <f aca="false">(AK28-AL28)*(1-EXP(-Inputs!$B$25*Inputs!$B$14*Inputs!$B$17*Inputs!$B$26/(AE28*Inputs!$B$16/0.866)))</f>
        <v>0.00743585859388629</v>
      </c>
      <c r="AN28" s="15" t="n">
        <f aca="false">(AK28-AL28-AM28)*(1-Inputs!$B$19)</f>
        <v>0.00348381518983895</v>
      </c>
      <c r="AO28" s="15" t="n">
        <f aca="false">(AH28+AI28+AJ28+AL28+AM28+AN28)*(1+Inputs!$B$27)</f>
        <v>0.307640939553717</v>
      </c>
      <c r="AP28" s="15" t="n">
        <f aca="false">Inputs!$B$52/(1-AO28-G28)</f>
        <v>198501.355293711</v>
      </c>
      <c r="AQ28" s="15" t="n">
        <f aca="false">AP28/Inputs!$B$34</f>
        <v>330.835592156185</v>
      </c>
      <c r="AR28" s="15" t="n">
        <f aca="false">B28^2/AQ28</f>
        <v>11.6190642456186</v>
      </c>
      <c r="AS28" s="15" t="n">
        <f aca="false">Inputs!$B$54*H28/(Inputs!$B$35*F28+E28*H28^2/(PI()*AR28*Inputs!$B$36))</f>
        <v>19.9086745822798</v>
      </c>
      <c r="AT28" s="15" t="n">
        <f aca="false">EXP(-Inputs!$B$11*Inputs!$B$14*Inputs!$B$17/(Inputs!$B$51*AS28*Inputs!$B$16))</f>
        <v>0.759819610181879</v>
      </c>
      <c r="AU28" s="15" t="n">
        <f aca="false">Inputs!$B$50*Inputs!$B$18*AT28*Inputs!$B$19</f>
        <v>0.742438151076658</v>
      </c>
      <c r="AV28" s="15" t="n">
        <f aca="false">1-AU28</f>
        <v>0.257561848923342</v>
      </c>
      <c r="AW28" s="15" t="n">
        <f aca="false">Inputs!$B$20*AV28</f>
        <v>0.00772685546770026</v>
      </c>
      <c r="AX28" s="15" t="n">
        <f aca="false">0.8*(1-Inputs!$B$50)*(AU28-AW28)</f>
        <v>0.0017696315042941</v>
      </c>
      <c r="AY28" s="15" t="n">
        <f aca="false">AU28-AW28-AX28</f>
        <v>0.732941664104664</v>
      </c>
      <c r="AZ28" s="15" t="n">
        <f aca="false">AY28*(1-Inputs!$B$18*EXP(-Inputs!$B$21*Inputs!$B$14*Inputs!$B$17/(Inputs!$B$22*Inputs!$B$23*Inputs!$B$24*AS28*Inputs!$B$16))*Inputs!$B$19)</f>
        <v>0.0261664838720159</v>
      </c>
      <c r="BA28" s="15" t="n">
        <f aca="false">(AY28-AZ28)*(1-EXP(-Inputs!$B$25*Inputs!$B$14*Inputs!$B$17*Inputs!$B$26/(AS28*Inputs!$B$16/0.866)))</f>
        <v>0.0073744036230804</v>
      </c>
      <c r="BB28" s="15" t="n">
        <f aca="false">(AY28-AZ28-BA28)*(1-Inputs!$B$19)</f>
        <v>0.00349700388304784</v>
      </c>
      <c r="BC28" s="15" t="n">
        <f aca="false">(AV28+AW28+AX28+AZ28+BA28+BB28)*(1+Inputs!$B$27)</f>
        <v>0.305008515955301</v>
      </c>
      <c r="BD28" s="15" t="n">
        <f aca="false">Inputs!$B$52/(1-BC28-G28)</f>
        <v>195372.168928623</v>
      </c>
      <c r="BE28" s="15" t="n">
        <f aca="false">BD28/Inputs!$B$34</f>
        <v>325.620281547704</v>
      </c>
      <c r="BF28" s="15" t="n">
        <f aca="false">B28^2/BE28</f>
        <v>11.8051614651554</v>
      </c>
      <c r="BG28" s="15" t="n">
        <f aca="false">Inputs!$B$54*H28/(Inputs!$B$35*F28+E28*H28^2/(PI()*BF28*Inputs!$B$36))</f>
        <v>19.9855276374824</v>
      </c>
      <c r="BH28" s="15" t="n">
        <f aca="false">EXP(-Inputs!$B$11*Inputs!$B$14*Inputs!$B$17/(Inputs!$B$51*BG28*Inputs!$B$16))</f>
        <v>0.760622587560889</v>
      </c>
      <c r="BI28" s="15" t="n">
        <f aca="false">Inputs!$B$50*Inputs!$B$18*BH28*Inputs!$B$19</f>
        <v>0.743222759729343</v>
      </c>
      <c r="BJ28" s="15" t="n">
        <f aca="false">1-BI28</f>
        <v>0.256777240270657</v>
      </c>
      <c r="BK28" s="15" t="n">
        <f aca="false">Inputs!$B$20*BJ28</f>
        <v>0.0077033172081197</v>
      </c>
      <c r="BL28" s="15" t="n">
        <f aca="false">0.8*(1-Inputs!$B$50)*(BI28-BK28)</f>
        <v>0.00177157801341216</v>
      </c>
      <c r="BM28" s="15" t="n">
        <f aca="false">BI28-BK28-BL28</f>
        <v>0.733747864507812</v>
      </c>
      <c r="BN28" s="15" t="n">
        <f aca="false">BM28*(1-Inputs!$B$18*EXP(-Inputs!$B$21*Inputs!$B$14*Inputs!$B$17/(Inputs!$B$22*Inputs!$B$23*Inputs!$B$24*BG28*Inputs!$B$16))*Inputs!$B$19)</f>
        <v>0.0261511123216522</v>
      </c>
      <c r="BO28" s="15" t="n">
        <f aca="false">(BM28-BN28)*(1-EXP(-Inputs!$B$25*Inputs!$B$14*Inputs!$B$17*Inputs!$B$26/(BG28*Inputs!$B$16/0.866)))</f>
        <v>0.0073547331065055</v>
      </c>
      <c r="BP28" s="15" t="n">
        <f aca="false">(BM28-BN28-BO28)*(1-Inputs!$B$19)</f>
        <v>0.00350121009539827</v>
      </c>
      <c r="BQ28" s="15" t="n">
        <f aca="false">(BJ28+BK28+BL28+BN28+BO28+BP28)*(1+Inputs!$B$27)</f>
        <v>0.304168968588792</v>
      </c>
      <c r="BR28" s="15" t="n">
        <f aca="false">Inputs!$B$52/(1-BQ28-G28)</f>
        <v>194394.83695453</v>
      </c>
      <c r="BS28" s="15" t="n">
        <f aca="false">BR28/Inputs!$B$34</f>
        <v>323.991394924216</v>
      </c>
      <c r="BT28" s="15" t="n">
        <f aca="false">B28^2/BS28</f>
        <v>11.8645126389827</v>
      </c>
      <c r="BU28" s="15" t="n">
        <f aca="false">Inputs!$B$54*H28/(Inputs!$B$35*F28+E28*H28^2/(PI()*BT28*Inputs!$B$36))</f>
        <v>20.0096527317332</v>
      </c>
      <c r="BV28" s="15" t="n">
        <f aca="false">EXP(-Inputs!$B$11*Inputs!$B$14*Inputs!$B$17/(Inputs!$B$51*BU28*Inputs!$B$16))</f>
        <v>0.760873553605607</v>
      </c>
      <c r="BW28" s="15" t="n">
        <f aca="false">Inputs!$B$50*Inputs!$B$18*BV28*Inputs!$B$19</f>
        <v>0.743467984732392</v>
      </c>
      <c r="BX28" s="15" t="n">
        <f aca="false">1-BW28</f>
        <v>0.256532015267608</v>
      </c>
      <c r="BY28" s="15" t="n">
        <f aca="false">Inputs!$B$20*BX28</f>
        <v>0.00769596045802823</v>
      </c>
      <c r="BZ28" s="15" t="n">
        <f aca="false">0.8*(1-Inputs!$B$50)*(BW28-BY28)</f>
        <v>0.00177218638384343</v>
      </c>
      <c r="CA28" s="15" t="n">
        <f aca="false">BW28-BY28-BZ28</f>
        <v>0.733999837890521</v>
      </c>
      <c r="CB28" s="15" t="n">
        <f aca="false">CA28*(1-Inputs!$B$18*EXP(-Inputs!$B$21*Inputs!$B$14*Inputs!$B$17/(Inputs!$B$22*Inputs!$B$23*Inputs!$B$24*BU28*Inputs!$B$16))*Inputs!$B$19)</f>
        <v>0.0261462971276934</v>
      </c>
      <c r="CC28" s="15" t="n">
        <f aca="false">(CA28-CB28)*(1-EXP(-Inputs!$B$25*Inputs!$B$14*Inputs!$B$17*Inputs!$B$26/(BU28*Inputs!$B$16/0.866)))</f>
        <v>0.00734857774265404</v>
      </c>
      <c r="CD28" s="15" t="n">
        <f aca="false">(CA28-CB28-CC28)*(1-Inputs!$B$19)</f>
        <v>0.00350252481510087</v>
      </c>
      <c r="CE28" s="15" t="n">
        <f aca="false">(BX28+BY28+BZ28+CB28+CC28+CD28)*(1+Inputs!$B$27)</f>
        <v>0.303906554480312</v>
      </c>
      <c r="CF28" s="15" t="n">
        <f aca="false">Inputs!$B$52/(1-CE28-G28)</f>
        <v>194091.358693552</v>
      </c>
      <c r="CG28" s="15" t="n">
        <f aca="false">CF28/Inputs!$B$34</f>
        <v>323.485597822587</v>
      </c>
      <c r="CH28" s="15" t="n">
        <f aca="false">B28^2/CG28</f>
        <v>11.8830638083251</v>
      </c>
      <c r="CI28" s="15" t="n">
        <f aca="false">Inputs!$B$54*H28/(Inputs!$B$35*F28+E28*H28^2/(PI()*CH28*Inputs!$B$36))</f>
        <v>20.0171558406357</v>
      </c>
      <c r="CJ28" s="15" t="n">
        <f aca="false">EXP(-Inputs!$B$11*Inputs!$B$14*Inputs!$B$17/(Inputs!$B$51*CI28*Inputs!$B$16))</f>
        <v>0.760951499693604</v>
      </c>
      <c r="CK28" s="15" t="n">
        <f aca="false">Inputs!$B$50*Inputs!$B$18*CJ28*Inputs!$B$19</f>
        <v>0.743544147743561</v>
      </c>
      <c r="CL28" s="15" t="n">
        <f aca="false">1-CK28</f>
        <v>0.256455852256439</v>
      </c>
      <c r="CM28" s="15" t="n">
        <f aca="false">Inputs!$B$20*CL28</f>
        <v>0.00769367556769318</v>
      </c>
      <c r="CN28" s="15" t="n">
        <f aca="false">0.8*(1-Inputs!$B$50)*(CK28-CM28)</f>
        <v>0.00177237533408657</v>
      </c>
      <c r="CO28" s="15" t="n">
        <f aca="false">CK28-CM28-CN28</f>
        <v>0.734078096841781</v>
      </c>
      <c r="CP28" s="15" t="n">
        <f aca="false">CO28*(1-Inputs!$B$18*EXP(-Inputs!$B$21*Inputs!$B$14*Inputs!$B$17/(Inputs!$B$22*Inputs!$B$23*Inputs!$B$24*CI28*Inputs!$B$16))*Inputs!$B$19)</f>
        <v>0.0261448005482851</v>
      </c>
      <c r="CQ28" s="15" t="n">
        <f aca="false">(CO28-CP28)*(1-EXP(-Inputs!$B$25*Inputs!$B$14*Inputs!$B$17*Inputs!$B$26/(CI28*Inputs!$B$16/0.866)))</f>
        <v>0.00734666526163033</v>
      </c>
      <c r="CR28" s="15" t="n">
        <f aca="false">(CO28-CP28-CQ28)*(1-Inputs!$B$19)</f>
        <v>0.00350293315515933</v>
      </c>
      <c r="CS28" s="15" t="n">
        <f aca="false">(CL28+CM28+CN28+CP28+CQ28+CR28)*(1+Inputs!$B$27)</f>
        <v>0.303825051029664</v>
      </c>
      <c r="CT28" s="15" t="n">
        <f aca="false">Inputs!$B$52/(1-CS28-G28)</f>
        <v>193997.293847785</v>
      </c>
      <c r="CU28" s="15" t="n">
        <f aca="false">CT28/Inputs!$B$34</f>
        <v>323.328823079642</v>
      </c>
      <c r="CV28" s="15" t="n">
        <f aca="false">B28^2/CU28</f>
        <v>11.8888256338754</v>
      </c>
      <c r="CW28" s="15" t="n">
        <f aca="false">Inputs!$B$54*H28/(Inputs!$B$35*F28+E28*H28^2/(PI()*CV28*Inputs!$B$36))</f>
        <v>20.0194826152068</v>
      </c>
      <c r="CX28" s="15" t="n">
        <f aca="false">EXP(-Inputs!$B$11*Inputs!$B$14*Inputs!$B$17/(Inputs!$B$51*CW28*Inputs!$B$16))</f>
        <v>0.760975661156342</v>
      </c>
      <c r="CY28" s="15" t="n">
        <f aca="false">Inputs!$B$50*Inputs!$B$18*CX28*Inputs!$B$19</f>
        <v>0.74356775649422</v>
      </c>
      <c r="CZ28" s="15" t="n">
        <f aca="false">1-CY28</f>
        <v>0.25643224350578</v>
      </c>
      <c r="DA28" s="15" t="n">
        <f aca="false">Inputs!$B$20*CZ28</f>
        <v>0.00769296730517341</v>
      </c>
      <c r="DB28" s="15" t="n">
        <f aca="false">0.8*(1-Inputs!$B$50)*(CY28-DA28)</f>
        <v>0.00177243390423905</v>
      </c>
      <c r="DC28" s="15" t="n">
        <f aca="false">CY28-DA28-DB28</f>
        <v>0.734102355284807</v>
      </c>
      <c r="DD28" s="15" t="n">
        <f aca="false">DC28*(1-Inputs!$B$18*EXP(-Inputs!$B$21*Inputs!$B$14*Inputs!$B$17/(Inputs!$B$22*Inputs!$B$23*Inputs!$B$24*CW28*Inputs!$B$16))*Inputs!$B$19)</f>
        <v>0.0261443365420733</v>
      </c>
      <c r="DE28" s="15" t="n">
        <f aca="false">(DC28-DD28)*(1-EXP(-Inputs!$B$25*Inputs!$B$14*Inputs!$B$17*Inputs!$B$26/(CW28*Inputs!$B$16/0.866)))</f>
        <v>0.00734607236778553</v>
      </c>
      <c r="DF28" s="15" t="n">
        <f aca="false">(DC28-DD28-DE28)*(1-Inputs!$B$19)</f>
        <v>0.00350305973187474</v>
      </c>
      <c r="DG28" s="15" t="n">
        <f aca="false">(CZ28+DA28+DB28+DD28+DE28+DF28)*(1+Inputs!$B$27)</f>
        <v>0.303799786696997</v>
      </c>
      <c r="DH28" s="15" t="n">
        <f aca="false">Inputs!$B$52/(1-DG28-G28)</f>
        <v>193968.154259191</v>
      </c>
      <c r="DI28" s="15" t="n">
        <f aca="false">DH28/Inputs!$B$34</f>
        <v>323.280257098652</v>
      </c>
      <c r="DJ28" s="15" t="n">
        <f aca="false">B28^2/DI28</f>
        <v>11.8906116769976</v>
      </c>
      <c r="DK28" s="15" t="n">
        <f aca="false">Inputs!$B$54*H28/(Inputs!$B$35*F28+E28*H28^2/(PI()*DJ28*Inputs!$B$36))</f>
        <v>20.0202035176455</v>
      </c>
      <c r="DL28" s="15" t="n">
        <f aca="false">EXP(-Inputs!$B$11*Inputs!$B$14*Inputs!$B$17/(Inputs!$B$51*DK28*Inputs!$B$16))</f>
        <v>0.760983146096313</v>
      </c>
      <c r="DM28" s="15" t="n">
        <f aca="false">Inputs!$B$50*Inputs!$B$18*DL28*Inputs!$B$19</f>
        <v>0.743575070210421</v>
      </c>
      <c r="DN28" s="15" t="n">
        <f aca="false">1-DM28</f>
        <v>0.256424929789579</v>
      </c>
      <c r="DO28" s="15" t="n">
        <f aca="false">Inputs!$B$20*DN28</f>
        <v>0.00769274789368738</v>
      </c>
      <c r="DP28" s="15" t="n">
        <f aca="false">0.8*(1-Inputs!$B$50)*(DM28-DO28)</f>
        <v>0.00177245204859066</v>
      </c>
      <c r="DQ28" s="15" t="n">
        <f aca="false">DM28-DO28-DP28</f>
        <v>0.734109870268143</v>
      </c>
      <c r="DR28" s="15" t="n">
        <f aca="false">DQ28*(1-Inputs!$B$18*EXP(-Inputs!$B$21*Inputs!$B$14*Inputs!$B$17/(Inputs!$B$22*Inputs!$B$23*Inputs!$B$24*DK28*Inputs!$B$16))*Inputs!$B$19)</f>
        <v>0.0261441927885919</v>
      </c>
      <c r="DS28" s="15" t="n">
        <f aca="false">(DQ28-DR28)*(1-EXP(-Inputs!$B$25*Inputs!$B$14*Inputs!$B$17*Inputs!$B$26/(DK28*Inputs!$B$16/0.866)))</f>
        <v>0.00734588868950028</v>
      </c>
      <c r="DT28" s="15" t="n">
        <f aca="false">(DQ28-DR28-DS28)*(1-Inputs!$B$19)</f>
        <v>0.00350309894395026</v>
      </c>
      <c r="DU28" s="15" t="n">
        <f aca="false">(DN28+DO28+DP28+DR28+DS28+DT28)*(1+Inputs!$B$27)</f>
        <v>0.303791960084361</v>
      </c>
      <c r="DV28" s="15" t="n">
        <f aca="false">Inputs!$B$52/(1-DU28-G28)</f>
        <v>193959.128910752</v>
      </c>
      <c r="DW28" s="15" t="n">
        <f aca="false">DV28/Inputs!$B$34</f>
        <v>323.265214851254</v>
      </c>
      <c r="DX28" s="15" t="n">
        <f aca="false">B28^2/DW28</f>
        <v>11.8911649735304</v>
      </c>
      <c r="DY28" s="15" t="n">
        <f aca="false">Inputs!$B$54*H28/(Inputs!$B$35*F28+E28*H28^2/(PI()*DX28*Inputs!$B$36))</f>
        <v>20.0204268118951</v>
      </c>
      <c r="DZ28" s="15" t="n">
        <f aca="false">EXP(-Inputs!$B$11*Inputs!$B$14*Inputs!$B$17/(Inputs!$B$51*DY28*Inputs!$B$16))</f>
        <v>0.760985464407232</v>
      </c>
      <c r="EA28" s="15" t="n">
        <f aca="false">Inputs!$B$50*Inputs!$B$18*DZ28*Inputs!$B$19</f>
        <v>0.743577335488191</v>
      </c>
      <c r="EB28" s="15" t="n">
        <f aca="false">1-EA28</f>
        <v>0.256422664511809</v>
      </c>
      <c r="EC28" s="15" t="n">
        <f aca="false">Inputs!$B$20*EB28</f>
        <v>0.00769267993535427</v>
      </c>
      <c r="ED28" s="15" t="n">
        <f aca="false">0.8*(1-Inputs!$B$50)*(EA28-EC28)</f>
        <v>0.00177245766844181</v>
      </c>
      <c r="EE28" s="15" t="n">
        <f aca="false">EA28-EC28-ED28</f>
        <v>0.734112197884395</v>
      </c>
      <c r="EF28" s="15" t="n">
        <f aca="false">EE28*(1-Inputs!$B$18*EXP(-Inputs!$B$21*Inputs!$B$14*Inputs!$B$17/(Inputs!$B$22*Inputs!$B$23*Inputs!$B$24*DY28*Inputs!$B$16))*Inputs!$B$19)</f>
        <v>0.026144148262881</v>
      </c>
      <c r="EG28" s="15" t="n">
        <f aca="false">(EE28-EF28)*(1-EXP(-Inputs!$B$25*Inputs!$B$14*Inputs!$B$17*Inputs!$B$26/(DY28*Inputs!$B$16/0.866)))</f>
        <v>0.00734583179817353</v>
      </c>
      <c r="EH28" s="15" t="n">
        <f aca="false">(EE28-EF28-EG28)*(1-Inputs!$B$19)</f>
        <v>0.0035031110891167</v>
      </c>
      <c r="EI28" s="15" t="n">
        <f aca="false">(EB28+EC28+ED28+EF28+EG28+EH28)*(1+Inputs!$B$27)</f>
        <v>0.303789535945574</v>
      </c>
      <c r="EJ28" s="15" t="n">
        <f aca="false">Inputs!$B$52/(1-EI28-G28)</f>
        <v>193956.333657565</v>
      </c>
      <c r="EK28" s="15" t="n">
        <f aca="false">EJ28/Inputs!$B$34</f>
        <v>323.260556095942</v>
      </c>
      <c r="EL28" s="15" t="n">
        <f aca="false">B28^2/EK28</f>
        <v>11.8913363462108</v>
      </c>
      <c r="EM28" s="15" t="n">
        <f aca="false">Inputs!$B$54*H28/(Inputs!$B$35*F28+E28*H28^2/(PI()*EL28*Inputs!$B$36))</f>
        <v>20.0204959696771</v>
      </c>
      <c r="EN28" s="15" t="n">
        <f aca="false">EXP(-Inputs!$B$11*Inputs!$B$14*Inputs!$B$17/(Inputs!$B$51*EM28*Inputs!$B$16))</f>
        <v>0.760986182415956</v>
      </c>
      <c r="EO28" s="15" t="n">
        <f aca="false">Inputs!$B$50*Inputs!$B$18*EN28*Inputs!$B$19</f>
        <v>0.743578037071912</v>
      </c>
      <c r="EP28" s="15" t="n">
        <f aca="false">1-EO28</f>
        <v>0.256421962928088</v>
      </c>
      <c r="EQ28" s="15" t="n">
        <f aca="false">Inputs!$B$20*EP28</f>
        <v>0.00769265888784265</v>
      </c>
      <c r="ER28" s="15" t="n">
        <f aca="false">0.8*(1-Inputs!$B$50)*(EO28-EQ28)</f>
        <v>0.00177245940897718</v>
      </c>
      <c r="ES28" s="15" t="n">
        <f aca="false">EO28-EQ28-ER28</f>
        <v>0.734112918775092</v>
      </c>
      <c r="ET28" s="15" t="n">
        <f aca="false">ES28*(1-Inputs!$B$18*EXP(-Inputs!$B$21*Inputs!$B$14*Inputs!$B$17/(Inputs!$B$22*Inputs!$B$23*Inputs!$B$24*EM28*Inputs!$B$16))*Inputs!$B$19)</f>
        <v>0.0261441344726441</v>
      </c>
      <c r="EU28" s="15" t="n">
        <f aca="false">(ES28-ET28)*(1-EXP(-Inputs!$B$25*Inputs!$B$14*Inputs!$B$17*Inputs!$B$26/(EM28*Inputs!$B$16/0.866)))</f>
        <v>0.00734581417818524</v>
      </c>
      <c r="EV28" s="15" t="n">
        <f aca="false">(ES28-ET28-EU28)*(1-Inputs!$B$19)</f>
        <v>0.00350311485062132</v>
      </c>
      <c r="EW28" s="15" t="n">
        <f aca="false">(EP28+EQ28+ER28+ET28+EU28+EV28)*(1+Inputs!$B$27)</f>
        <v>0.303788785160538</v>
      </c>
      <c r="EX28" s="15" t="n">
        <f aca="false">Inputs!$B$52/(1-EW28-G28)</f>
        <v>193955.467950262</v>
      </c>
      <c r="EY28" s="15" t="n">
        <f aca="false">EX28/Inputs!$B$34</f>
        <v>323.259113250436</v>
      </c>
      <c r="EZ28" s="15" t="n">
        <f aca="false">B28^2/EY28</f>
        <v>11.891389422398</v>
      </c>
      <c r="FA28" s="15" t="n">
        <f aca="false">Inputs!$B$54*H28/(Inputs!$B$35*F28+E28*H28^2/(PI()*EZ28*Inputs!$B$36))</f>
        <v>20.0205173883694</v>
      </c>
      <c r="FB28" s="15" t="n">
        <f aca="false">EXP(-Inputs!$B$11*Inputs!$B$14*Inputs!$B$17/(Inputs!$B$51*FA28*Inputs!$B$16))</f>
        <v>0.760986404787862</v>
      </c>
      <c r="FC28" s="15" t="n">
        <f aca="false">Inputs!$B$50*Inputs!$B$18*FB28*Inputs!$B$19</f>
        <v>0.743578254356889</v>
      </c>
      <c r="FD28" s="15" t="n">
        <f aca="false">1-FC28</f>
        <v>0.256421745643111</v>
      </c>
      <c r="FE28" s="15" t="n">
        <f aca="false">Inputs!$B$20*FD28</f>
        <v>0.00769265236929332</v>
      </c>
      <c r="FF28" s="15" t="n">
        <f aca="false">0.8*(1-Inputs!$B$50)*(FC28-FE28)</f>
        <v>0.00177245994803214</v>
      </c>
      <c r="FG28" s="15" t="n">
        <f aca="false">FC28-FE28-FF28</f>
        <v>0.734113142039564</v>
      </c>
      <c r="FH28" s="15" t="n">
        <f aca="false">FG28*(1-Inputs!$B$18*EXP(-Inputs!$B$21*Inputs!$B$14*Inputs!$B$17/(Inputs!$B$22*Inputs!$B$23*Inputs!$B$24*FA28*Inputs!$B$16))*Inputs!$B$19)</f>
        <v>0.0261441302017106</v>
      </c>
      <c r="FI28" s="15" t="n">
        <f aca="false">(FG28-FH28)*(1-EXP(-Inputs!$B$25*Inputs!$B$14*Inputs!$B$17*Inputs!$B$26/(FA28*Inputs!$B$16/0.866)))</f>
        <v>0.00734580872115599</v>
      </c>
      <c r="FJ28" s="15" t="n">
        <f aca="false">(FG28-FH28-FI28)*(1-Inputs!$B$19)</f>
        <v>0.00350311601558349</v>
      </c>
      <c r="FK28" s="15" t="n">
        <f aca="false">(FD28+FE28+FF28+FH28+FI28+FJ28)*(1+Inputs!$B$27)</f>
        <v>0.303788552637583</v>
      </c>
      <c r="FL28" s="15" t="n">
        <f aca="false">Inputs!$B$52/(1-FK28-G28)</f>
        <v>193955.199836708</v>
      </c>
      <c r="FM28" s="15" t="n">
        <f aca="false">FL28/Inputs!$B$34</f>
        <v>323.258666394514</v>
      </c>
      <c r="FN28" s="15" t="n">
        <f aca="false">B28^2/FM28</f>
        <v>11.8914058604346</v>
      </c>
      <c r="FO28" s="15" t="n">
        <f aca="false">Inputs!$B$54*H28/(Inputs!$B$35*F28+E28*H28^2/(PI()*FN28*Inputs!$B$36))</f>
        <v>20.0205240218467</v>
      </c>
      <c r="FP28" s="15" t="n">
        <f aca="false">EXP(-Inputs!$B$11*Inputs!$B$14*Inputs!$B$17/(Inputs!$B$51*FO28*Inputs!$B$16))</f>
        <v>0.760986473657483</v>
      </c>
      <c r="FQ28" s="15" t="n">
        <f aca="false">Inputs!$B$50*Inputs!$B$18*FP28*Inputs!$B$19</f>
        <v>0.743578321651064</v>
      </c>
      <c r="FR28" s="15" t="n">
        <f aca="false">1-FQ28</f>
        <v>0.256421678348936</v>
      </c>
      <c r="FS28" s="15" t="n">
        <f aca="false">Inputs!$B$20*FR28</f>
        <v>0.00769265035046808</v>
      </c>
      <c r="FT28" s="15" t="n">
        <f aca="false">0.8*(1-Inputs!$B$50)*(FQ28-FS28)</f>
        <v>0.00177246011497999</v>
      </c>
      <c r="FU28" s="15" t="n">
        <f aca="false">FQ28-FS28-FT28</f>
        <v>0.734113211185616</v>
      </c>
      <c r="FV28" s="15" t="n">
        <f aca="false">FU28*(1-Inputs!$B$18*EXP(-Inputs!$B$21*Inputs!$B$14*Inputs!$B$17/(Inputs!$B$22*Inputs!$B$23*Inputs!$B$24*FO28*Inputs!$B$16))*Inputs!$B$19)</f>
        <v>0.0261441288789818</v>
      </c>
      <c r="FW28" s="15" t="n">
        <f aca="false">(FU28-FV28)*(1-EXP(-Inputs!$B$25*Inputs!$B$14*Inputs!$B$17*Inputs!$B$26/(FO28*Inputs!$B$16/0.866)))</f>
        <v>0.00734580703108792</v>
      </c>
      <c r="FX28" s="15" t="n">
        <f aca="false">(FU28-FV28-FW28)*(1-Inputs!$B$19)</f>
        <v>0.00350311637637773</v>
      </c>
      <c r="FY28" s="15" t="n">
        <f aca="false">(FR28+FS28+FT28+FV28+FW28+FX28)*(1+Inputs!$B$27)</f>
        <v>0.303788480624134</v>
      </c>
      <c r="FZ28" s="15" t="n">
        <f aca="false">Inputs!$B$52/(1-FY28-G28)</f>
        <v>193955.116800835</v>
      </c>
      <c r="GA28" s="15" t="n">
        <f aca="false">FZ28/Inputs!$B$34</f>
        <v>323.258528001391</v>
      </c>
      <c r="GB28" s="15" t="n">
        <f aca="false">B28^2/GA28</f>
        <v>11.8914109513716</v>
      </c>
      <c r="GC28" s="15" t="n">
        <f aca="false">Inputs!$B$54*H28/(Inputs!$B$35*F28+E28*H28^2/(PI()*GB28*Inputs!$B$36))</f>
        <v>20.0205260762629</v>
      </c>
      <c r="GD28" s="15" t="n">
        <f aca="false">EXP(-Inputs!$B$11*Inputs!$B$14*Inputs!$B$17/(Inputs!$B$51*GC28*Inputs!$B$16))</f>
        <v>0.76098649498669</v>
      </c>
      <c r="GE28" s="15" t="n">
        <f aca="false">Inputs!$B$50*Inputs!$B$18*GD28*Inputs!$B$19</f>
        <v>0.743578342492349</v>
      </c>
      <c r="GF28" s="15" t="n">
        <f aca="false">1-GE28</f>
        <v>0.256421657507651</v>
      </c>
      <c r="GG28" s="15" t="n">
        <f aca="false">Inputs!$B$20*GF28</f>
        <v>0.00769264972522953</v>
      </c>
      <c r="GH28" s="15" t="n">
        <f aca="false">0.8*(1-Inputs!$B$50)*(GE28-GG28)</f>
        <v>0.00177246016668443</v>
      </c>
      <c r="GI28" s="15" t="n">
        <f aca="false">GE28-GG28-GH28</f>
        <v>0.734113232600435</v>
      </c>
      <c r="GJ28" s="15" t="n">
        <f aca="false">GI28*(1-Inputs!$B$18*EXP(-Inputs!$B$21*Inputs!$B$14*Inputs!$B$17/(Inputs!$B$22*Inputs!$B$23*Inputs!$B$24*GC28*Inputs!$B$16))*Inputs!$B$19)</f>
        <v>0.026144128469327</v>
      </c>
      <c r="GK28" s="15" t="n">
        <f aca="false">(GI28-GJ28)*(1-EXP(-Inputs!$B$25*Inputs!$B$14*Inputs!$B$17*Inputs!$B$26/(GC28*Inputs!$B$16/0.866)))</f>
        <v>0.00734580650766675</v>
      </c>
      <c r="GL28" s="15" t="n">
        <f aca="false">(GI28-GJ28-GK28)*(1-Inputs!$B$19)</f>
        <v>0.00350311648811721</v>
      </c>
      <c r="GM28" s="15" t="n">
        <f aca="false">(GF28+GG28+GH28+GJ28+GK28+GL28)*(1+Inputs!$B$27)</f>
        <v>0.30378845832127</v>
      </c>
      <c r="GN28" s="15" t="n">
        <f aca="false">Inputs!$B$52/(1-GM28-G28)</f>
        <v>193955.091084295</v>
      </c>
      <c r="GO28" s="15" t="n">
        <f aca="false">GN28/Inputs!$B$34</f>
        <v>323.258485140491</v>
      </c>
      <c r="GP28" s="15" t="n">
        <f aca="false">B28^2/GO28</f>
        <v>11.8914125280559</v>
      </c>
      <c r="GQ28" s="15" t="n">
        <f aca="false">Inputs!$B$54*H28/(Inputs!$B$35*F28+E28*H28^2/(PI()*GP28*Inputs!$B$36))</f>
        <v>20.0205267125239</v>
      </c>
      <c r="GR28" s="15" t="n">
        <f aca="false">EXP(-Inputs!$B$11*Inputs!$B$14*Inputs!$B$17/(Inputs!$B$51*GQ28*Inputs!$B$16))</f>
        <v>0.76098650159243</v>
      </c>
      <c r="GS28" s="15" t="n">
        <f aca="false">Inputs!$B$50*Inputs!$B$18*GR28*Inputs!$B$19</f>
        <v>0.743578348946978</v>
      </c>
      <c r="GT28" s="15" t="n">
        <f aca="false">1-GS28</f>
        <v>0.256421651053022</v>
      </c>
      <c r="GU28" s="15" t="n">
        <f aca="false">Inputs!$B$20*GT28</f>
        <v>0.00769264953159067</v>
      </c>
      <c r="GV28" s="15" t="n">
        <f aca="false">0.8*(1-Inputs!$B$50)*(GS28-GU28)</f>
        <v>0.0017724601826975</v>
      </c>
      <c r="GW28" s="15" t="n">
        <f aca="false">GS28-GU28-GV28</f>
        <v>0.73411323923269</v>
      </c>
      <c r="GX28" s="15" t="n">
        <f aca="false">GW28*(1-Inputs!$B$18*EXP(-Inputs!$B$21*Inputs!$B$14*Inputs!$B$17/(Inputs!$B$22*Inputs!$B$23*Inputs!$B$24*GQ28*Inputs!$B$16))*Inputs!$B$19)</f>
        <v>0.0261441283424553</v>
      </c>
      <c r="GY28" s="15" t="n">
        <f aca="false">(GW28-GX28)*(1-EXP(-Inputs!$B$25*Inputs!$B$14*Inputs!$B$17*Inputs!$B$26/(GQ28*Inputs!$B$16/0.866)))</f>
        <v>0.00734580634556109</v>
      </c>
      <c r="GZ28" s="15" t="n">
        <f aca="false">(GW28-GX28-GY28)*(1-Inputs!$B$19)</f>
        <v>0.00350311652272337</v>
      </c>
      <c r="HA28" s="15" t="n">
        <f aca="false">(GT28+GU28+GV28+GX28+GY28+GZ28)*(1+Inputs!$B$27)</f>
        <v>0.303788451413984</v>
      </c>
      <c r="HB28" s="15" t="n">
        <f aca="false">Inputs!$B$52/(1-HA28-G28)</f>
        <v>193955.083119781</v>
      </c>
      <c r="HC28" s="15" t="n">
        <f aca="false">HB28/Inputs!$B$34</f>
        <v>323.258471866302</v>
      </c>
      <c r="HD28" s="15" t="n">
        <f aca="false">B28^2/HC28</f>
        <v>11.8914130163613</v>
      </c>
      <c r="HE28" s="15" t="n">
        <f aca="false">Inputs!$B$54*H28/(Inputs!$B$35*F28+E28*H28^2/(PI()*HD28*Inputs!$B$36))</f>
        <v>20.0205269095764</v>
      </c>
      <c r="HF28" s="15" t="n">
        <f aca="false">EXP(-Inputs!$B$11*Inputs!$B$14*Inputs!$B$17/(Inputs!$B$51*HE28*Inputs!$B$16))</f>
        <v>0.760986503638253</v>
      </c>
      <c r="HG28" s="15" t="n">
        <f aca="false">Inputs!$B$50*Inputs!$B$18*HF28*Inputs!$B$19</f>
        <v>0.743578350946002</v>
      </c>
      <c r="HH28" s="15" t="n">
        <f aca="false">1-HG28</f>
        <v>0.256421649053998</v>
      </c>
      <c r="HI28" s="15" t="n">
        <f aca="false">Inputs!$B$20*HH28</f>
        <v>0.00769264947161995</v>
      </c>
      <c r="HJ28" s="15" t="n">
        <f aca="false">0.8*(1-Inputs!$B$50)*(HG28-HI28)</f>
        <v>0.00177246018765681</v>
      </c>
      <c r="HK28" s="15" t="n">
        <f aca="false">HG28-HI28-HJ28</f>
        <v>0.734113241286725</v>
      </c>
      <c r="HL28" s="15" t="n">
        <f aca="false">HK28*(1-Inputs!$B$18*EXP(-Inputs!$B$21*Inputs!$B$14*Inputs!$B$17/(Inputs!$B$22*Inputs!$B$23*Inputs!$B$24*HE28*Inputs!$B$16))*Inputs!$B$19)</f>
        <v>0.0261441283031626</v>
      </c>
      <c r="HM28" s="15" t="n">
        <f aca="false">(HK28-HL28)*(1-EXP(-Inputs!$B$25*Inputs!$B$14*Inputs!$B$17*Inputs!$B$26/(HE28*Inputs!$B$16/0.866)))</f>
        <v>0.00734580629535639</v>
      </c>
      <c r="HN28" s="15" t="n">
        <f aca="false">(HK28-HL28-HM28)*(1-Inputs!$B$19)</f>
        <v>0.00350311653344103</v>
      </c>
      <c r="HO28" s="15" t="n">
        <f aca="false">(HH28+HI28+HJ28+HL28+HM28+HN28)*(1+Inputs!$B$27)</f>
        <v>0.303788449274771</v>
      </c>
      <c r="HP28" s="15" t="n">
        <f aca="false">Inputs!$B$52/(1-HO28-G28)</f>
        <v>193955.08065314</v>
      </c>
      <c r="HQ28" s="15" t="n">
        <f aca="false">HP28/Inputs!$B$34</f>
        <v>323.258467755234</v>
      </c>
      <c r="HR28" s="15" t="n">
        <f aca="false">B28^2/HQ28</f>
        <v>11.8914131675914</v>
      </c>
      <c r="HS28" s="15" t="n">
        <f aca="false">Inputs!$B$54*H28/(Inputs!$B$35*F28+E28*H28^2/(PI()*HR28*Inputs!$B$36))</f>
        <v>20.0205269706043</v>
      </c>
      <c r="HT28" s="15" t="n">
        <f aca="false">EXP(-Inputs!$B$11*Inputs!$B$14*Inputs!$B$17/(Inputs!$B$51*HS28*Inputs!$B$16))</f>
        <v>0.760986504271853</v>
      </c>
      <c r="HU28" s="15" t="n">
        <f aca="false">Inputs!$B$50*Inputs!$B$18*HT28*Inputs!$B$19</f>
        <v>0.743578351565107</v>
      </c>
      <c r="HV28" s="15" t="n">
        <f aca="false">1-HU28</f>
        <v>0.256421648434893</v>
      </c>
      <c r="HW28" s="15" t="n">
        <f aca="false">Inputs!$B$20*HV28</f>
        <v>0.00769264945304678</v>
      </c>
      <c r="HX28" s="15" t="n">
        <f aca="false">0.8*(1-Inputs!$B$50)*(HU28-HW28)</f>
        <v>0.00177246018919273</v>
      </c>
      <c r="HY28" s="15" t="n">
        <f aca="false">HU28-HW28-HX28</f>
        <v>0.734113241922868</v>
      </c>
      <c r="HZ28" s="15" t="n">
        <f aca="false">HY28*(1-Inputs!$B$18*EXP(-Inputs!$B$21*Inputs!$B$14*Inputs!$B$17/(Inputs!$B$22*Inputs!$B$23*Inputs!$B$24*HS28*Inputs!$B$16))*Inputs!$B$19)</f>
        <v>0.0261441282909935</v>
      </c>
      <c r="IA28" s="15" t="n">
        <f aca="false">(HY28-HZ28)*(1-EXP(-Inputs!$B$25*Inputs!$B$14*Inputs!$B$17*Inputs!$B$26/(HS28*Inputs!$B$16/0.866)))</f>
        <v>0.00734580627980778</v>
      </c>
      <c r="IB28" s="15" t="n">
        <f aca="false">(HY28-HZ28-IA28)*(1-Inputs!$B$19)</f>
        <v>0.00350311653676033</v>
      </c>
      <c r="IC28" s="15" t="n">
        <f aca="false">(HV28+HW28+HX28+HZ28+IA28+IB28)*(1+Inputs!$B$27)</f>
        <v>0.303788448612248</v>
      </c>
      <c r="ID28" s="15" t="n">
        <f aca="false">Inputs!$B$52/(1-IC28-G28)</f>
        <v>193955.079889212</v>
      </c>
      <c r="IE28" s="15" t="n">
        <f aca="false">ID28/Inputs!$B$34</f>
        <v>323.25846648202</v>
      </c>
      <c r="IF28" s="15" t="n">
        <f aca="false">B28^2/IE28</f>
        <v>11.8914132144279</v>
      </c>
      <c r="IG28" s="15" t="n">
        <f aca="false">Inputs!$B$54*H28/(Inputs!$B$35*F28+E28*H28^2/(PI()*IF28*Inputs!$B$36))</f>
        <v>20.0205269895049</v>
      </c>
      <c r="IH28" s="15" t="n">
        <f aca="false">EXP(-Inputs!$B$11*Inputs!$B$14*Inputs!$B$17/(Inputs!$B$51*IG28*Inputs!$B$16))</f>
        <v>0.760986504468081</v>
      </c>
      <c r="II28" s="15" t="n">
        <f aca="false">Inputs!$B$50*Inputs!$B$18*IH28*Inputs!$B$19</f>
        <v>0.743578351756847</v>
      </c>
      <c r="IJ28" s="15" t="n">
        <f aca="false">1-II28</f>
        <v>0.256421648243153</v>
      </c>
      <c r="IK28" s="15" t="n">
        <f aca="false">Inputs!$B$20*IJ28</f>
        <v>0.0076926494472946</v>
      </c>
      <c r="IL28" s="15" t="n">
        <f aca="false">0.8*(1-Inputs!$B$50)*(II28-IK28)</f>
        <v>0.00177246018966841</v>
      </c>
      <c r="IM28" s="15" t="n">
        <f aca="false">II28-IK28-IL28</f>
        <v>0.734113242119884</v>
      </c>
      <c r="IN28" s="15" t="n">
        <f aca="false">IM28*(1-Inputs!$B$18*EXP(-Inputs!$B$21*Inputs!$B$14*Inputs!$B$17/(Inputs!$B$22*Inputs!$B$23*Inputs!$B$24*IG28*Inputs!$B$16))*Inputs!$B$19)</f>
        <v>0.0261441282872247</v>
      </c>
      <c r="IO28" s="15" t="n">
        <f aca="false">(IM28-IN28)*(1-EXP(-Inputs!$B$25*Inputs!$B$14*Inputs!$B$17*Inputs!$B$26/(IG28*Inputs!$B$16/0.866)))</f>
        <v>0.00734580627499234</v>
      </c>
      <c r="IP28" s="15" t="n">
        <f aca="false">(IM28-IN28-IO28)*(1-Inputs!$B$19)</f>
        <v>0.00350311653778834</v>
      </c>
      <c r="IQ28" s="15" t="n">
        <f aca="false">(IJ28+IK28+IL28+IN28+IO28+IP28)*(1+Inputs!$B$27)</f>
        <v>0.303788448407062</v>
      </c>
      <c r="IR28" s="15" t="n">
        <f aca="false">Inputs!$B$52/(1-IQ28-G28)</f>
        <v>193955.07965262</v>
      </c>
      <c r="IS28" s="15" t="n">
        <f aca="false">IR28/Inputs!$B$34</f>
        <v>323.258466087701</v>
      </c>
      <c r="IT28" s="15" t="n">
        <f aca="false">B28^2/IS28</f>
        <v>11.8914132289334</v>
      </c>
      <c r="IU28" s="15" t="n">
        <f aca="false">Inputs!$B$54*H28/(Inputs!$B$35*F28+E28*H28^2/(PI()*IT28*Inputs!$B$36))</f>
        <v>20.0205269953585</v>
      </c>
      <c r="IV28" s="15" t="n">
        <f aca="false">EXP(-Inputs!$B$11*Inputs!$B$14*Inputs!$B$17/(Inputs!$B$51*IU28*Inputs!$B$16))</f>
        <v>0.760986504528854</v>
      </c>
      <c r="IW28" s="15" t="n">
        <f aca="false">Inputs!$B$50*Inputs!$B$18*IV28*Inputs!$B$19</f>
        <v>0.743578351816229</v>
      </c>
      <c r="IX28" s="15" t="n">
        <f aca="false">1-IW28</f>
        <v>0.256421648183771</v>
      </c>
      <c r="IY28" s="15" t="n">
        <f aca="false">Inputs!$B$20*IX28</f>
        <v>0.00769264944551312</v>
      </c>
      <c r="IZ28" s="15" t="n">
        <f aca="false">0.8*(1-Inputs!$B$50)*(IW28-IY28)</f>
        <v>0.00177246018981573</v>
      </c>
      <c r="JA28" s="15" t="n">
        <f aca="false">IW28-IY28-IZ28</f>
        <v>0.7341132421809</v>
      </c>
      <c r="JB28" s="15" t="n">
        <f aca="false">JA28*(1-Inputs!$B$18*EXP(-Inputs!$B$21*Inputs!$B$14*Inputs!$B$17/(Inputs!$B$22*Inputs!$B$23*Inputs!$B$24*IU28*Inputs!$B$16))*Inputs!$B$19)</f>
        <v>0.0261441282860575</v>
      </c>
      <c r="JC28" s="15" t="n">
        <f aca="false">(JA28-JB28)*(1-EXP(-Inputs!$B$25*Inputs!$B$14*Inputs!$B$17*Inputs!$B$26/(IU28*Inputs!$B$16/0.866)))</f>
        <v>0.00734580627350096</v>
      </c>
      <c r="JD28" s="15" t="n">
        <f aca="false">(JA28-JB28-JC28)*(1-Inputs!$B$19)</f>
        <v>0.00350311653810671</v>
      </c>
      <c r="JE28" s="15" t="n">
        <f aca="false">(IX28+IY28+IZ28+JB28+JC28+JD28)*(1+Inputs!$B$27)</f>
        <v>0.303788448343515</v>
      </c>
      <c r="JF28" s="15" t="n">
        <f aca="false">Inputs!$B$52/(1-JE28-G28)</f>
        <v>193955.079579347</v>
      </c>
      <c r="JG28" s="15" t="n">
        <f aca="false">JF28/Inputs!$B$34</f>
        <v>323.258465965578</v>
      </c>
      <c r="JH28" s="15" t="n">
        <f aca="false">B28^2/JG28</f>
        <v>11.8914132334258</v>
      </c>
      <c r="JI28" s="15" t="n">
        <f aca="false">Inputs!$B$54*H28/(Inputs!$B$35*F28+E28*H28^2/(PI()*JH28*Inputs!$B$36))</f>
        <v>20.0205269971714</v>
      </c>
      <c r="JJ28" s="15" t="n">
        <f aca="false">EXP(-Inputs!$B$11*Inputs!$B$14*Inputs!$B$17/(Inputs!$B$51*JI28*Inputs!$B$16))</f>
        <v>0.760986504547676</v>
      </c>
      <c r="JK28" s="15" t="n">
        <f aca="false">Inputs!$B$50*Inputs!$B$18*JJ28*Inputs!$B$19</f>
        <v>0.74357835183462</v>
      </c>
      <c r="JL28" s="15" t="n">
        <f aca="false">1-JK28</f>
        <v>0.25642164816538</v>
      </c>
      <c r="JM28" s="15" t="n">
        <f aca="false">Inputs!$B$20*JL28</f>
        <v>0.0076926494449614</v>
      </c>
      <c r="JN28" s="15" t="n">
        <f aca="false">0.8*(1-Inputs!$B$50)*(JK28-JM28)</f>
        <v>0.00177246018986135</v>
      </c>
      <c r="JO28" s="15" t="n">
        <f aca="false">JK28-JM28-JN28</f>
        <v>0.734113242199797</v>
      </c>
      <c r="JP28" s="15" t="n">
        <f aca="false">JO28*(1-Inputs!$B$18*EXP(-Inputs!$B$21*Inputs!$B$14*Inputs!$B$17/(Inputs!$B$22*Inputs!$B$23*Inputs!$B$24*JI28*Inputs!$B$16))*Inputs!$B$19)</f>
        <v>0.026144128285696</v>
      </c>
      <c r="JQ28" s="15" t="n">
        <f aca="false">(JO28-JP28)*(1-EXP(-Inputs!$B$25*Inputs!$B$14*Inputs!$B$17*Inputs!$B$26/(JI28*Inputs!$B$16/0.866)))</f>
        <v>0.00734580627303905</v>
      </c>
      <c r="JR28" s="15" t="n">
        <f aca="false">(JO28-JP28-JQ28)*(1-Inputs!$B$19)</f>
        <v>0.00350311653820531</v>
      </c>
      <c r="JS28" s="15" t="n">
        <f aca="false">(JL28+JM28+JN28+JP28+JQ28+JR28)*(1+Inputs!$B$27)</f>
        <v>0.303788448323834</v>
      </c>
      <c r="JT28" s="15" t="n">
        <f aca="false">Inputs!$B$52/(1-JS28-G28)</f>
        <v>193955.079556654</v>
      </c>
      <c r="JU28" s="15" t="n">
        <f aca="false">JT28/Inputs!$B$34</f>
        <v>323.258465927757</v>
      </c>
      <c r="JV28" s="15" t="n">
        <f aca="false">B28^2/JU28</f>
        <v>11.8914132348171</v>
      </c>
      <c r="JW28" s="15" t="n">
        <f aca="false">Inputs!$B$54*H28/(Inputs!$B$35*F28+E28*H28^2/(PI()*JV28*Inputs!$B$36))</f>
        <v>20.0205269977328</v>
      </c>
      <c r="JX28" s="15" t="n">
        <f aca="false">EXP(-Inputs!$B$11*Inputs!$B$14*Inputs!$B$17/(Inputs!$B$51*JW28*Inputs!$B$16))</f>
        <v>0.760986504553505</v>
      </c>
      <c r="JY28" s="15" t="n">
        <f aca="false">Inputs!$B$50*Inputs!$B$18*JX28*Inputs!$B$19</f>
        <v>0.743578351840316</v>
      </c>
      <c r="JZ28" s="15" t="n">
        <f aca="false">1-JY28</f>
        <v>0.256421648159684</v>
      </c>
      <c r="KA28" s="15" t="n">
        <f aca="false">Inputs!$B$20*JZ28</f>
        <v>0.00769264944479052</v>
      </c>
      <c r="KB28" s="15" t="n">
        <f aca="false">0.8*(1-Inputs!$B$50)*(JY28-KA28)</f>
        <v>0.00177246018987548</v>
      </c>
      <c r="KC28" s="15" t="n">
        <f aca="false">JY28-KA28-KB28</f>
        <v>0.73411324220565</v>
      </c>
      <c r="KD28" s="15" t="n">
        <f aca="false">KC28*(1-Inputs!$B$18*EXP(-Inputs!$B$21*Inputs!$B$14*Inputs!$B$17/(Inputs!$B$22*Inputs!$B$23*Inputs!$B$24*JW28*Inputs!$B$16))*Inputs!$B$19)</f>
        <v>0.0261441282855841</v>
      </c>
      <c r="KE28" s="15" t="n">
        <f aca="false">(KC28-KD28)*(1-EXP(-Inputs!$B$25*Inputs!$B$14*Inputs!$B$17*Inputs!$B$26/(JW28*Inputs!$B$16/0.866)))</f>
        <v>0.00734580627289602</v>
      </c>
      <c r="KF28" s="15" t="n">
        <f aca="false">(KC28-KD28-KE28)*(1-Inputs!$B$19)</f>
        <v>0.00350311653823585</v>
      </c>
      <c r="KG28" s="15" t="n">
        <f aca="false">(JZ28+KA28+KB28+KD28+KE28+KF28)*(1+Inputs!$B$27)</f>
        <v>0.303788448317739</v>
      </c>
      <c r="KH28" s="15" t="n">
        <f aca="false">Inputs!$B$52/(1-KG28-G28)</f>
        <v>193955.079549626</v>
      </c>
      <c r="KI28" s="15" t="n">
        <f aca="false">KH28/Inputs!$B$34</f>
        <v>323.258465916043</v>
      </c>
      <c r="KJ28" s="15" t="n">
        <f aca="false">B28^2/KI28</f>
        <v>11.891413235248</v>
      </c>
      <c r="KK28" s="15" t="n">
        <f aca="false">Inputs!$B$54*H28/(Inputs!$B$35*F28+E28*H28^2/(PI()*KJ28*Inputs!$B$36))</f>
        <v>20.0205269979067</v>
      </c>
      <c r="KL28" s="15" t="n">
        <f aca="false">EXP(-Inputs!$B$11*Inputs!$B$14*Inputs!$B$17/(Inputs!$B$51*KK28*Inputs!$B$16))</f>
        <v>0.76098650455531</v>
      </c>
      <c r="KM28" s="15" t="n">
        <f aca="false">Inputs!$B$50*Inputs!$B$18*KL28*Inputs!$B$19</f>
        <v>0.74357835184208</v>
      </c>
      <c r="KN28" s="15" t="n">
        <f aca="false">1-KM28</f>
        <v>0.25642164815792</v>
      </c>
      <c r="KO28" s="15" t="n">
        <f aca="false">Inputs!$B$20*KN28</f>
        <v>0.00769264944473761</v>
      </c>
      <c r="KP28" s="15" t="n">
        <f aca="false">0.8*(1-Inputs!$B$50)*(KM28-KO28)</f>
        <v>0.00177246018987986</v>
      </c>
      <c r="KQ28" s="15" t="n">
        <f aca="false">KM28-KO28-KP28</f>
        <v>0.734113242207462</v>
      </c>
      <c r="KR28" s="15" t="n">
        <f aca="false">KQ28*(1-Inputs!$B$18*EXP(-Inputs!$B$21*Inputs!$B$14*Inputs!$B$17/(Inputs!$B$22*Inputs!$B$23*Inputs!$B$24*KK28*Inputs!$B$16))*Inputs!$B$19)</f>
        <v>0.0261441282855494</v>
      </c>
      <c r="KS28" s="15" t="n">
        <f aca="false">(KQ28-KR28)*(1-EXP(-Inputs!$B$25*Inputs!$B$14*Inputs!$B$17*Inputs!$B$26/(KK28*Inputs!$B$16/0.866)))</f>
        <v>0.00734580627285168</v>
      </c>
      <c r="KT28" s="15" t="n">
        <f aca="false">(KQ28-KR28-KS28)*(1-Inputs!$B$19)</f>
        <v>0.00350311653824531</v>
      </c>
      <c r="KU28" s="15" t="n">
        <f aca="false">(KN28+KO28+KP28+KR28+KS28+KT28)*(1+Inputs!$B$27)</f>
        <v>0.303788448315852</v>
      </c>
      <c r="KV28" s="15" t="n">
        <f aca="false">Inputs!$B$52/(1-KU28-G28)</f>
        <v>193955.079547449</v>
      </c>
      <c r="KW28" s="15" t="n">
        <f aca="false">KV28/Inputs!$B$34</f>
        <v>323.258465912416</v>
      </c>
      <c r="KX28" s="15" t="n">
        <f aca="false">B28^2/KW28</f>
        <v>11.8914132353814</v>
      </c>
      <c r="KY28" s="15" t="n">
        <f aca="false">Inputs!$B$54*H28/(Inputs!$B$35*F28+E28*H28^2/(PI()*KX28*Inputs!$B$36))</f>
        <v>20.0205269979606</v>
      </c>
      <c r="KZ28" s="15" t="n">
        <f aca="false">EXP(-Inputs!$B$11*Inputs!$B$14*Inputs!$B$17/(Inputs!$B$51*KY28*Inputs!$B$16))</f>
        <v>0.760986504555869</v>
      </c>
      <c r="LA28" s="15" t="n">
        <f aca="false">Inputs!$B$50*Inputs!$B$18*KZ28*Inputs!$B$19</f>
        <v>0.743578351842626</v>
      </c>
      <c r="LB28" s="15" t="n">
        <f aca="false">1-LA28</f>
        <v>0.256421648157374</v>
      </c>
      <c r="LC28" s="15" t="n">
        <f aca="false">Inputs!$B$20*LB28</f>
        <v>0.00769264944472122</v>
      </c>
      <c r="LD28" s="15" t="n">
        <f aca="false">0.8*(1-Inputs!$B$50)*(LA28-LC28)</f>
        <v>0.00177246018988121</v>
      </c>
      <c r="LE28" s="15" t="n">
        <f aca="false">LA28-LC28-LD28</f>
        <v>0.734113242208024</v>
      </c>
      <c r="LF28" s="15" t="n">
        <f aca="false">LE28*(1-Inputs!$B$18*EXP(-Inputs!$B$21*Inputs!$B$14*Inputs!$B$17/(Inputs!$B$22*Inputs!$B$23*Inputs!$B$24*KY28*Inputs!$B$16))*Inputs!$B$19)</f>
        <v>0.0261441282855387</v>
      </c>
      <c r="LG28" s="15" t="n">
        <f aca="false">(LE28-LF28)*(1-EXP(-Inputs!$B$25*Inputs!$B$14*Inputs!$B$17*Inputs!$B$26/(KY28*Inputs!$B$16/0.866)))</f>
        <v>0.00734580627283797</v>
      </c>
      <c r="LH28" s="15" t="n">
        <f aca="false">(LE28-LF28-LG28)*(1-Inputs!$B$19)</f>
        <v>0.00350311653824824</v>
      </c>
      <c r="LI28" s="15" t="n">
        <f aca="false">(LB28+LC28+LD28+LF28+LG28+LH28)*(1+Inputs!$B$27)</f>
        <v>0.303788448315267</v>
      </c>
      <c r="LJ28" s="15" t="n">
        <f aca="false">Inputs!$B$52/(1-LI28-G28)</f>
        <v>193955.079546775</v>
      </c>
      <c r="LK28" s="15" t="n">
        <f aca="false">LJ28/Inputs!$B$34</f>
        <v>323.258465911292</v>
      </c>
      <c r="LL28" s="15" t="n">
        <f aca="false">B28^2/LK28</f>
        <v>11.8914132354228</v>
      </c>
      <c r="LM28" s="15" t="n">
        <f aca="false">Inputs!$B$54*H28/(Inputs!$B$35*F28+E28*H28^2/(PI()*LL28*Inputs!$B$36))</f>
        <v>20.0205269979772</v>
      </c>
      <c r="LN28" s="15" t="n">
        <f aca="false">EXP(-Inputs!$B$11*Inputs!$B$14*Inputs!$B$17/(Inputs!$B$51*LM28*Inputs!$B$16))</f>
        <v>0.760986504556042</v>
      </c>
      <c r="LO28" s="15" t="n">
        <f aca="false">Inputs!$B$50*Inputs!$B$18*LN28*Inputs!$B$19</f>
        <v>0.743578351842795</v>
      </c>
      <c r="LP28" s="15" t="n">
        <f aca="false">1-LO28</f>
        <v>0.256421648157205</v>
      </c>
      <c r="LQ28" s="15" t="n">
        <f aca="false">Inputs!$B$20*LP28</f>
        <v>0.00769264944471614</v>
      </c>
      <c r="LR28" s="15" t="n">
        <f aca="false">0.8*(1-Inputs!$B$50)*(LO28-LQ28)</f>
        <v>0.00177246018988163</v>
      </c>
      <c r="LS28" s="15" t="n">
        <f aca="false">LO28-LQ28-LR28</f>
        <v>0.734113242208198</v>
      </c>
      <c r="LT28" s="15" t="n">
        <f aca="false">LS28*(1-Inputs!$B$18*EXP(-Inputs!$B$21*Inputs!$B$14*Inputs!$B$17/(Inputs!$B$22*Inputs!$B$23*Inputs!$B$24*LM28*Inputs!$B$16))*Inputs!$B$19)</f>
        <v>0.0261441282855353</v>
      </c>
      <c r="LU28" s="15" t="n">
        <f aca="false">(LS28-LT28)*(1-EXP(-Inputs!$B$25*Inputs!$B$14*Inputs!$B$17*Inputs!$B$26/(LM28*Inputs!$B$16/0.866)))</f>
        <v>0.00734580627283375</v>
      </c>
      <c r="LV28" s="15" t="n">
        <f aca="false">(LS28-LT28-LU28)*(1-Inputs!$B$19)</f>
        <v>0.00350311653824915</v>
      </c>
      <c r="LW28" s="15" t="n">
        <f aca="false">(LP28+LQ28+LR28+LT28+LU28+LV28)*(1+Inputs!$B$27)</f>
        <v>0.303788448315086</v>
      </c>
      <c r="LX28" s="15" t="n">
        <f aca="false">Inputs!$B$52/(1-LW28-G28)</f>
        <v>193955.079546567</v>
      </c>
      <c r="LY28" s="15" t="n">
        <f aca="false">LX28/Inputs!$B$34</f>
        <v>323.258465910944</v>
      </c>
      <c r="LZ28" s="15" t="n">
        <f aca="false">B28^2/LY28</f>
        <v>11.8914132354356</v>
      </c>
      <c r="MA28" s="15" t="n">
        <f aca="false">Inputs!$B$54*H28/(Inputs!$B$35*F28+E28*H28^2/(PI()*LZ28*Inputs!$B$36))</f>
        <v>20.0205269979824</v>
      </c>
      <c r="MB28" s="15" t="n">
        <f aca="false">EXP(-Inputs!$B$11*Inputs!$B$14*Inputs!$B$17/(Inputs!$B$51*MA28*Inputs!$B$16))</f>
        <v>0.760986504556096</v>
      </c>
      <c r="MC28" s="15" t="n">
        <f aca="false">Inputs!$B$50*Inputs!$B$18*MB28*Inputs!$B$19</f>
        <v>0.743578351842848</v>
      </c>
      <c r="MD28" s="15" t="n">
        <f aca="false">1-MC28</f>
        <v>0.256421648157152</v>
      </c>
      <c r="ME28" s="15" t="n">
        <f aca="false">Inputs!$B$20*MD28</f>
        <v>0.00769264944471457</v>
      </c>
      <c r="MF28" s="15" t="n">
        <f aca="false">0.8*(1-Inputs!$B$50)*(MC28-ME28)</f>
        <v>0.00177246018988176</v>
      </c>
      <c r="MG28" s="15" t="n">
        <f aca="false">MC28-ME28-MF28</f>
        <v>0.734113242208251</v>
      </c>
      <c r="MH28" s="15" t="n">
        <f aca="false">MG28*(1-Inputs!$B$18*EXP(-Inputs!$B$21*Inputs!$B$14*Inputs!$B$17/(Inputs!$B$22*Inputs!$B$23*Inputs!$B$24*MA28*Inputs!$B$16))*Inputs!$B$19)</f>
        <v>0.0261441282855343</v>
      </c>
      <c r="MI28" s="15" t="n">
        <f aca="false">(MG28-MH28)*(1-EXP(-Inputs!$B$25*Inputs!$B$14*Inputs!$B$17*Inputs!$B$26/(MA28*Inputs!$B$16/0.866)))</f>
        <v>0.00734580627283244</v>
      </c>
      <c r="MJ28" s="15" t="n">
        <f aca="false">(MG28-MH28-MI28)*(1-Inputs!$B$19)</f>
        <v>0.00350311653824943</v>
      </c>
      <c r="MK28" s="15" t="n">
        <f aca="false">(MD28+ME28+MF28+MH28+MI28+MJ28)*(1+Inputs!$B$27)</f>
        <v>0.30378844831503</v>
      </c>
      <c r="ML28" s="15" t="n">
        <f aca="false">Inputs!$B$52/(1-MK28-G28)</f>
        <v>193955.079546502</v>
      </c>
      <c r="MM28" s="15" t="n">
        <f aca="false">ML28/Inputs!$B$34</f>
        <v>323.258465910836</v>
      </c>
      <c r="MN28" s="15" t="n">
        <f aca="false">B28^2/MM28</f>
        <v>11.8914132354395</v>
      </c>
      <c r="MO28" s="15" t="n">
        <f aca="false">Inputs!$B$54*H28/(Inputs!$B$35*F28+E28*H28^2/(PI()*MN28*Inputs!$B$36))</f>
        <v>20.020526997984</v>
      </c>
      <c r="MP28" s="15" t="n">
        <f aca="false">EXP(-Inputs!$B$11*Inputs!$B$14*Inputs!$B$17/(Inputs!$B$51*MO28*Inputs!$B$16))</f>
        <v>0.760986504556112</v>
      </c>
      <c r="MQ28" s="15" t="n">
        <f aca="false">Inputs!$B$50*Inputs!$B$18*MP28*Inputs!$B$19</f>
        <v>0.743578351842864</v>
      </c>
      <c r="MR28" s="15" t="n">
        <f aca="false">1-MQ28</f>
        <v>0.256421648157136</v>
      </c>
      <c r="MS28" s="15" t="n">
        <f aca="false">Inputs!$B$20*MR28</f>
        <v>0.00769264944471408</v>
      </c>
      <c r="MT28" s="15" t="n">
        <f aca="false">0.8*(1-Inputs!$B$50)*(MQ28-MS28)</f>
        <v>0.0017724601898818</v>
      </c>
      <c r="MU28" s="15" t="n">
        <f aca="false">MQ28-MS28-MT28</f>
        <v>0.734113242208268</v>
      </c>
      <c r="MV28" s="15" t="n">
        <f aca="false">MU28*(1-Inputs!$B$18*EXP(-Inputs!$B$21*Inputs!$B$14*Inputs!$B$17/(Inputs!$B$22*Inputs!$B$23*Inputs!$B$24*MO28*Inputs!$B$16))*Inputs!$B$19)</f>
        <v>0.026144128285534</v>
      </c>
      <c r="MW28" s="15" t="n">
        <f aca="false">(MU28-MV28)*(1-EXP(-Inputs!$B$25*Inputs!$B$14*Inputs!$B$17*Inputs!$B$26/(MO28*Inputs!$B$16/0.866)))</f>
        <v>0.00734580627283199</v>
      </c>
      <c r="MX28" s="15" t="n">
        <f aca="false">(MU28-MV28-MW28)*(1-Inputs!$B$19)</f>
        <v>0.00350311653824951</v>
      </c>
      <c r="MY28" s="15" t="n">
        <f aca="false">(MR28+MS28+MT28+MV28+MW28+MX28)*(1+Inputs!$B$27)</f>
        <v>0.303788448315013</v>
      </c>
      <c r="MZ28" s="15" t="n">
        <f aca="false">Inputs!$B$52/(1-MY28-G28)</f>
        <v>193955.079546482</v>
      </c>
      <c r="NA28" s="15" t="n">
        <f aca="false">MZ28/Inputs!$B$34</f>
        <v>323.258465910803</v>
      </c>
      <c r="NB28" s="15" t="n">
        <f aca="false">B28^2/NA28</f>
        <v>11.8914132354408</v>
      </c>
      <c r="NC28" s="15" t="n">
        <f aca="false">Inputs!$B$54*H28/(Inputs!$B$35*F28+E28*H28^2/(PI()*NB28*Inputs!$B$36))</f>
        <v>20.0205269979845</v>
      </c>
      <c r="ND28" s="15" t="n">
        <f aca="false">EXP(-Inputs!$B$11*Inputs!$B$14*Inputs!$B$17/(Inputs!$B$51*NC28*Inputs!$B$16))</f>
        <v>0.760986504556118</v>
      </c>
      <c r="NE28" s="15" t="n">
        <f aca="false">Inputs!$B$50*Inputs!$B$18*ND28*Inputs!$B$19</f>
        <v>0.743578351842869</v>
      </c>
      <c r="NF28" s="15" t="n">
        <f aca="false">1-NE28</f>
        <v>0.256421648157131</v>
      </c>
      <c r="NG28" s="15" t="n">
        <f aca="false">Inputs!$B$20*NF28</f>
        <v>0.00769264944471393</v>
      </c>
      <c r="NH28" s="15" t="n">
        <f aca="false">0.8*(1-Inputs!$B$50)*(NE28-NG28)</f>
        <v>0.00177246018988182</v>
      </c>
      <c r="NI28" s="15" t="n">
        <f aca="false">NE28-NG28-NH28</f>
        <v>0.734113242208273</v>
      </c>
      <c r="NJ28" s="15" t="n">
        <f aca="false">NI28*(1-Inputs!$B$18*EXP(-Inputs!$B$21*Inputs!$B$14*Inputs!$B$17/(Inputs!$B$22*Inputs!$B$23*Inputs!$B$24*NC28*Inputs!$B$16))*Inputs!$B$19)</f>
        <v>0.0261441282855339</v>
      </c>
      <c r="NK28" s="15" t="n">
        <f aca="false">(NI28-NJ28)*(1-EXP(-Inputs!$B$25*Inputs!$B$14*Inputs!$B$17*Inputs!$B$26/(NC28*Inputs!$B$16/0.866)))</f>
        <v>0.00734580627283188</v>
      </c>
      <c r="NL28" s="15" t="n">
        <f aca="false">(NI28-NJ28-NK28)*(1-Inputs!$B$19)</f>
        <v>0.00350311653824954</v>
      </c>
      <c r="NM28" s="15" t="n">
        <f aca="false">(NF28+NG28+NH28+NJ28+NK28+NL28)*(1+Inputs!$B$27)</f>
        <v>0.303788448315007</v>
      </c>
      <c r="NN28" s="15" t="n">
        <f aca="false">Inputs!$B$52/(1-NM28-G28)</f>
        <v>193955.079546475</v>
      </c>
    </row>
    <row r="29" customFormat="false" ht="15" hidden="false" customHeight="false" outlineLevel="0" collapsed="false">
      <c r="A29" s="21" t="s">
        <v>501</v>
      </c>
      <c r="B29" s="21" t="n">
        <v>62</v>
      </c>
      <c r="C29" s="22" t="n">
        <v>0.25</v>
      </c>
      <c r="D29" s="23" t="n">
        <f aca="false">B29*C29</f>
        <v>15.5</v>
      </c>
      <c r="E29" s="24" t="n">
        <f aca="false">IF(C29=0,1,(1+0.45*C29)/(1.04+2.81*C29))</f>
        <v>0.63845050215208</v>
      </c>
      <c r="F29" s="24" t="n">
        <f aca="false">1+Inputs!$B$42*D29</f>
        <v>1.0775</v>
      </c>
      <c r="G29" s="25" t="n">
        <f aca="false">Inputs!$B$31+Inputs!$B$43*(B29/Inputs!$B$32-1)+Inputs!$B$44+Inputs!$B$45*D29</f>
        <v>0.5298625</v>
      </c>
      <c r="H29" s="22" t="n">
        <f aca="false">Inputs!$B$38</f>
        <v>0.5</v>
      </c>
      <c r="I29" s="23" t="n">
        <f aca="false">Inputs!$B$40</f>
        <v>2.4</v>
      </c>
      <c r="J29" s="26" t="n">
        <f aca="false">NN29/Inputs!$B$34</f>
        <v>326.166315522986</v>
      </c>
      <c r="K29" s="23" t="n">
        <f aca="false">B29^2/J29</f>
        <v>11.7853984824779</v>
      </c>
      <c r="L29" s="23" t="n">
        <f aca="false">2*K29</f>
        <v>23.5707969649557</v>
      </c>
      <c r="M29" s="22" t="n">
        <f aca="false">NC29</f>
        <v>20.0537697361735</v>
      </c>
      <c r="N29" s="23" t="n">
        <f aca="false">B29/SQRT(E29)</f>
        <v>77.5939879519808</v>
      </c>
      <c r="O29" s="24" t="n">
        <f aca="false">NM29</f>
        <v>0.303428071674107</v>
      </c>
      <c r="P29" s="23" t="n">
        <f aca="false">NN29/1000</f>
        <v>195.699789313792</v>
      </c>
      <c r="Q29" s="23" t="n">
        <f aca="false">G29*NN29/1000</f>
        <v>103.693979615279</v>
      </c>
      <c r="R29" s="23" t="n">
        <f aca="false">NM29*NN29/1000</f>
        <v>59.3808096985128</v>
      </c>
      <c r="S29" s="23" t="n">
        <f aca="false">NM29*NN29/Inputs!$B$28/1000</f>
        <v>79.1744129313504</v>
      </c>
      <c r="T29" s="27" t="n">
        <f aca="false">R29/Sweep!$R$5-1</f>
        <v>-0.0498556842622787</v>
      </c>
      <c r="U29" s="27" t="n">
        <f aca="false">R29/SUMIFS(Sweep!$R:$R,Sweep!$A:$A,"Conventional",Sweep!$B:$B,B29)-1</f>
        <v>-0.0809332997854535</v>
      </c>
      <c r="V29" s="26" t="n">
        <f aca="false">2*0.54*(J29/2)^1.5/SQRT(L29)*Inputs!$B$46*Inputs!$B$47</f>
        <v>43.3173520736219</v>
      </c>
      <c r="W29" s="28" t="n">
        <f aca="false">MIN(1,V29/S29)</f>
        <v>0.547113018838308</v>
      </c>
      <c r="X29" s="26" t="n">
        <f aca="false">1.23*SQRT(2*Inputs!$B$41*NN29*Inputs!$B$49/(1.225*J29*I29))/0.5144</f>
        <v>133.62967568068</v>
      </c>
      <c r="Y29" s="29" t="n">
        <f aca="false">(11000+6341.6*LN(0.36392/(2*Inputs!$B$50*Inputs!$B$18*(1+ND29)/2*Inputs!$B$34*Inputs!$B$49/((Inputs!$B$12*295.07)^2*H29))))/0.3048</f>
        <v>38526.5548821219</v>
      </c>
      <c r="Z29" s="26" t="n">
        <f aca="false">NN29-MZ29</f>
        <v>-2.3283064365387E-009</v>
      </c>
      <c r="AA29" s="30" t="str">
        <f aca="false">IF(ABS(NN29-MZ29)&lt;10,"Yes","No")</f>
        <v>Yes</v>
      </c>
      <c r="AC29" s="15" t="n">
        <f aca="false">Inputs!$B$52/(1-0.3154-G29)/Inputs!$B$34</f>
        <v>351.401567170208</v>
      </c>
      <c r="AD29" s="15" t="n">
        <f aca="false">B29^2/AC29</f>
        <v>10.939051954023</v>
      </c>
      <c r="AE29" s="15" t="n">
        <f aca="false">Inputs!$B$54*H29/(Inputs!$B$35*F29+E29*H29^2/(PI()*AD29*Inputs!$B$36))</f>
        <v>19.7071810288242</v>
      </c>
      <c r="AF29" s="15" t="n">
        <f aca="false">EXP(-Inputs!$B$11*Inputs!$B$14*Inputs!$B$17/(Inputs!$B$51*AE29*Inputs!$B$16))</f>
        <v>0.757688747936645</v>
      </c>
      <c r="AG29" s="15" t="n">
        <f aca="false">Inputs!$B$50*Inputs!$B$18*AF29*Inputs!$B$19</f>
        <v>0.740356033947341</v>
      </c>
      <c r="AH29" s="15" t="n">
        <f aca="false">1-AG29</f>
        <v>0.259643966052659</v>
      </c>
      <c r="AI29" s="15" t="n">
        <f aca="false">Inputs!$B$20*AH29</f>
        <v>0.00778931898157976</v>
      </c>
      <c r="AJ29" s="15" t="n">
        <f aca="false">0.8*(1-Inputs!$B$50)*(AG29-AI29)</f>
        <v>0.00176446605020025</v>
      </c>
      <c r="AK29" s="15" t="n">
        <f aca="false">AG29-AI29-AJ29</f>
        <v>0.730802248915561</v>
      </c>
      <c r="AL29" s="15" t="n">
        <f aca="false">AK29*(1-Inputs!$B$18*EXP(-Inputs!$B$21*Inputs!$B$14*Inputs!$B$17/(Inputs!$B$22*Inputs!$B$23*Inputs!$B$24*AE29*Inputs!$B$16))*Inputs!$B$19)</f>
        <v>0.0262070173386474</v>
      </c>
      <c r="AM29" s="15" t="n">
        <f aca="false">(AK29-AL29)*(1-EXP(-Inputs!$B$25*Inputs!$B$14*Inputs!$B$17*Inputs!$B$26/(AE29*Inputs!$B$16/0.866)))</f>
        <v>0.00742642688587511</v>
      </c>
      <c r="AN29" s="15" t="n">
        <f aca="false">(AK29-AL29-AM29)*(1-Inputs!$B$19)</f>
        <v>0.0034858440234552</v>
      </c>
      <c r="AO29" s="15" t="n">
        <f aca="false">(AH29+AI29+AJ29+AL29+AM29+AN29)*(1+Inputs!$B$27)</f>
        <v>0.307235990450414</v>
      </c>
      <c r="AP29" s="15" t="n">
        <f aca="false">Inputs!$B$52/(1-AO29-G29)</f>
        <v>200274.387206149</v>
      </c>
      <c r="AQ29" s="15" t="n">
        <f aca="false">AP29/Inputs!$B$34</f>
        <v>333.790645343581</v>
      </c>
      <c r="AR29" s="15" t="n">
        <f aca="false">B29^2/AQ29</f>
        <v>11.5162005095836</v>
      </c>
      <c r="AS29" s="15" t="n">
        <f aca="false">Inputs!$B$54*H29/(Inputs!$B$35*F29+E29*H29^2/(PI()*AR29*Inputs!$B$36))</f>
        <v>19.9477764322663</v>
      </c>
      <c r="AT29" s="15" t="n">
        <f aca="false">EXP(-Inputs!$B$11*Inputs!$B$14*Inputs!$B$17/(Inputs!$B$51*AS29*Inputs!$B$16))</f>
        <v>0.760228821980141</v>
      </c>
      <c r="AU29" s="15" t="n">
        <f aca="false">Inputs!$B$50*Inputs!$B$18*AT29*Inputs!$B$19</f>
        <v>0.742838001839693</v>
      </c>
      <c r="AV29" s="15" t="n">
        <f aca="false">1-AU29</f>
        <v>0.257161998160307</v>
      </c>
      <c r="AW29" s="15" t="n">
        <f aca="false">Inputs!$B$20*AV29</f>
        <v>0.00771485994480921</v>
      </c>
      <c r="AX29" s="15" t="n">
        <f aca="false">0.8*(1-Inputs!$B$50)*(AU29-AW29)</f>
        <v>0.00177062348055315</v>
      </c>
      <c r="AY29" s="15" t="n">
        <f aca="false">AU29-AW29-AX29</f>
        <v>0.733352518414331</v>
      </c>
      <c r="AZ29" s="15" t="n">
        <f aca="false">AY29*(1-Inputs!$B$18*EXP(-Inputs!$B$21*Inputs!$B$14*Inputs!$B$17/(Inputs!$B$22*Inputs!$B$23*Inputs!$B$24*AS29*Inputs!$B$16))*Inputs!$B$19)</f>
        <v>0.0261586568955421</v>
      </c>
      <c r="BA29" s="15" t="n">
        <f aca="false">(AY29-AZ29)*(1-EXP(-Inputs!$B$25*Inputs!$B$14*Inputs!$B$17*Inputs!$B$26/(AS29*Inputs!$B$16/0.866)))</f>
        <v>0.00736438371463106</v>
      </c>
      <c r="BB29" s="15" t="n">
        <f aca="false">(AY29-AZ29-BA29)*(1-Inputs!$B$19)</f>
        <v>0.00349914738902079</v>
      </c>
      <c r="BC29" s="15" t="n">
        <f aca="false">(AV29+AW29+AX29+AZ29+BA29+BB29)*(1+Inputs!$B$27)</f>
        <v>0.304580678593618</v>
      </c>
      <c r="BD29" s="15" t="n">
        <f aca="false">Inputs!$B$52/(1-BC29-G29)</f>
        <v>197062.251635754</v>
      </c>
      <c r="BE29" s="15" t="n">
        <f aca="false">BD29/Inputs!$B$34</f>
        <v>328.437086059589</v>
      </c>
      <c r="BF29" s="15" t="n">
        <f aca="false">B29^2/BE29</f>
        <v>11.7039157974461</v>
      </c>
      <c r="BG29" s="15" t="n">
        <f aca="false">Inputs!$B$54*H29/(Inputs!$B$35*F29+E29*H29^2/(PI()*BF29*Inputs!$B$36))</f>
        <v>20.0220839278658</v>
      </c>
      <c r="BH29" s="15" t="n">
        <f aca="false">EXP(-Inputs!$B$11*Inputs!$B$14*Inputs!$B$17/(Inputs!$B$51*BG29*Inputs!$B$16))</f>
        <v>0.761002667709721</v>
      </c>
      <c r="BI29" s="15" t="n">
        <f aca="false">Inputs!$B$50*Inputs!$B$18*BH29*Inputs!$B$19</f>
        <v>0.743594145251879</v>
      </c>
      <c r="BJ29" s="15" t="n">
        <f aca="false">1-BI29</f>
        <v>0.256405854748122</v>
      </c>
      <c r="BK29" s="15" t="n">
        <f aca="false">Inputs!$B$20*BJ29</f>
        <v>0.00769217564244365</v>
      </c>
      <c r="BL29" s="15" t="n">
        <f aca="false">0.8*(1-Inputs!$B$50)*(BI29-BK29)</f>
        <v>0.00177249937121704</v>
      </c>
      <c r="BM29" s="15" t="n">
        <f aca="false">BI29-BK29-BL29</f>
        <v>0.734129470238218</v>
      </c>
      <c r="BN29" s="15" t="n">
        <f aca="false">BM29*(1-Inputs!$B$18*EXP(-Inputs!$B$21*Inputs!$B$14*Inputs!$B$17/(Inputs!$B$22*Inputs!$B$23*Inputs!$B$24*BG29*Inputs!$B$16))*Inputs!$B$19)</f>
        <v>0.0261438178407038</v>
      </c>
      <c r="BO29" s="15" t="n">
        <f aca="false">(BM29-BN29)*(1-EXP(-Inputs!$B$25*Inputs!$B$14*Inputs!$B$17*Inputs!$B$26/(BG29*Inputs!$B$16/0.866)))</f>
        <v>0.00734540961984299</v>
      </c>
      <c r="BP29" s="15" t="n">
        <f aca="false">(BM29-BN29-BO29)*(1-Inputs!$B$19)</f>
        <v>0.00350320121388836</v>
      </c>
      <c r="BQ29" s="15" t="n">
        <f aca="false">(BJ29+BK29+BL29+BN29+BO29+BP29)*(1+Inputs!$B$27)</f>
        <v>0.303771547311526</v>
      </c>
      <c r="BR29" s="15" t="n">
        <f aca="false">Inputs!$B$52/(1-BQ29-G29)</f>
        <v>196103.826971685</v>
      </c>
      <c r="BS29" s="15" t="n">
        <f aca="false">BR29/Inputs!$B$34</f>
        <v>326.839711619474</v>
      </c>
      <c r="BT29" s="15" t="n">
        <f aca="false">B29^2/BS29</f>
        <v>11.7611167289102</v>
      </c>
      <c r="BU29" s="15" t="n">
        <f aca="false">Inputs!$B$54*H29/(Inputs!$B$35*F29+E29*H29^2/(PI()*BT29*Inputs!$B$36))</f>
        <v>20.0443628668025</v>
      </c>
      <c r="BV29" s="15" t="n">
        <f aca="false">EXP(-Inputs!$B$11*Inputs!$B$14*Inputs!$B$17/(Inputs!$B$51*BU29*Inputs!$B$16))</f>
        <v>0.761233717368071</v>
      </c>
      <c r="BW29" s="15" t="n">
        <f aca="false">Inputs!$B$50*Inputs!$B$18*BV29*Inputs!$B$19</f>
        <v>0.743819909471245</v>
      </c>
      <c r="BX29" s="15" t="n">
        <f aca="false">1-BW29</f>
        <v>0.256180090528755</v>
      </c>
      <c r="BY29" s="15" t="n">
        <f aca="false">Inputs!$B$20*BX29</f>
        <v>0.00768540271586264</v>
      </c>
      <c r="BZ29" s="15" t="n">
        <f aca="false">0.8*(1-Inputs!$B$50)*(BW29-BY29)</f>
        <v>0.00177305946204707</v>
      </c>
      <c r="CA29" s="15" t="n">
        <f aca="false">BW29-BY29-BZ29</f>
        <v>0.734361447293336</v>
      </c>
      <c r="CB29" s="15" t="n">
        <f aca="false">CA29*(1-Inputs!$B$18*EXP(-Inputs!$B$21*Inputs!$B$14*Inputs!$B$17/(Inputs!$B$22*Inputs!$B$23*Inputs!$B$24*BU29*Inputs!$B$16))*Inputs!$B$19)</f>
        <v>0.026139377729752</v>
      </c>
      <c r="CC29" s="15" t="n">
        <f aca="false">(CA29-CB29)*(1-EXP(-Inputs!$B$25*Inputs!$B$14*Inputs!$B$17*Inputs!$B$26/(BU29*Inputs!$B$16/0.866)))</f>
        <v>0.00733973792102649</v>
      </c>
      <c r="CD29" s="15" t="n">
        <f aca="false">(CA29-CB29-CC29)*(1-Inputs!$B$19)</f>
        <v>0.00350441165821279</v>
      </c>
      <c r="CE29" s="15" t="n">
        <f aca="false">(BX29+BY29+BZ29+CB29+CC29+CD29)*(1+Inputs!$B$27)</f>
        <v>0.303529946255702</v>
      </c>
      <c r="CF29" s="15" t="n">
        <f aca="false">Inputs!$B$52/(1-CE29-G29)</f>
        <v>195819.452760656</v>
      </c>
      <c r="CG29" s="15" t="n">
        <f aca="false">CF29/Inputs!$B$34</f>
        <v>326.365754601094</v>
      </c>
      <c r="CH29" s="15" t="n">
        <f aca="false">B29^2/CG29</f>
        <v>11.7781965350451</v>
      </c>
      <c r="CI29" s="15" t="n">
        <f aca="false">Inputs!$B$54*H29/(Inputs!$B$35*F29+E29*H29^2/(PI()*CH29*Inputs!$B$36))</f>
        <v>20.0509827925427</v>
      </c>
      <c r="CJ29" s="15" t="n">
        <f aca="false">EXP(-Inputs!$B$11*Inputs!$B$14*Inputs!$B$17/(Inputs!$B$51*CI29*Inputs!$B$16))</f>
        <v>0.761302285613117</v>
      </c>
      <c r="CK29" s="15" t="n">
        <f aca="false">Inputs!$B$50*Inputs!$B$18*CJ29*Inputs!$B$19</f>
        <v>0.743886909164847</v>
      </c>
      <c r="CL29" s="15" t="n">
        <f aca="false">1-CK29</f>
        <v>0.256113090835153</v>
      </c>
      <c r="CM29" s="15" t="n">
        <f aca="false">Inputs!$B$20*CL29</f>
        <v>0.0076833927250546</v>
      </c>
      <c r="CN29" s="15" t="n">
        <f aca="false">0.8*(1-Inputs!$B$50)*(CK29-CM29)</f>
        <v>0.00177322567932502</v>
      </c>
      <c r="CO29" s="15" t="n">
        <f aca="false">CK29-CM29-CN29</f>
        <v>0.734430290760467</v>
      </c>
      <c r="CP29" s="15" t="n">
        <f aca="false">CO29*(1-Inputs!$B$18*EXP(-Inputs!$B$21*Inputs!$B$14*Inputs!$B$17/(Inputs!$B$22*Inputs!$B$23*Inputs!$B$24*CI29*Inputs!$B$16))*Inputs!$B$19)</f>
        <v>0.0261380591989624</v>
      </c>
      <c r="CQ29" s="15" t="n">
        <f aca="false">(CO29-CP29)*(1-EXP(-Inputs!$B$25*Inputs!$B$14*Inputs!$B$17*Inputs!$B$26/(CI29*Inputs!$B$16/0.866)))</f>
        <v>0.00733805416131328</v>
      </c>
      <c r="CR29" s="15" t="n">
        <f aca="false">(CO29-CP29-CQ29)*(1-Inputs!$B$19)</f>
        <v>0.00350477088700096</v>
      </c>
      <c r="CS29" s="15" t="n">
        <f aca="false">(CL29+CM29+CN29+CP29+CQ29+CR29)*(1+Inputs!$B$27)</f>
        <v>0.30345824526727</v>
      </c>
      <c r="CT29" s="15" t="n">
        <f aca="false">Inputs!$B$52/(1-CS29-G29)</f>
        <v>195735.216432988</v>
      </c>
      <c r="CU29" s="15" t="n">
        <f aca="false">CT29/Inputs!$B$34</f>
        <v>326.225360721646</v>
      </c>
      <c r="CV29" s="15" t="n">
        <f aca="false">B29^2/CU29</f>
        <v>11.7832653828527</v>
      </c>
      <c r="CW29" s="15" t="n">
        <f aca="false">Inputs!$B$54*H29/(Inputs!$B$35*F29+E29*H29^2/(PI()*CV29*Inputs!$B$36))</f>
        <v>20.052944563184</v>
      </c>
      <c r="CX29" s="15" t="n">
        <f aca="false">EXP(-Inputs!$B$11*Inputs!$B$14*Inputs!$B$17/(Inputs!$B$51*CW29*Inputs!$B$16))</f>
        <v>0.761322597842976</v>
      </c>
      <c r="CY29" s="15" t="n">
        <f aca="false">Inputs!$B$50*Inputs!$B$18*CX29*Inputs!$B$19</f>
        <v>0.743906756736795</v>
      </c>
      <c r="CZ29" s="15" t="n">
        <f aca="false">1-CY29</f>
        <v>0.256093243263205</v>
      </c>
      <c r="DA29" s="15" t="n">
        <f aca="false">Inputs!$B$20*CZ29</f>
        <v>0.00768279729789615</v>
      </c>
      <c r="DB29" s="15" t="n">
        <f aca="false">0.8*(1-Inputs!$B$50)*(CY29-DA29)</f>
        <v>0.00177327491849621</v>
      </c>
      <c r="DC29" s="15" t="n">
        <f aca="false">CY29-DA29-DB29</f>
        <v>0.734450684520403</v>
      </c>
      <c r="DD29" s="15" t="n">
        <f aca="false">DC29*(1-Inputs!$B$18*EXP(-Inputs!$B$21*Inputs!$B$14*Inputs!$B$17/(Inputs!$B$22*Inputs!$B$23*Inputs!$B$24*CW29*Inputs!$B$16))*Inputs!$B$19)</f>
        <v>0.0261376685312782</v>
      </c>
      <c r="DE29" s="15" t="n">
        <f aca="false">(DC29-DD29)*(1-EXP(-Inputs!$B$25*Inputs!$B$14*Inputs!$B$17*Inputs!$B$26/(CW29*Inputs!$B$16/0.866)))</f>
        <v>0.00733755532398839</v>
      </c>
      <c r="DF29" s="15" t="n">
        <f aca="false">(DC29-DD29-DE29)*(1-Inputs!$B$19)</f>
        <v>0.00350487730332568</v>
      </c>
      <c r="DG29" s="15" t="n">
        <f aca="false">(CZ29+DA29+DB29+DD29+DE29+DF29)*(1+Inputs!$B$27)</f>
        <v>0.303437004888104</v>
      </c>
      <c r="DH29" s="15" t="n">
        <f aca="false">Inputs!$B$52/(1-DG29-G29)</f>
        <v>195710.276553773</v>
      </c>
      <c r="DI29" s="15" t="n">
        <f aca="false">DH29/Inputs!$B$34</f>
        <v>326.183794256288</v>
      </c>
      <c r="DJ29" s="15" t="n">
        <f aca="false">B29^2/DI29</f>
        <v>11.7847669555886</v>
      </c>
      <c r="DK29" s="15" t="n">
        <f aca="false">Inputs!$B$54*H29/(Inputs!$B$35*F29+E29*H29^2/(PI()*DJ29*Inputs!$B$36))</f>
        <v>20.0535254589631</v>
      </c>
      <c r="DL29" s="15" t="n">
        <f aca="false">EXP(-Inputs!$B$11*Inputs!$B$14*Inputs!$B$17/(Inputs!$B$51*DK29*Inputs!$B$16))</f>
        <v>0.761328611796008</v>
      </c>
      <c r="DM29" s="15" t="n">
        <f aca="false">Inputs!$B$50*Inputs!$B$18*DL29*Inputs!$B$19</f>
        <v>0.743912633116016</v>
      </c>
      <c r="DN29" s="15" t="n">
        <f aca="false">1-DM29</f>
        <v>0.256087366883984</v>
      </c>
      <c r="DO29" s="15" t="n">
        <f aca="false">Inputs!$B$20*DN29</f>
        <v>0.00768262100651951</v>
      </c>
      <c r="DP29" s="15" t="n">
        <f aca="false">0.8*(1-Inputs!$B$50)*(DM29-DO29)</f>
        <v>0.00177328949700703</v>
      </c>
      <c r="DQ29" s="15" t="n">
        <f aca="false">DM29-DO29-DP29</f>
        <v>0.73445672261249</v>
      </c>
      <c r="DR29" s="15" t="n">
        <f aca="false">DQ29*(1-Inputs!$B$18*EXP(-Inputs!$B$21*Inputs!$B$14*Inputs!$B$17/(Inputs!$B$22*Inputs!$B$23*Inputs!$B$24*DK29*Inputs!$B$16))*Inputs!$B$19)</f>
        <v>0.0261375528576406</v>
      </c>
      <c r="DS29" s="15" t="n">
        <f aca="false">(DQ29-DR29)*(1-EXP(-Inputs!$B$25*Inputs!$B$14*Inputs!$B$17*Inputs!$B$26/(DK29*Inputs!$B$16/0.866)))</f>
        <v>0.00733740762603442</v>
      </c>
      <c r="DT29" s="15" t="n">
        <f aca="false">(DQ29-DR29-DS29)*(1-Inputs!$B$19)</f>
        <v>0.00350490881064408</v>
      </c>
      <c r="DU29" s="15" t="n">
        <f aca="false">(DN29+DO29+DP29+DR29+DS29+DT29)*(1+Inputs!$B$27)</f>
        <v>0.303430716121875</v>
      </c>
      <c r="DV29" s="15" t="n">
        <f aca="false">Inputs!$B$52/(1-DU29-G29)</f>
        <v>195702.893673789</v>
      </c>
      <c r="DW29" s="15" t="n">
        <f aca="false">DV29/Inputs!$B$34</f>
        <v>326.171489456314</v>
      </c>
      <c r="DX29" s="15" t="n">
        <f aca="false">B29^2/DW29</f>
        <v>11.7852115352186</v>
      </c>
      <c r="DY29" s="15" t="n">
        <f aca="false">Inputs!$B$54*H29/(Inputs!$B$35*F29+E29*H29^2/(PI()*DX29*Inputs!$B$36))</f>
        <v>20.053697426309</v>
      </c>
      <c r="DZ29" s="15" t="n">
        <f aca="false">EXP(-Inputs!$B$11*Inputs!$B$14*Inputs!$B$17/(Inputs!$B$51*DY29*Inputs!$B$16))</f>
        <v>0.761330392098164</v>
      </c>
      <c r="EA29" s="15" t="n">
        <f aca="false">Inputs!$B$50*Inputs!$B$18*DZ29*Inputs!$B$19</f>
        <v>0.743914372692389</v>
      </c>
      <c r="EB29" s="15" t="n">
        <f aca="false">1-EA29</f>
        <v>0.256085627307611</v>
      </c>
      <c r="EC29" s="15" t="n">
        <f aca="false">Inputs!$B$20*EB29</f>
        <v>0.00768256881922833</v>
      </c>
      <c r="ED29" s="15" t="n">
        <f aca="false">0.8*(1-Inputs!$B$50)*(EA29-EC29)</f>
        <v>0.00177329381266333</v>
      </c>
      <c r="EE29" s="15" t="n">
        <f aca="false">EA29-EC29-ED29</f>
        <v>0.734458510060497</v>
      </c>
      <c r="EF29" s="15" t="n">
        <f aca="false">EE29*(1-Inputs!$B$18*EXP(-Inputs!$B$21*Inputs!$B$14*Inputs!$B$17/(Inputs!$B$22*Inputs!$B$23*Inputs!$B$24*DY29*Inputs!$B$16))*Inputs!$B$19)</f>
        <v>0.0261375186143632</v>
      </c>
      <c r="EG29" s="15" t="n">
        <f aca="false">(EE29-EF29)*(1-EXP(-Inputs!$B$25*Inputs!$B$14*Inputs!$B$17*Inputs!$B$26/(DY29*Inputs!$B$16/0.866)))</f>
        <v>0.0073373639028237</v>
      </c>
      <c r="EH29" s="15" t="n">
        <f aca="false">(EE29-EF29-EG29)*(1-Inputs!$B$19)</f>
        <v>0.00350491813771656</v>
      </c>
      <c r="EI29" s="15" t="n">
        <f aca="false">(EB29+EC29+ED29+EF29+EG29+EH29)*(1+Inputs!$B$27)</f>
        <v>0.303428854466189</v>
      </c>
      <c r="EJ29" s="15" t="n">
        <f aca="false">Inputs!$B$52/(1-EI29-G29)</f>
        <v>195700.708235814</v>
      </c>
      <c r="EK29" s="15" t="n">
        <f aca="false">EJ29/Inputs!$B$34</f>
        <v>326.16784705969</v>
      </c>
      <c r="EL29" s="15" t="n">
        <f aca="false">B29^2/EK29</f>
        <v>11.7853431435764</v>
      </c>
      <c r="EM29" s="15" t="n">
        <f aca="false">Inputs!$B$54*H29/(Inputs!$B$35*F29+E29*H29^2/(PI()*EL29*Inputs!$B$36))</f>
        <v>20.0537483316664</v>
      </c>
      <c r="EN29" s="15" t="n">
        <f aca="false">EXP(-Inputs!$B$11*Inputs!$B$14*Inputs!$B$17/(Inputs!$B$51*EM29*Inputs!$B$16))</f>
        <v>0.761330919093841</v>
      </c>
      <c r="EO29" s="15" t="n">
        <f aca="false">Inputs!$B$50*Inputs!$B$18*EN29*Inputs!$B$19</f>
        <v>0.743914887632634</v>
      </c>
      <c r="EP29" s="15" t="n">
        <f aca="false">1-EO29</f>
        <v>0.256085112367367</v>
      </c>
      <c r="EQ29" s="15" t="n">
        <f aca="false">Inputs!$B$20*EP29</f>
        <v>0.007682553371021</v>
      </c>
      <c r="ER29" s="15" t="n">
        <f aca="false">0.8*(1-Inputs!$B$50)*(EO29-EQ29)</f>
        <v>0.0017732950901612</v>
      </c>
      <c r="ES29" s="15" t="n">
        <f aca="false">EO29-EQ29-ER29</f>
        <v>0.734459039171451</v>
      </c>
      <c r="ET29" s="15" t="n">
        <f aca="false">ES29*(1-Inputs!$B$18*EXP(-Inputs!$B$21*Inputs!$B$14*Inputs!$B$17/(Inputs!$B$22*Inputs!$B$23*Inputs!$B$24*EM29*Inputs!$B$16))*Inputs!$B$19)</f>
        <v>0.0261375084777984</v>
      </c>
      <c r="EU29" s="15" t="n">
        <f aca="false">(ES29-ET29)*(1-EXP(-Inputs!$B$25*Inputs!$B$14*Inputs!$B$17*Inputs!$B$26/(EM29*Inputs!$B$16/0.866)))</f>
        <v>0.00733735096007469</v>
      </c>
      <c r="EV29" s="15" t="n">
        <f aca="false">(ES29-ET29-EU29)*(1-Inputs!$B$19)</f>
        <v>0.00350492089866789</v>
      </c>
      <c r="EW29" s="15" t="n">
        <f aca="false">(EP29+EQ29+ER29+ET29+EU29+EV29)*(1+Inputs!$B$27)</f>
        <v>0.303428303388585</v>
      </c>
      <c r="EX29" s="15" t="n">
        <f aca="false">Inputs!$B$52/(1-EW29-G29)</f>
        <v>195700.061323228</v>
      </c>
      <c r="EY29" s="15" t="n">
        <f aca="false">EX29/Inputs!$B$34</f>
        <v>326.166768872047</v>
      </c>
      <c r="EZ29" s="15" t="n">
        <f aca="false">B29^2/EY29</f>
        <v>11.7853821015959</v>
      </c>
      <c r="FA29" s="15" t="n">
        <f aca="false">Inputs!$B$54*H29/(Inputs!$B$35*F29+E29*H29^2/(PI()*EZ29*Inputs!$B$36))</f>
        <v>20.0537634002363</v>
      </c>
      <c r="FB29" s="15" t="n">
        <f aca="false">EXP(-Inputs!$B$11*Inputs!$B$14*Inputs!$B$17/(Inputs!$B$51*FA29*Inputs!$B$16))</f>
        <v>0.761331075090164</v>
      </c>
      <c r="FC29" s="15" t="n">
        <f aca="false">Inputs!$B$50*Inputs!$B$18*FB29*Inputs!$B$19</f>
        <v>0.743915040060421</v>
      </c>
      <c r="FD29" s="15" t="n">
        <f aca="false">1-FC29</f>
        <v>0.256084959939579</v>
      </c>
      <c r="FE29" s="15" t="n">
        <f aca="false">Inputs!$B$20*FD29</f>
        <v>0.00768254879818737</v>
      </c>
      <c r="FF29" s="15" t="n">
        <f aca="false">0.8*(1-Inputs!$B$50)*(FC29-FE29)</f>
        <v>0.00177329546831415</v>
      </c>
      <c r="FG29" s="15" t="n">
        <f aca="false">FC29-FE29-FF29</f>
        <v>0.734459195793919</v>
      </c>
      <c r="FH29" s="15" t="n">
        <f aca="false">FG29*(1-Inputs!$B$18*EXP(-Inputs!$B$21*Inputs!$B$14*Inputs!$B$17/(Inputs!$B$22*Inputs!$B$23*Inputs!$B$24*FA29*Inputs!$B$16))*Inputs!$B$19)</f>
        <v>0.0261375054772631</v>
      </c>
      <c r="FI29" s="15" t="n">
        <f aca="false">(FG29-FH29)*(1-EXP(-Inputs!$B$25*Inputs!$B$14*Inputs!$B$17*Inputs!$B$26/(FA29*Inputs!$B$16/0.866)))</f>
        <v>0.00733734712888036</v>
      </c>
      <c r="FJ29" s="15" t="n">
        <f aca="false">(FG29-FH29-FI29)*(1-Inputs!$B$19)</f>
        <v>0.00350492171593888</v>
      </c>
      <c r="FK29" s="15" t="n">
        <f aca="false">(FD29+FE29+FF29+FH29+FI29+FJ29)*(1+Inputs!$B$27)</f>
        <v>0.303428140263747</v>
      </c>
      <c r="FL29" s="15" t="n">
        <f aca="false">Inputs!$B$52/(1-FK29-G29)</f>
        <v>195699.869831036</v>
      </c>
      <c r="FM29" s="15" t="n">
        <f aca="false">FL29/Inputs!$B$34</f>
        <v>326.166449718394</v>
      </c>
      <c r="FN29" s="15" t="n">
        <f aca="false">B29^2/FM29</f>
        <v>11.7853936335845</v>
      </c>
      <c r="FO29" s="15" t="n">
        <f aca="false">Inputs!$B$54*H29/(Inputs!$B$35*F29+E29*H29^2/(PI()*FN29*Inputs!$B$36))</f>
        <v>20.0537678606786</v>
      </c>
      <c r="FP29" s="15" t="n">
        <f aca="false">EXP(-Inputs!$B$11*Inputs!$B$14*Inputs!$B$17/(Inputs!$B$51*FO29*Inputs!$B$16))</f>
        <v>0.761331121266545</v>
      </c>
      <c r="FQ29" s="15" t="n">
        <f aca="false">Inputs!$B$50*Inputs!$B$18*FP29*Inputs!$B$19</f>
        <v>0.743915085180481</v>
      </c>
      <c r="FR29" s="15" t="n">
        <f aca="false">1-FQ29</f>
        <v>0.256084914819519</v>
      </c>
      <c r="FS29" s="15" t="n">
        <f aca="false">Inputs!$B$20*FR29</f>
        <v>0.00768254744458556</v>
      </c>
      <c r="FT29" s="15" t="n">
        <f aca="false">0.8*(1-Inputs!$B$50)*(FQ29-FS29)</f>
        <v>0.00177329558025098</v>
      </c>
      <c r="FU29" s="15" t="n">
        <f aca="false">FQ29-FS29-FT29</f>
        <v>0.734459242155645</v>
      </c>
      <c r="FV29" s="15" t="n">
        <f aca="false">FU29*(1-Inputs!$B$18*EXP(-Inputs!$B$21*Inputs!$B$14*Inputs!$B$17/(Inputs!$B$22*Inputs!$B$23*Inputs!$B$24*FO29*Inputs!$B$16))*Inputs!$B$19)</f>
        <v>0.0261375045890759</v>
      </c>
      <c r="FW29" s="15" t="n">
        <f aca="false">(FU29-FV29)*(1-EXP(-Inputs!$B$25*Inputs!$B$14*Inputs!$B$17*Inputs!$B$26/(FO29*Inputs!$B$16/0.866)))</f>
        <v>0.00733734599481054</v>
      </c>
      <c r="FX29" s="15" t="n">
        <f aca="false">(FU29-FV29-FW29)*(1-Inputs!$B$19)</f>
        <v>0.0035049219578588</v>
      </c>
      <c r="FY29" s="15" t="n">
        <f aca="false">(FR29+FS29+FT29+FV29+FW29+FX29)*(1+Inputs!$B$27)</f>
        <v>0.303428091977259</v>
      </c>
      <c r="FZ29" s="15" t="n">
        <f aca="false">Inputs!$B$52/(1-FY29-G29)</f>
        <v>195699.813147615</v>
      </c>
      <c r="GA29" s="15" t="n">
        <f aca="false">FZ29/Inputs!$B$34</f>
        <v>326.166355246025</v>
      </c>
      <c r="GB29" s="15" t="n">
        <f aca="false">B29^2/GA29</f>
        <v>11.7853970471617</v>
      </c>
      <c r="GC29" s="15" t="n">
        <f aca="false">Inputs!$B$54*H29/(Inputs!$B$35*F29+E29*H29^2/(PI()*GB29*Inputs!$B$36))</f>
        <v>20.0537691810103</v>
      </c>
      <c r="GD29" s="15" t="n">
        <f aca="false">EXP(-Inputs!$B$11*Inputs!$B$14*Inputs!$B$17/(Inputs!$B$51*GC29*Inputs!$B$16))</f>
        <v>0.761331134935172</v>
      </c>
      <c r="GE29" s="15" t="n">
        <f aca="false">Inputs!$B$50*Inputs!$B$18*GD29*Inputs!$B$19</f>
        <v>0.743915098536428</v>
      </c>
      <c r="GF29" s="15" t="n">
        <f aca="false">1-GE29</f>
        <v>0.256084901463572</v>
      </c>
      <c r="GG29" s="15" t="n">
        <f aca="false">Inputs!$B$20*GF29</f>
        <v>0.00768254704390717</v>
      </c>
      <c r="GH29" s="15" t="n">
        <f aca="false">0.8*(1-Inputs!$B$50)*(GE29-GG29)</f>
        <v>0.0017732956133853</v>
      </c>
      <c r="GI29" s="15" t="n">
        <f aca="false">GE29-GG29-GH29</f>
        <v>0.734459255879135</v>
      </c>
      <c r="GJ29" s="15" t="n">
        <f aca="false">GI29*(1-Inputs!$B$18*EXP(-Inputs!$B$21*Inputs!$B$14*Inputs!$B$17/(Inputs!$B$22*Inputs!$B$23*Inputs!$B$24*GC29*Inputs!$B$16))*Inputs!$B$19)</f>
        <v>0.0261375043261644</v>
      </c>
      <c r="GK29" s="15" t="n">
        <f aca="false">(GI29-GJ29)*(1-EXP(-Inputs!$B$25*Inputs!$B$14*Inputs!$B$17*Inputs!$B$26/(GC29*Inputs!$B$16/0.866)))</f>
        <v>0.00733734565911555</v>
      </c>
      <c r="GL29" s="15" t="n">
        <f aca="false">(GI29-GJ29-GK29)*(1-Inputs!$B$19)</f>
        <v>0.00350492202946928</v>
      </c>
      <c r="GM29" s="15" t="n">
        <f aca="false">(GF29+GG29+GH29+GJ29+GK29+GL29)*(1+Inputs!$B$27)</f>
        <v>0.303428077684021</v>
      </c>
      <c r="GN29" s="15" t="n">
        <f aca="false">Inputs!$B$52/(1-GM29-G29)</f>
        <v>195699.796368815</v>
      </c>
      <c r="GO29" s="15" t="n">
        <f aca="false">GN29/Inputs!$B$34</f>
        <v>326.166327281359</v>
      </c>
      <c r="GP29" s="15" t="n">
        <f aca="false">B29^2/GO29</f>
        <v>11.7853980576115</v>
      </c>
      <c r="GQ29" s="15" t="n">
        <f aca="false">Inputs!$B$54*H29/(Inputs!$B$35*F29+E29*H29^2/(PI()*GP29*Inputs!$B$36))</f>
        <v>20.0537695718403</v>
      </c>
      <c r="GR29" s="15" t="n">
        <f aca="false">EXP(-Inputs!$B$11*Inputs!$B$14*Inputs!$B$17/(Inputs!$B$51*GQ29*Inputs!$B$16))</f>
        <v>0.761331138981208</v>
      </c>
      <c r="GS29" s="15" t="n">
        <f aca="false">Inputs!$B$50*Inputs!$B$18*GR29*Inputs!$B$19</f>
        <v>0.743915102489908</v>
      </c>
      <c r="GT29" s="15" t="n">
        <f aca="false">1-GS29</f>
        <v>0.256084897510092</v>
      </c>
      <c r="GU29" s="15" t="n">
        <f aca="false">Inputs!$B$20*GT29</f>
        <v>0.00768254692530277</v>
      </c>
      <c r="GV29" s="15" t="n">
        <f aca="false">0.8*(1-Inputs!$B$50)*(GS29-GU29)</f>
        <v>0.00177329562319335</v>
      </c>
      <c r="GW29" s="15" t="n">
        <f aca="false">GS29-GU29-GV29</f>
        <v>0.734459259941411</v>
      </c>
      <c r="GX29" s="15" t="n">
        <f aca="false">GW29*(1-Inputs!$B$18*EXP(-Inputs!$B$21*Inputs!$B$14*Inputs!$B$17/(Inputs!$B$22*Inputs!$B$23*Inputs!$B$24*GQ29*Inputs!$B$16))*Inputs!$B$19)</f>
        <v>0.0261375042483403</v>
      </c>
      <c r="GY29" s="15" t="n">
        <f aca="false">(GW29-GX29)*(1-EXP(-Inputs!$B$25*Inputs!$B$14*Inputs!$B$17*Inputs!$B$26/(GQ29*Inputs!$B$16/0.866)))</f>
        <v>0.00733734555974682</v>
      </c>
      <c r="GZ29" s="15" t="n">
        <f aca="false">(GW29-GX29-GY29)*(1-Inputs!$B$19)</f>
        <v>0.00350492205066662</v>
      </c>
      <c r="HA29" s="15" t="n">
        <f aca="false">(GT29+GU29+GV29+GX29+GY29+GZ29)*(1+Inputs!$B$27)</f>
        <v>0.303428073453094</v>
      </c>
      <c r="HB29" s="15" t="n">
        <f aca="false">Inputs!$B$52/(1-HA29-G29)</f>
        <v>195699.791402141</v>
      </c>
      <c r="HC29" s="15" t="n">
        <f aca="false">HB29/Inputs!$B$34</f>
        <v>326.166319003568</v>
      </c>
      <c r="HD29" s="15" t="n">
        <f aca="false">B29^2/HC29</f>
        <v>11.7853983567137</v>
      </c>
      <c r="HE29" s="15" t="n">
        <f aca="false">Inputs!$B$54*H29/(Inputs!$B$35*F29+E29*H29^2/(PI()*HD29*Inputs!$B$36))</f>
        <v>20.0537696875295</v>
      </c>
      <c r="HF29" s="15" t="n">
        <f aca="false">EXP(-Inputs!$B$11*Inputs!$B$14*Inputs!$B$17/(Inputs!$B$51*HE29*Inputs!$B$16))</f>
        <v>0.761331140178871</v>
      </c>
      <c r="HG29" s="15" t="n">
        <f aca="false">Inputs!$B$50*Inputs!$B$18*HF29*Inputs!$B$19</f>
        <v>0.743915103660173</v>
      </c>
      <c r="HH29" s="15" t="n">
        <f aca="false">1-HG29</f>
        <v>0.256084896339827</v>
      </c>
      <c r="HI29" s="15" t="n">
        <f aca="false">Inputs!$B$20*HH29</f>
        <v>0.00768254689019482</v>
      </c>
      <c r="HJ29" s="15" t="n">
        <f aca="false">0.8*(1-Inputs!$B$50)*(HG29-HI29)</f>
        <v>0.00177329562609662</v>
      </c>
      <c r="HK29" s="15" t="n">
        <f aca="false">HG29-HI29-HJ29</f>
        <v>0.734459261143881</v>
      </c>
      <c r="HL29" s="15" t="n">
        <f aca="false">HK29*(1-Inputs!$B$18*EXP(-Inputs!$B$21*Inputs!$B$14*Inputs!$B$17/(Inputs!$B$22*Inputs!$B$23*Inputs!$B$24*HE29*Inputs!$B$16))*Inputs!$B$19)</f>
        <v>0.0261375042253037</v>
      </c>
      <c r="HM29" s="15" t="n">
        <f aca="false">(HK29-HL29)*(1-EXP(-Inputs!$B$25*Inputs!$B$14*Inputs!$B$17*Inputs!$B$26/(HE29*Inputs!$B$16/0.866)))</f>
        <v>0.00733734553033286</v>
      </c>
      <c r="HN29" s="15" t="n">
        <f aca="false">(HK29-HL29-HM29)*(1-Inputs!$B$19)</f>
        <v>0.00350492205694123</v>
      </c>
      <c r="HO29" s="15" t="n">
        <f aca="false">(HH29+HI29+HJ29+HL29+HM29+HN29)*(1+Inputs!$B$27)</f>
        <v>0.303428072200703</v>
      </c>
      <c r="HP29" s="15" t="n">
        <f aca="false">Inputs!$B$52/(1-HO29-G29)</f>
        <v>195699.789931961</v>
      </c>
      <c r="HQ29" s="15" t="n">
        <f aca="false">HP29/Inputs!$B$34</f>
        <v>326.166316553269</v>
      </c>
      <c r="HR29" s="15" t="n">
        <f aca="false">B29^2/HQ29</f>
        <v>11.7853984452506</v>
      </c>
      <c r="HS29" s="15" t="n">
        <f aca="false">Inputs!$B$54*H29/(Inputs!$B$35*F29+E29*H29^2/(PI()*HR29*Inputs!$B$36))</f>
        <v>20.0537697217745</v>
      </c>
      <c r="HT29" s="15" t="n">
        <f aca="false">EXP(-Inputs!$B$11*Inputs!$B$14*Inputs!$B$17/(Inputs!$B$51*HS29*Inputs!$B$16))</f>
        <v>0.761331140533389</v>
      </c>
      <c r="HU29" s="15" t="n">
        <f aca="false">Inputs!$B$50*Inputs!$B$18*HT29*Inputs!$B$19</f>
        <v>0.743915104006582</v>
      </c>
      <c r="HV29" s="15" t="n">
        <f aca="false">1-HU29</f>
        <v>0.256084895993418</v>
      </c>
      <c r="HW29" s="15" t="n">
        <f aca="false">Inputs!$B$20*HV29</f>
        <v>0.00768254687980255</v>
      </c>
      <c r="HX29" s="15" t="n">
        <f aca="false">0.8*(1-Inputs!$B$50)*(HU29-HW29)</f>
        <v>0.00177329562695602</v>
      </c>
      <c r="HY29" s="15" t="n">
        <f aca="false">HU29-HW29-HX29</f>
        <v>0.734459261499823</v>
      </c>
      <c r="HZ29" s="15" t="n">
        <f aca="false">HY29*(1-Inputs!$B$18*EXP(-Inputs!$B$21*Inputs!$B$14*Inputs!$B$17/(Inputs!$B$22*Inputs!$B$23*Inputs!$B$24*HS29*Inputs!$B$16))*Inputs!$B$19)</f>
        <v>0.0261375042184846</v>
      </c>
      <c r="IA29" s="15" t="n">
        <f aca="false">(HY29-HZ29)*(1-EXP(-Inputs!$B$25*Inputs!$B$14*Inputs!$B$17*Inputs!$B$26/(HS29*Inputs!$B$16/0.866)))</f>
        <v>0.00733734552162601</v>
      </c>
      <c r="IB29" s="15" t="n">
        <f aca="false">(HY29-HZ29-IA29)*(1-Inputs!$B$19)</f>
        <v>0.00350492205879857</v>
      </c>
      <c r="IC29" s="15" t="n">
        <f aca="false">(HV29+HW29+HX29+HZ29+IA29+IB29)*(1+Inputs!$B$27)</f>
        <v>0.303428071829983</v>
      </c>
      <c r="ID29" s="15" t="n">
        <f aca="false">Inputs!$B$52/(1-IC29-G29)</f>
        <v>195699.789496775</v>
      </c>
      <c r="IE29" s="15" t="n">
        <f aca="false">ID29/Inputs!$B$34</f>
        <v>326.166315827958</v>
      </c>
      <c r="IF29" s="15" t="n">
        <f aca="false">B29^2/IE29</f>
        <v>11.7853984714583</v>
      </c>
      <c r="IG29" s="15" t="n">
        <f aca="false">Inputs!$B$54*H29/(Inputs!$B$35*F29+E29*H29^2/(PI()*IF29*Inputs!$B$36))</f>
        <v>20.0537697319113</v>
      </c>
      <c r="IH29" s="15" t="n">
        <f aca="false">EXP(-Inputs!$B$11*Inputs!$B$14*Inputs!$B$17/(Inputs!$B$51*IG29*Inputs!$B$16))</f>
        <v>0.76133114063833</v>
      </c>
      <c r="II29" s="15" t="n">
        <f aca="false">Inputs!$B$50*Inputs!$B$18*IH29*Inputs!$B$19</f>
        <v>0.743915104109122</v>
      </c>
      <c r="IJ29" s="15" t="n">
        <f aca="false">1-II29</f>
        <v>0.256084895890878</v>
      </c>
      <c r="IK29" s="15" t="n">
        <f aca="false">Inputs!$B$20*IJ29</f>
        <v>0.00768254687672634</v>
      </c>
      <c r="IL29" s="15" t="n">
        <f aca="false">0.8*(1-Inputs!$B$50)*(II29-IK29)</f>
        <v>0.00177329562721041</v>
      </c>
      <c r="IM29" s="15" t="n">
        <f aca="false">II29-IK29-IL29</f>
        <v>0.734459261605185</v>
      </c>
      <c r="IN29" s="15" t="n">
        <f aca="false">IM29*(1-Inputs!$B$18*EXP(-Inputs!$B$21*Inputs!$B$14*Inputs!$B$17/(Inputs!$B$22*Inputs!$B$23*Inputs!$B$24*IG29*Inputs!$B$16))*Inputs!$B$19)</f>
        <v>0.0261375042164661</v>
      </c>
      <c r="IO29" s="15" t="n">
        <f aca="false">(IM29-IN29)*(1-EXP(-Inputs!$B$25*Inputs!$B$14*Inputs!$B$17*Inputs!$B$26/(IG29*Inputs!$B$16/0.866)))</f>
        <v>0.00733734551904874</v>
      </c>
      <c r="IP29" s="15" t="n">
        <f aca="false">(IM29-IN29-IO29)*(1-Inputs!$B$19)</f>
        <v>0.00350492205934836</v>
      </c>
      <c r="IQ29" s="15" t="n">
        <f aca="false">(IJ29+IK29+IL29+IN29+IO29+IP29)*(1+Inputs!$B$27)</f>
        <v>0.303428071720247</v>
      </c>
      <c r="IR29" s="15" t="n">
        <f aca="false">Inputs!$B$52/(1-IQ29-G29)</f>
        <v>195699.789367956</v>
      </c>
      <c r="IS29" s="15" t="n">
        <f aca="false">IR29/Inputs!$B$34</f>
        <v>326.16631561326</v>
      </c>
      <c r="IT29" s="15" t="n">
        <f aca="false">B29^2/IS29</f>
        <v>11.785398479216</v>
      </c>
      <c r="IU29" s="15" t="n">
        <f aca="false">Inputs!$B$54*H29/(Inputs!$B$35*F29+E29*H29^2/(PI()*IT29*Inputs!$B$36))</f>
        <v>20.0537697349119</v>
      </c>
      <c r="IV29" s="15" t="n">
        <f aca="false">EXP(-Inputs!$B$11*Inputs!$B$14*Inputs!$B$17/(Inputs!$B$51*IU29*Inputs!$B$16))</f>
        <v>0.761331140669393</v>
      </c>
      <c r="IW29" s="15" t="n">
        <f aca="false">Inputs!$B$50*Inputs!$B$18*IV29*Inputs!$B$19</f>
        <v>0.743915104139475</v>
      </c>
      <c r="IX29" s="15" t="n">
        <f aca="false">1-IW29</f>
        <v>0.256084895860525</v>
      </c>
      <c r="IY29" s="15" t="n">
        <f aca="false">Inputs!$B$20*IX29</f>
        <v>0.00768254687581576</v>
      </c>
      <c r="IZ29" s="15" t="n">
        <f aca="false">0.8*(1-Inputs!$B$50)*(IW29-IY29)</f>
        <v>0.00177329562728571</v>
      </c>
      <c r="JA29" s="15" t="n">
        <f aca="false">IW29-IY29-IZ29</f>
        <v>0.734459261636373</v>
      </c>
      <c r="JB29" s="15" t="n">
        <f aca="false">JA29*(1-Inputs!$B$18*EXP(-Inputs!$B$21*Inputs!$B$14*Inputs!$B$17/(Inputs!$B$22*Inputs!$B$23*Inputs!$B$24*IU29*Inputs!$B$16))*Inputs!$B$19)</f>
        <v>0.0261375042158686</v>
      </c>
      <c r="JC29" s="15" t="n">
        <f aca="false">(JA29-JB29)*(1-EXP(-Inputs!$B$25*Inputs!$B$14*Inputs!$B$17*Inputs!$B$26/(IU29*Inputs!$B$16/0.866)))</f>
        <v>0.00733734551828577</v>
      </c>
      <c r="JD29" s="15" t="n">
        <f aca="false">(JA29-JB29-JC29)*(1-Inputs!$B$19)</f>
        <v>0.0035049220595111</v>
      </c>
      <c r="JE29" s="15" t="n">
        <f aca="false">(IX29+IY29+IZ29+JB29+JC29+JD29)*(1+Inputs!$B$27)</f>
        <v>0.303428071687764</v>
      </c>
      <c r="JF29" s="15" t="n">
        <f aca="false">Inputs!$B$52/(1-JE29-G29)</f>
        <v>195699.789329824</v>
      </c>
      <c r="JG29" s="15" t="n">
        <f aca="false">JF29/Inputs!$B$34</f>
        <v>326.166315549707</v>
      </c>
      <c r="JH29" s="15" t="n">
        <f aca="false">B29^2/JG29</f>
        <v>11.7853984815124</v>
      </c>
      <c r="JI29" s="15" t="n">
        <f aca="false">Inputs!$B$54*H29/(Inputs!$B$35*F29+E29*H29^2/(PI()*JH29*Inputs!$B$36))</f>
        <v>20.0537697358001</v>
      </c>
      <c r="JJ29" s="15" t="n">
        <f aca="false">EXP(-Inputs!$B$11*Inputs!$B$14*Inputs!$B$17/(Inputs!$B$51*JI29*Inputs!$B$16))</f>
        <v>0.761331140678588</v>
      </c>
      <c r="JK29" s="15" t="n">
        <f aca="false">Inputs!$B$50*Inputs!$B$18*JJ29*Inputs!$B$19</f>
        <v>0.743915104148459</v>
      </c>
      <c r="JL29" s="15" t="n">
        <f aca="false">1-JK29</f>
        <v>0.256084895851541</v>
      </c>
      <c r="JM29" s="15" t="n">
        <f aca="false">Inputs!$B$20*JL29</f>
        <v>0.00768254687554622</v>
      </c>
      <c r="JN29" s="15" t="n">
        <f aca="false">0.8*(1-Inputs!$B$50)*(JK29-JM29)</f>
        <v>0.001773295627308</v>
      </c>
      <c r="JO29" s="15" t="n">
        <f aca="false">JK29-JM29-JN29</f>
        <v>0.734459261645605</v>
      </c>
      <c r="JP29" s="15" t="n">
        <f aca="false">JO29*(1-Inputs!$B$18*EXP(-Inputs!$B$21*Inputs!$B$14*Inputs!$B$17/(Inputs!$B$22*Inputs!$B$23*Inputs!$B$24*JI29*Inputs!$B$16))*Inputs!$B$19)</f>
        <v>0.0261375042156917</v>
      </c>
      <c r="JQ29" s="15" t="n">
        <f aca="false">(JO29-JP29)*(1-EXP(-Inputs!$B$25*Inputs!$B$14*Inputs!$B$17*Inputs!$B$26/(JI29*Inputs!$B$16/0.866)))</f>
        <v>0.00733734551805995</v>
      </c>
      <c r="JR29" s="15" t="n">
        <f aca="false">(JO29-JP29-JQ29)*(1-Inputs!$B$19)</f>
        <v>0.00350492205955927</v>
      </c>
      <c r="JS29" s="15" t="n">
        <f aca="false">(JL29+JM29+JN29+JP29+JQ29+JR29)*(1+Inputs!$B$27)</f>
        <v>0.303428071678149</v>
      </c>
      <c r="JT29" s="15" t="n">
        <f aca="false">Inputs!$B$52/(1-JS29-G29)</f>
        <v>195699.789318537</v>
      </c>
      <c r="JU29" s="15" t="n">
        <f aca="false">JT29/Inputs!$B$34</f>
        <v>326.166315530895</v>
      </c>
      <c r="JV29" s="15" t="n">
        <f aca="false">B29^2/JU29</f>
        <v>11.7853984821921</v>
      </c>
      <c r="JW29" s="15" t="n">
        <f aca="false">Inputs!$B$54*H29/(Inputs!$B$35*F29+E29*H29^2/(PI()*JV29*Inputs!$B$36))</f>
        <v>20.053769736063</v>
      </c>
      <c r="JX29" s="15" t="n">
        <f aca="false">EXP(-Inputs!$B$11*Inputs!$B$14*Inputs!$B$17/(Inputs!$B$51*JW29*Inputs!$B$16))</f>
        <v>0.76133114068131</v>
      </c>
      <c r="JY29" s="15" t="n">
        <f aca="false">Inputs!$B$50*Inputs!$B$18*JX29*Inputs!$B$19</f>
        <v>0.743915104151119</v>
      </c>
      <c r="JZ29" s="15" t="n">
        <f aca="false">1-JY29</f>
        <v>0.256084895848881</v>
      </c>
      <c r="KA29" s="15" t="n">
        <f aca="false">Inputs!$B$20*JZ29</f>
        <v>0.00768254687546643</v>
      </c>
      <c r="KB29" s="15" t="n">
        <f aca="false">0.8*(1-Inputs!$B$50)*(JY29-KA29)</f>
        <v>0.0017732956273146</v>
      </c>
      <c r="KC29" s="15" t="n">
        <f aca="false">JY29-KA29-KB29</f>
        <v>0.734459261648338</v>
      </c>
      <c r="KD29" s="15" t="n">
        <f aca="false">KC29*(1-Inputs!$B$18*EXP(-Inputs!$B$21*Inputs!$B$14*Inputs!$B$17/(Inputs!$B$22*Inputs!$B$23*Inputs!$B$24*JW29*Inputs!$B$16))*Inputs!$B$19)</f>
        <v>0.0261375042156393</v>
      </c>
      <c r="KE29" s="15" t="n">
        <f aca="false">(KC29-KD29)*(1-EXP(-Inputs!$B$25*Inputs!$B$14*Inputs!$B$17*Inputs!$B$26/(JW29*Inputs!$B$16/0.866)))</f>
        <v>0.00733734551799318</v>
      </c>
      <c r="KF29" s="15" t="n">
        <f aca="false">(KC29-KD29-KE29)*(1-Inputs!$B$19)</f>
        <v>0.00350492205957353</v>
      </c>
      <c r="KG29" s="15" t="n">
        <f aca="false">(JZ29+KA29+KB29+KD29+KE29+KF29)*(1+Inputs!$B$27)</f>
        <v>0.303428071675303</v>
      </c>
      <c r="KH29" s="15" t="n">
        <f aca="false">Inputs!$B$52/(1-KG29-G29)</f>
        <v>195699.789315196</v>
      </c>
      <c r="KI29" s="15" t="n">
        <f aca="false">KH29/Inputs!$B$34</f>
        <v>326.166315525326</v>
      </c>
      <c r="KJ29" s="15" t="n">
        <f aca="false">B29^2/KI29</f>
        <v>11.7853984823933</v>
      </c>
      <c r="KK29" s="15" t="n">
        <f aca="false">Inputs!$B$54*H29/(Inputs!$B$35*F29+E29*H29^2/(PI()*KJ29*Inputs!$B$36))</f>
        <v>20.0537697361409</v>
      </c>
      <c r="KL29" s="15" t="n">
        <f aca="false">EXP(-Inputs!$B$11*Inputs!$B$14*Inputs!$B$17/(Inputs!$B$51*KK29*Inputs!$B$16))</f>
        <v>0.761331140682116</v>
      </c>
      <c r="KM29" s="15" t="n">
        <f aca="false">Inputs!$B$50*Inputs!$B$18*KL29*Inputs!$B$19</f>
        <v>0.743915104151906</v>
      </c>
      <c r="KN29" s="15" t="n">
        <f aca="false">1-KM29</f>
        <v>0.256084895848094</v>
      </c>
      <c r="KO29" s="15" t="n">
        <f aca="false">Inputs!$B$20*KN29</f>
        <v>0.00768254687544282</v>
      </c>
      <c r="KP29" s="15" t="n">
        <f aca="false">0.8*(1-Inputs!$B$50)*(KM29-KO29)</f>
        <v>0.00177329562731655</v>
      </c>
      <c r="KQ29" s="15" t="n">
        <f aca="false">KM29-KO29-KP29</f>
        <v>0.734459261649147</v>
      </c>
      <c r="KR29" s="15" t="n">
        <f aca="false">KQ29*(1-Inputs!$B$18*EXP(-Inputs!$B$21*Inputs!$B$14*Inputs!$B$17/(Inputs!$B$22*Inputs!$B$23*Inputs!$B$24*KK29*Inputs!$B$16))*Inputs!$B$19)</f>
        <v>0.0261375042156239</v>
      </c>
      <c r="KS29" s="15" t="n">
        <f aca="false">(KQ29-KR29)*(1-EXP(-Inputs!$B$25*Inputs!$B$14*Inputs!$B$17*Inputs!$B$26/(KK29*Inputs!$B$16/0.866)))</f>
        <v>0.00733734551797332</v>
      </c>
      <c r="KT29" s="15" t="n">
        <f aca="false">(KQ29-KR29-KS29)*(1-Inputs!$B$19)</f>
        <v>0.00350492205957775</v>
      </c>
      <c r="KU29" s="15" t="n">
        <f aca="false">(KN29+KO29+KP29+KR29+KS29+KT29)*(1+Inputs!$B$27)</f>
        <v>0.30342807167446</v>
      </c>
      <c r="KV29" s="15" t="n">
        <f aca="false">Inputs!$B$52/(1-KU29-G29)</f>
        <v>195699.789314207</v>
      </c>
      <c r="KW29" s="15" t="n">
        <f aca="false">KV29/Inputs!$B$34</f>
        <v>326.166315523678</v>
      </c>
      <c r="KX29" s="15" t="n">
        <f aca="false">B29^2/KW29</f>
        <v>11.7853984824529</v>
      </c>
      <c r="KY29" s="15" t="n">
        <f aca="false">Inputs!$B$54*H29/(Inputs!$B$35*F29+E29*H29^2/(PI()*KX29*Inputs!$B$36))</f>
        <v>20.0537697361639</v>
      </c>
      <c r="KZ29" s="15" t="n">
        <f aca="false">EXP(-Inputs!$B$11*Inputs!$B$14*Inputs!$B$17/(Inputs!$B$51*KY29*Inputs!$B$16))</f>
        <v>0.761331140682354</v>
      </c>
      <c r="LA29" s="15" t="n">
        <f aca="false">Inputs!$B$50*Inputs!$B$18*KZ29*Inputs!$B$19</f>
        <v>0.743915104152139</v>
      </c>
      <c r="LB29" s="15" t="n">
        <f aca="false">1-LA29</f>
        <v>0.256084895847861</v>
      </c>
      <c r="LC29" s="15" t="n">
        <f aca="false">Inputs!$B$20*LB29</f>
        <v>0.00768254687543582</v>
      </c>
      <c r="LD29" s="15" t="n">
        <f aca="false">0.8*(1-Inputs!$B$50)*(LA29-LC29)</f>
        <v>0.00177329562731713</v>
      </c>
      <c r="LE29" s="15" t="n">
        <f aca="false">LA29-LC29-LD29</f>
        <v>0.734459261649386</v>
      </c>
      <c r="LF29" s="15" t="n">
        <f aca="false">LE29*(1-Inputs!$B$18*EXP(-Inputs!$B$21*Inputs!$B$14*Inputs!$B$17/(Inputs!$B$22*Inputs!$B$23*Inputs!$B$24*KY29*Inputs!$B$16))*Inputs!$B$19)</f>
        <v>0.0261375042156193</v>
      </c>
      <c r="LG29" s="15" t="n">
        <f aca="false">(LE29-LF29)*(1-EXP(-Inputs!$B$25*Inputs!$B$14*Inputs!$B$17*Inputs!$B$26/(KY29*Inputs!$B$16/0.866)))</f>
        <v>0.00733734551796752</v>
      </c>
      <c r="LH29" s="15" t="n">
        <f aca="false">(LE29-LF29-LG29)*(1-Inputs!$B$19)</f>
        <v>0.003504922059579</v>
      </c>
      <c r="LI29" s="15" t="n">
        <f aca="false">(LB29+LC29+LD29+LF29+LG29+LH29)*(1+Inputs!$B$27)</f>
        <v>0.303428071674211</v>
      </c>
      <c r="LJ29" s="15" t="n">
        <f aca="false">Inputs!$B$52/(1-LI29-G29)</f>
        <v>195699.789313914</v>
      </c>
      <c r="LK29" s="15" t="n">
        <f aca="false">LJ29/Inputs!$B$34</f>
        <v>326.16631552319</v>
      </c>
      <c r="LL29" s="15" t="n">
        <f aca="false">B29^2/LK29</f>
        <v>11.7853984824705</v>
      </c>
      <c r="LM29" s="15" t="n">
        <f aca="false">Inputs!$B$54*H29/(Inputs!$B$35*F29+E29*H29^2/(PI()*LL29*Inputs!$B$36))</f>
        <v>20.0537697361707</v>
      </c>
      <c r="LN29" s="15" t="n">
        <f aca="false">EXP(-Inputs!$B$11*Inputs!$B$14*Inputs!$B$17/(Inputs!$B$51*LM29*Inputs!$B$16))</f>
        <v>0.761331140682425</v>
      </c>
      <c r="LO29" s="15" t="n">
        <f aca="false">Inputs!$B$50*Inputs!$B$18*LN29*Inputs!$B$19</f>
        <v>0.743915104152208</v>
      </c>
      <c r="LP29" s="15" t="n">
        <f aca="false">1-LO29</f>
        <v>0.256084895847792</v>
      </c>
      <c r="LQ29" s="15" t="n">
        <f aca="false">Inputs!$B$20*LP29</f>
        <v>0.00768254687543375</v>
      </c>
      <c r="LR29" s="15" t="n">
        <f aca="false">0.8*(1-Inputs!$B$50)*(LO29-LQ29)</f>
        <v>0.0017732956273173</v>
      </c>
      <c r="LS29" s="15" t="n">
        <f aca="false">LO29-LQ29-LR29</f>
        <v>0.734459261649457</v>
      </c>
      <c r="LT29" s="15" t="n">
        <f aca="false">LS29*(1-Inputs!$B$18*EXP(-Inputs!$B$21*Inputs!$B$14*Inputs!$B$17/(Inputs!$B$22*Inputs!$B$23*Inputs!$B$24*LM29*Inputs!$B$16))*Inputs!$B$19)</f>
        <v>0.026137504215618</v>
      </c>
      <c r="LU29" s="15" t="n">
        <f aca="false">(LS29-LT29)*(1-EXP(-Inputs!$B$25*Inputs!$B$14*Inputs!$B$17*Inputs!$B$26/(LM29*Inputs!$B$16/0.866)))</f>
        <v>0.00733734551796575</v>
      </c>
      <c r="LV29" s="15" t="n">
        <f aca="false">(LS29-LT29-LU29)*(1-Inputs!$B$19)</f>
        <v>0.00350492205957937</v>
      </c>
      <c r="LW29" s="15" t="n">
        <f aca="false">(LP29+LQ29+LR29+LT29+LU29+LV29)*(1+Inputs!$B$27)</f>
        <v>0.303428071674137</v>
      </c>
      <c r="LX29" s="15" t="n">
        <f aca="false">Inputs!$B$52/(1-LW29-G29)</f>
        <v>195699.789313828</v>
      </c>
      <c r="LY29" s="15" t="n">
        <f aca="false">LX29/Inputs!$B$34</f>
        <v>326.166315523046</v>
      </c>
      <c r="LZ29" s="15" t="n">
        <f aca="false">B29^2/LY29</f>
        <v>11.7853984824757</v>
      </c>
      <c r="MA29" s="15" t="n">
        <f aca="false">Inputs!$B$54*H29/(Inputs!$B$35*F29+E29*H29^2/(PI()*LZ29*Inputs!$B$36))</f>
        <v>20.0537697361727</v>
      </c>
      <c r="MB29" s="15" t="n">
        <f aca="false">EXP(-Inputs!$B$11*Inputs!$B$14*Inputs!$B$17/(Inputs!$B$51*MA29*Inputs!$B$16))</f>
        <v>0.761331140682446</v>
      </c>
      <c r="MC29" s="15" t="n">
        <f aca="false">Inputs!$B$50*Inputs!$B$18*MB29*Inputs!$B$19</f>
        <v>0.743915104152229</v>
      </c>
      <c r="MD29" s="15" t="n">
        <f aca="false">1-MC29</f>
        <v>0.256084895847771</v>
      </c>
      <c r="ME29" s="15" t="n">
        <f aca="false">Inputs!$B$20*MD29</f>
        <v>0.00768254687543314</v>
      </c>
      <c r="MF29" s="15" t="n">
        <f aca="false">0.8*(1-Inputs!$B$50)*(MC29-ME29)</f>
        <v>0.00177329562731735</v>
      </c>
      <c r="MG29" s="15" t="n">
        <f aca="false">MC29-ME29-MF29</f>
        <v>0.734459261649478</v>
      </c>
      <c r="MH29" s="15" t="n">
        <f aca="false">MG29*(1-Inputs!$B$18*EXP(-Inputs!$B$21*Inputs!$B$14*Inputs!$B$17/(Inputs!$B$22*Inputs!$B$23*Inputs!$B$24*MA29*Inputs!$B$16))*Inputs!$B$19)</f>
        <v>0.0261375042156175</v>
      </c>
      <c r="MI29" s="15" t="n">
        <f aca="false">(MG29-MH29)*(1-EXP(-Inputs!$B$25*Inputs!$B$14*Inputs!$B$17*Inputs!$B$26/(MA29*Inputs!$B$16/0.866)))</f>
        <v>0.00733734551796526</v>
      </c>
      <c r="MJ29" s="15" t="n">
        <f aca="false">(MG29-MH29-MI29)*(1-Inputs!$B$19)</f>
        <v>0.00350492205957948</v>
      </c>
      <c r="MK29" s="15" t="n">
        <f aca="false">(MD29+ME29+MF29+MH29+MI29+MJ29)*(1+Inputs!$B$27)</f>
        <v>0.303428071674115</v>
      </c>
      <c r="ML29" s="15" t="n">
        <f aca="false">Inputs!$B$52/(1-MK29-G29)</f>
        <v>195699.789313802</v>
      </c>
      <c r="MM29" s="15" t="n">
        <f aca="false">ML29/Inputs!$B$34</f>
        <v>326.166315523003</v>
      </c>
      <c r="MN29" s="15" t="n">
        <f aca="false">B29^2/MM29</f>
        <v>11.7853984824773</v>
      </c>
      <c r="MO29" s="15" t="n">
        <f aca="false">Inputs!$B$54*H29/(Inputs!$B$35*F29+E29*H29^2/(PI()*MN29*Inputs!$B$36))</f>
        <v>20.0537697361733</v>
      </c>
      <c r="MP29" s="15" t="n">
        <f aca="false">EXP(-Inputs!$B$11*Inputs!$B$14*Inputs!$B$17/(Inputs!$B$51*MO29*Inputs!$B$16))</f>
        <v>0.761331140682452</v>
      </c>
      <c r="MQ29" s="15" t="n">
        <f aca="false">Inputs!$B$50*Inputs!$B$18*MP29*Inputs!$B$19</f>
        <v>0.743915104152235</v>
      </c>
      <c r="MR29" s="15" t="n">
        <f aca="false">1-MQ29</f>
        <v>0.256084895847765</v>
      </c>
      <c r="MS29" s="15" t="n">
        <f aca="false">Inputs!$B$20*MR29</f>
        <v>0.00768254687543296</v>
      </c>
      <c r="MT29" s="15" t="n">
        <f aca="false">0.8*(1-Inputs!$B$50)*(MQ29-MS29)</f>
        <v>0.00177329562731736</v>
      </c>
      <c r="MU29" s="15" t="n">
        <f aca="false">MQ29-MS29-MT29</f>
        <v>0.734459261649485</v>
      </c>
      <c r="MV29" s="15" t="n">
        <f aca="false">MU29*(1-Inputs!$B$18*EXP(-Inputs!$B$21*Inputs!$B$14*Inputs!$B$17/(Inputs!$B$22*Inputs!$B$23*Inputs!$B$24*MO29*Inputs!$B$16))*Inputs!$B$19)</f>
        <v>0.0261375042156174</v>
      </c>
      <c r="MW29" s="15" t="n">
        <f aca="false">(MU29-MV29)*(1-EXP(-Inputs!$B$25*Inputs!$B$14*Inputs!$B$17*Inputs!$B$26/(MO29*Inputs!$B$16/0.866)))</f>
        <v>0.00733734551796509</v>
      </c>
      <c r="MX29" s="15" t="n">
        <f aca="false">(MU29-MV29-MW29)*(1-Inputs!$B$19)</f>
        <v>0.00350492205957951</v>
      </c>
      <c r="MY29" s="15" t="n">
        <f aca="false">(MR29+MS29+MT29+MV29+MW29+MX29)*(1+Inputs!$B$27)</f>
        <v>0.303428071674109</v>
      </c>
      <c r="MZ29" s="15" t="n">
        <f aca="false">Inputs!$B$52/(1-MY29-G29)</f>
        <v>195699.789313794</v>
      </c>
      <c r="NA29" s="15" t="n">
        <f aca="false">MZ29/Inputs!$B$34</f>
        <v>326.16631552299</v>
      </c>
      <c r="NB29" s="15" t="n">
        <f aca="false">B29^2/NA29</f>
        <v>11.7853984824777</v>
      </c>
      <c r="NC29" s="15" t="n">
        <f aca="false">Inputs!$B$54*H29/(Inputs!$B$35*F29+E29*H29^2/(PI()*NB29*Inputs!$B$36))</f>
        <v>20.0537697361735</v>
      </c>
      <c r="ND29" s="15" t="n">
        <f aca="false">EXP(-Inputs!$B$11*Inputs!$B$14*Inputs!$B$17/(Inputs!$B$51*NC29*Inputs!$B$16))</f>
        <v>0.761331140682454</v>
      </c>
      <c r="NE29" s="15" t="n">
        <f aca="false">Inputs!$B$50*Inputs!$B$18*ND29*Inputs!$B$19</f>
        <v>0.743915104152237</v>
      </c>
      <c r="NF29" s="15" t="n">
        <f aca="false">1-NE29</f>
        <v>0.256084895847764</v>
      </c>
      <c r="NG29" s="15" t="n">
        <f aca="false">Inputs!$B$20*NF29</f>
        <v>0.00768254687543291</v>
      </c>
      <c r="NH29" s="15" t="n">
        <f aca="false">0.8*(1-Inputs!$B$50)*(NE29-NG29)</f>
        <v>0.00177329562731737</v>
      </c>
      <c r="NI29" s="15" t="n">
        <f aca="false">NE29-NG29-NH29</f>
        <v>0.734459261649486</v>
      </c>
      <c r="NJ29" s="15" t="n">
        <f aca="false">NI29*(1-Inputs!$B$18*EXP(-Inputs!$B$21*Inputs!$B$14*Inputs!$B$17/(Inputs!$B$22*Inputs!$B$23*Inputs!$B$24*NC29*Inputs!$B$16))*Inputs!$B$19)</f>
        <v>0.0261375042156174</v>
      </c>
      <c r="NK29" s="15" t="n">
        <f aca="false">(NI29-NJ29)*(1-EXP(-Inputs!$B$25*Inputs!$B$14*Inputs!$B$17*Inputs!$B$26/(NC29*Inputs!$B$16/0.866)))</f>
        <v>0.00733734551796503</v>
      </c>
      <c r="NL29" s="15" t="n">
        <f aca="false">(NI29-NJ29-NK29)*(1-Inputs!$B$19)</f>
        <v>0.00350492205957952</v>
      </c>
      <c r="NM29" s="15" t="n">
        <f aca="false">(NF29+NG29+NH29+NJ29+NK29+NL29)*(1+Inputs!$B$27)</f>
        <v>0.303428071674107</v>
      </c>
      <c r="NN29" s="15" t="n">
        <f aca="false">Inputs!$B$52/(1-NM29-G29)</f>
        <v>195699.789313792</v>
      </c>
    </row>
    <row r="30" customFormat="false" ht="15" hidden="false" customHeight="false" outlineLevel="0" collapsed="false">
      <c r="A30" s="0" t="s">
        <v>500</v>
      </c>
      <c r="B30" s="0" t="n">
        <v>64</v>
      </c>
      <c r="C30" s="12" t="n">
        <v>0</v>
      </c>
      <c r="D30" s="13" t="n">
        <f aca="false">B30*C30</f>
        <v>0</v>
      </c>
      <c r="E30" s="14" t="n">
        <f aca="false">IF(C30=0,1,(1+0.45*C30)/(1.04+2.81*C30))</f>
        <v>1</v>
      </c>
      <c r="F30" s="14" t="n">
        <f aca="false">1+Inputs!$B$42*D30</f>
        <v>1</v>
      </c>
      <c r="G30" s="15" t="n">
        <f aca="false">Inputs!$B$31+Inputs!$B$43*(B30/Inputs!$B$32-1)</f>
        <v>0.52</v>
      </c>
      <c r="H30" s="12" t="n">
        <f aca="false">Inputs!$B$37</f>
        <v>0.5</v>
      </c>
      <c r="I30" s="13" t="n">
        <f aca="false">Inputs!$B$39</f>
        <v>2.6</v>
      </c>
      <c r="J30" s="16" t="n">
        <f aca="false">NN30/Inputs!$B$34</f>
        <v>330.283408086591</v>
      </c>
      <c r="K30" s="13" t="n">
        <f aca="false">B30^2/J30</f>
        <v>12.4014706755301</v>
      </c>
      <c r="L30" s="13" t="n">
        <f aca="false">K30</f>
        <v>12.4014706755301</v>
      </c>
      <c r="M30" s="12" t="n">
        <f aca="false">NC30</f>
        <v>18.999999999997</v>
      </c>
      <c r="N30" s="13" t="n">
        <f aca="false">B30/SQRT(E30)</f>
        <v>64</v>
      </c>
      <c r="O30" s="14" t="n">
        <f aca="false">NM30</f>
        <v>0.315368660160657</v>
      </c>
      <c r="P30" s="13" t="n">
        <f aca="false">NN30/1000</f>
        <v>198.170044851955</v>
      </c>
      <c r="Q30" s="13" t="n">
        <f aca="false">G30*NN30/1000</f>
        <v>103.048423323017</v>
      </c>
      <c r="R30" s="13" t="n">
        <f aca="false">NM30*NN30/1000</f>
        <v>62.4966215289383</v>
      </c>
      <c r="S30" s="13" t="n">
        <f aca="false">NM30*NN30/Inputs!$B$28/1000</f>
        <v>83.3288287052511</v>
      </c>
      <c r="T30" s="17" t="n">
        <f aca="false">R30/Sweep!$R$5-1</f>
        <v>3.30402372128447E-013</v>
      </c>
      <c r="U30" s="17" t="n">
        <f aca="false">R30/SUMIFS(Sweep!$R:$R,Sweep!$A:$A,"Conventional",Sweep!$B:$B,B30)-1</f>
        <v>0</v>
      </c>
      <c r="V30" s="16" t="n">
        <f aca="false">1*0.54*(J30/1)^1.5/SQRT(L30)*Inputs!$B$46*Inputs!$B$47</f>
        <v>86.0595183811995</v>
      </c>
      <c r="W30" s="18" t="n">
        <f aca="false">MIN(1,V30/S30)</f>
        <v>1</v>
      </c>
      <c r="X30" s="16" t="n">
        <f aca="false">1.23*SQRT(2*Inputs!$B$41*NN30*Inputs!$B$49/(1.225*J30*I30))/0.5144</f>
        <v>128.387239561919</v>
      </c>
      <c r="Y30" s="19" t="n">
        <f aca="false">(11000+6341.6*LN(0.36392/(2*Inputs!$B$50*Inputs!$B$18*(1+ND30)/2*Inputs!$B$34*Inputs!$B$49/((Inputs!$B$12*295.07)^2*H30))))/0.3048</f>
        <v>38661.9819801925</v>
      </c>
      <c r="Z30" s="16" t="n">
        <f aca="false">NN30-MZ30</f>
        <v>-5.47734089195728E-008</v>
      </c>
      <c r="AA30" s="20" t="str">
        <f aca="false">IF(ABS(NN30-MZ30)&lt;10,"Yes","No")</f>
        <v>Yes</v>
      </c>
      <c r="AC30" s="15" t="n">
        <f aca="false">Inputs!$B$52/(1-0.3154-G30)/Inputs!$B$34</f>
        <v>330.346294046173</v>
      </c>
      <c r="AD30" s="15" t="n">
        <f aca="false">B30^2/AC30</f>
        <v>12.3991098850575</v>
      </c>
      <c r="AE30" s="15" t="n">
        <f aca="false">Inputs!$B$54*H30/(Inputs!$B$35*F30+E30*H30^2/(PI()*AD30*Inputs!$B$36))</f>
        <v>18.9988403769902</v>
      </c>
      <c r="AF30" s="15" t="n">
        <f aca="false">EXP(-Inputs!$B$11*Inputs!$B$14*Inputs!$B$17/(Inputs!$B$51*AE30*Inputs!$B$16))</f>
        <v>0.749890498727214</v>
      </c>
      <c r="AG30" s="15" t="n">
        <f aca="false">Inputs!$B$50*Inputs!$B$18*AF30*Inputs!$B$19</f>
        <v>0.732736175697962</v>
      </c>
      <c r="AH30" s="15" t="n">
        <f aca="false">1-AG30</f>
        <v>0.267263824302038</v>
      </c>
      <c r="AI30" s="15" t="n">
        <f aca="false">Inputs!$B$20*AH30</f>
        <v>0.00801791472906115</v>
      </c>
      <c r="AJ30" s="15" t="n">
        <f aca="false">0.8*(1-Inputs!$B$50)*(AG30-AI30)</f>
        <v>0.00174556220111578</v>
      </c>
      <c r="AK30" s="15" t="n">
        <f aca="false">AG30-AI30-AJ30</f>
        <v>0.722972698767785</v>
      </c>
      <c r="AL30" s="15" t="n">
        <f aca="false">AK30*(1-Inputs!$B$18*EXP(-Inputs!$B$21*Inputs!$B$14*Inputs!$B$17/(Inputs!$B$22*Inputs!$B$23*Inputs!$B$24*AE30*Inputs!$B$16))*Inputs!$B$19)</f>
        <v>0.0263521456598866</v>
      </c>
      <c r="AM30" s="15" t="n">
        <f aca="false">(AK30-AL30)*(1-EXP(-Inputs!$B$25*Inputs!$B$14*Inputs!$B$17*Inputs!$B$26/(AE30*Inputs!$B$16/0.866)))</f>
        <v>0.00761462071053838</v>
      </c>
      <c r="AN30" s="15" t="n">
        <f aca="false">(AK30-AL30-AM30)*(1-Inputs!$B$19)</f>
        <v>0.0034450296619868</v>
      </c>
      <c r="AO30" s="15" t="n">
        <f aca="false">(AH30+AI30+AJ30+AL30+AM30+AN30)*(1+Inputs!$B$27)</f>
        <v>0.315382414556421</v>
      </c>
      <c r="AP30" s="15" t="n">
        <f aca="false">Inputs!$B$52/(1-AO30-G30)</f>
        <v>198186.602677281</v>
      </c>
      <c r="AQ30" s="15" t="n">
        <f aca="false">AP30/Inputs!$B$34</f>
        <v>330.311004462136</v>
      </c>
      <c r="AR30" s="15" t="n">
        <f aca="false">B30^2/AQ30</f>
        <v>12.4004345742878</v>
      </c>
      <c r="AS30" s="15" t="n">
        <f aca="false">Inputs!$B$54*H30/(Inputs!$B$35*F30+E30*H30^2/(PI()*AR30*Inputs!$B$36))</f>
        <v>18.9994911028089</v>
      </c>
      <c r="AT30" s="15" t="n">
        <f aca="false">EXP(-Inputs!$B$11*Inputs!$B$14*Inputs!$B$17/(Inputs!$B$51*AS30*Inputs!$B$16))</f>
        <v>0.749897891191405</v>
      </c>
      <c r="AU30" s="15" t="n">
        <f aca="false">Inputs!$B$50*Inputs!$B$18*AT30*Inputs!$B$19</f>
        <v>0.732743399053837</v>
      </c>
      <c r="AV30" s="15" t="n">
        <f aca="false">1-AU30</f>
        <v>0.267256600946163</v>
      </c>
      <c r="AW30" s="15" t="n">
        <f aca="false">Inputs!$B$20*AV30</f>
        <v>0.00801769802838489</v>
      </c>
      <c r="AX30" s="15" t="n">
        <f aca="false">0.8*(1-Inputs!$B$50)*(AU30-AW30)</f>
        <v>0.00174558012129551</v>
      </c>
      <c r="AY30" s="15" t="n">
        <f aca="false">AU30-AW30-AX30</f>
        <v>0.722980120904157</v>
      </c>
      <c r="AZ30" s="15" t="n">
        <f aca="false">AY30*(1-Inputs!$B$18*EXP(-Inputs!$B$21*Inputs!$B$14*Inputs!$B$17/(Inputs!$B$22*Inputs!$B$23*Inputs!$B$24*AS30*Inputs!$B$16))*Inputs!$B$19)</f>
        <v>0.0263520104817995</v>
      </c>
      <c r="BA30" s="15" t="n">
        <f aca="false">(AY30-AZ30)*(1-EXP(-Inputs!$B$25*Inputs!$B$14*Inputs!$B$17*Inputs!$B$26/(AS30*Inputs!$B$16/0.866)))</f>
        <v>0.00761444394771149</v>
      </c>
      <c r="BB30" s="15" t="n">
        <f aca="false">(AY30-AZ30-BA30)*(1-Inputs!$B$19)</f>
        <v>0.00344506833237323</v>
      </c>
      <c r="BC30" s="15" t="n">
        <f aca="false">(AV30+AW30+AX30+AZ30+BA30+BB30)*(1+Inputs!$B$27)</f>
        <v>0.315374696063301</v>
      </c>
      <c r="BD30" s="15" t="n">
        <f aca="false">Inputs!$B$52/(1-BC30-G30)</f>
        <v>198177.310655382</v>
      </c>
      <c r="BE30" s="15" t="n">
        <f aca="false">BD30/Inputs!$B$34</f>
        <v>330.29551775897</v>
      </c>
      <c r="BF30" s="15" t="n">
        <f aca="false">B30^2/BE30</f>
        <v>12.4010159986156</v>
      </c>
      <c r="BG30" s="15" t="n">
        <f aca="false">Inputs!$B$54*H30/(Inputs!$B$35*F30+E30*H30^2/(PI()*BF30*Inputs!$B$36))</f>
        <v>18.9997766854963</v>
      </c>
      <c r="BH30" s="15" t="n">
        <f aca="false">EXP(-Inputs!$B$11*Inputs!$B$14*Inputs!$B$17/(Inputs!$B$51*BG30*Inputs!$B$16))</f>
        <v>0.749901135369925</v>
      </c>
      <c r="BI30" s="15" t="n">
        <f aca="false">Inputs!$B$50*Inputs!$B$18*BH30*Inputs!$B$19</f>
        <v>0.732746569019274</v>
      </c>
      <c r="BJ30" s="15" t="n">
        <f aca="false">1-BI30</f>
        <v>0.267253430980726</v>
      </c>
      <c r="BK30" s="15" t="n">
        <f aca="false">Inputs!$B$20*BJ30</f>
        <v>0.00801760292942179</v>
      </c>
      <c r="BL30" s="15" t="n">
        <f aca="false">0.8*(1-Inputs!$B$50)*(BI30-BK30)</f>
        <v>0.00174558798555575</v>
      </c>
      <c r="BM30" s="15" t="n">
        <f aca="false">BI30-BK30-BL30</f>
        <v>0.722983378104296</v>
      </c>
      <c r="BN30" s="15" t="n">
        <f aca="false">BM30*(1-Inputs!$B$18*EXP(-Inputs!$B$21*Inputs!$B$14*Inputs!$B$17/(Inputs!$B$22*Inputs!$B$23*Inputs!$B$24*BG30*Inputs!$B$16))*Inputs!$B$19)</f>
        <v>0.0263519511575343</v>
      </c>
      <c r="BO30" s="15" t="n">
        <f aca="false">(BM30-BN30)*(1-EXP(-Inputs!$B$25*Inputs!$B$14*Inputs!$B$17*Inputs!$B$26/(BG30*Inputs!$B$16/0.866)))</f>
        <v>0.00761436637446527</v>
      </c>
      <c r="BP30" s="15" t="n">
        <f aca="false">(BM30-BN30-BO30)*(1-Inputs!$B$19)</f>
        <v>0.00344508530286149</v>
      </c>
      <c r="BQ30" s="15" t="n">
        <f aca="false">(BJ30+BK30+BL30+BN30+BO30+BP30)*(1+Inputs!$B$27)</f>
        <v>0.315371308804757</v>
      </c>
      <c r="BR30" s="15" t="n">
        <f aca="false">Inputs!$B$52/(1-BQ30-G30)</f>
        <v>198173.233129261</v>
      </c>
      <c r="BS30" s="15" t="n">
        <f aca="false">BR30/Inputs!$B$34</f>
        <v>330.288721882101</v>
      </c>
      <c r="BT30" s="15" t="n">
        <f aca="false">B30^2/BS30</f>
        <v>12.4012711565189</v>
      </c>
      <c r="BU30" s="15" t="n">
        <f aca="false">Inputs!$B$54*H30/(Inputs!$B$35*F30+E30*H30^2/(PI()*BT30*Inputs!$B$36))</f>
        <v>18.9999020076344</v>
      </c>
      <c r="BV30" s="15" t="n">
        <f aca="false">EXP(-Inputs!$B$11*Inputs!$B$14*Inputs!$B$17/(Inputs!$B$51*BU30*Inputs!$B$16))</f>
        <v>0.749902558985148</v>
      </c>
      <c r="BW30" s="15" t="n">
        <f aca="false">Inputs!$B$50*Inputs!$B$18*BV30*Inputs!$B$19</f>
        <v>0.732747960068202</v>
      </c>
      <c r="BX30" s="15" t="n">
        <f aca="false">1-BW30</f>
        <v>0.267252039931798</v>
      </c>
      <c r="BY30" s="15" t="n">
        <f aca="false">Inputs!$B$20*BX30</f>
        <v>0.00801756119795395</v>
      </c>
      <c r="BZ30" s="15" t="n">
        <f aca="false">0.8*(1-Inputs!$B$50)*(BW30-BY30)</f>
        <v>0.00174559143656207</v>
      </c>
      <c r="CA30" s="15" t="n">
        <f aca="false">BW30-BY30-BZ30</f>
        <v>0.722984807433686</v>
      </c>
      <c r="CB30" s="15" t="n">
        <f aca="false">CA30*(1-Inputs!$B$18*EXP(-Inputs!$B$21*Inputs!$B$14*Inputs!$B$17/(Inputs!$B$22*Inputs!$B$23*Inputs!$B$24*BU30*Inputs!$B$16))*Inputs!$B$19)</f>
        <v>0.0263519251244947</v>
      </c>
      <c r="CC30" s="15" t="n">
        <f aca="false">(CA30-CB30)*(1-EXP(-Inputs!$B$25*Inputs!$B$14*Inputs!$B$17*Inputs!$B$26/(BU30*Inputs!$B$16/0.866)))</f>
        <v>0.00761433233346892</v>
      </c>
      <c r="CD30" s="15" t="n">
        <f aca="false">(CA30-CB30-CC30)*(1-Inputs!$B$19)</f>
        <v>0.00344509274987861</v>
      </c>
      <c r="CE30" s="15" t="n">
        <f aca="false">(BX30+BY30+BZ30+CB30+CC30+CD30)*(1+Inputs!$B$27)</f>
        <v>0.315369822402479</v>
      </c>
      <c r="CF30" s="15" t="n">
        <f aca="false">Inputs!$B$52/(1-CE30-G30)</f>
        <v>198171.443875617</v>
      </c>
      <c r="CG30" s="15" t="n">
        <f aca="false">CF30/Inputs!$B$34</f>
        <v>330.285739792695</v>
      </c>
      <c r="CH30" s="15" t="n">
        <f aca="false">B30^2/CG30</f>
        <v>12.4013831253231</v>
      </c>
      <c r="CI30" s="15" t="n">
        <f aca="false">Inputs!$B$54*H30/(Inputs!$B$35*F30+E30*H30^2/(PI()*CH30*Inputs!$B$36))</f>
        <v>18.9999570005918</v>
      </c>
      <c r="CJ30" s="15" t="n">
        <f aca="false">EXP(-Inputs!$B$11*Inputs!$B$14*Inputs!$B$17/(Inputs!$B$51*CI30*Inputs!$B$16))</f>
        <v>0.749903183680644</v>
      </c>
      <c r="CK30" s="15" t="n">
        <f aca="false">Inputs!$B$50*Inputs!$B$18*CJ30*Inputs!$B$19</f>
        <v>0.732748570473307</v>
      </c>
      <c r="CL30" s="15" t="n">
        <f aca="false">1-CK30</f>
        <v>0.267251429526693</v>
      </c>
      <c r="CM30" s="15" t="n">
        <f aca="false">Inputs!$B$20*CL30</f>
        <v>0.0080175428858008</v>
      </c>
      <c r="CN30" s="15" t="n">
        <f aca="false">0.8*(1-Inputs!$B$50)*(CK30-CM30)</f>
        <v>0.00174559295089549</v>
      </c>
      <c r="CO30" s="15" t="n">
        <f aca="false">CK30-CM30-CN30</f>
        <v>0.722985434636611</v>
      </c>
      <c r="CP30" s="15" t="n">
        <f aca="false">CO30*(1-Inputs!$B$18*EXP(-Inputs!$B$21*Inputs!$B$14*Inputs!$B$17/(Inputs!$B$22*Inputs!$B$23*Inputs!$B$24*CI30*Inputs!$B$16))*Inputs!$B$19)</f>
        <v>0.0263519137009033</v>
      </c>
      <c r="CQ30" s="15" t="n">
        <f aca="false">(CO30-CP30)*(1-EXP(-Inputs!$B$25*Inputs!$B$14*Inputs!$B$17*Inputs!$B$26/(CI30*Inputs!$B$16/0.866)))</f>
        <v>0.00761431739592915</v>
      </c>
      <c r="CR30" s="15" t="n">
        <f aca="false">(CO30-CP30-CQ30)*(1-Inputs!$B$19)</f>
        <v>0.00344509601769889</v>
      </c>
      <c r="CS30" s="15" t="n">
        <f aca="false">(CL30+CM30+CN30+CP30+CQ30+CR30)*(1+Inputs!$B$27)</f>
        <v>0.315369170155355</v>
      </c>
      <c r="CT30" s="15" t="n">
        <f aca="false">Inputs!$B$52/(1-CS30-G30)</f>
        <v>198170.6587447</v>
      </c>
      <c r="CU30" s="15" t="n">
        <f aca="false">CT30/Inputs!$B$34</f>
        <v>330.284431241167</v>
      </c>
      <c r="CV30" s="15" t="n">
        <f aca="false">B30^2/CU30</f>
        <v>12.4014322582743</v>
      </c>
      <c r="CW30" s="15" t="n">
        <f aca="false">Inputs!$B$54*H30/(Inputs!$B$35*F30+E30*H30^2/(PI()*CV30*Inputs!$B$36))</f>
        <v>18.9999811317993</v>
      </c>
      <c r="CX30" s="15" t="n">
        <f aca="false">EXP(-Inputs!$B$11*Inputs!$B$14*Inputs!$B$17/(Inputs!$B$51*CW30*Inputs!$B$16))</f>
        <v>0.749903457799433</v>
      </c>
      <c r="CY30" s="15" t="n">
        <f aca="false">Inputs!$B$50*Inputs!$B$18*CX30*Inputs!$B$19</f>
        <v>0.732748838321417</v>
      </c>
      <c r="CZ30" s="15" t="n">
        <f aca="false">1-CY30</f>
        <v>0.267251161678583</v>
      </c>
      <c r="DA30" s="15" t="n">
        <f aca="false">Inputs!$B$20*CZ30</f>
        <v>0.00801753485035749</v>
      </c>
      <c r="DB30" s="15" t="n">
        <f aca="false">0.8*(1-Inputs!$B$50)*(CY30-DA30)</f>
        <v>0.00174559361539082</v>
      </c>
      <c r="DC30" s="15" t="n">
        <f aca="false">CY30-DA30-DB30</f>
        <v>0.722985709855669</v>
      </c>
      <c r="DD30" s="15" t="n">
        <f aca="false">DC30*(1-Inputs!$B$18*EXP(-Inputs!$B$21*Inputs!$B$14*Inputs!$B$17/(Inputs!$B$22*Inputs!$B$23*Inputs!$B$24*CW30*Inputs!$B$16))*Inputs!$B$19)</f>
        <v>0.026351908688177</v>
      </c>
      <c r="DE30" s="15" t="n">
        <f aca="false">(DC30-DD30)*(1-EXP(-Inputs!$B$25*Inputs!$B$14*Inputs!$B$17*Inputs!$B$26/(CW30*Inputs!$B$16/0.866)))</f>
        <v>0.00761431084127208</v>
      </c>
      <c r="DF30" s="15" t="n">
        <f aca="false">(DC30-DD30-DE30)*(1-Inputs!$B$19)</f>
        <v>0.0034450974516311</v>
      </c>
      <c r="DG30" s="15" t="n">
        <f aca="false">(CZ30+DA30+DB30+DD30+DE30+DF30)*(1+Inputs!$B$27)</f>
        <v>0.315368883946788</v>
      </c>
      <c r="DH30" s="15" t="n">
        <f aca="false">Inputs!$B$52/(1-DG30-G30)</f>
        <v>198170.314228174</v>
      </c>
      <c r="DI30" s="15" t="n">
        <f aca="false">DH30/Inputs!$B$34</f>
        <v>330.283857046956</v>
      </c>
      <c r="DJ30" s="15" t="n">
        <f aca="false">B30^2/DI30</f>
        <v>12.4014538180038</v>
      </c>
      <c r="DK30" s="15" t="n">
        <f aca="false">Inputs!$B$54*H30/(Inputs!$B$35*F30+E30*H30^2/(PI()*DJ30*Inputs!$B$36))</f>
        <v>18.9999917206256</v>
      </c>
      <c r="DL30" s="15" t="n">
        <f aca="false">EXP(-Inputs!$B$11*Inputs!$B$14*Inputs!$B$17/(Inputs!$B$51*DK30*Inputs!$B$16))</f>
        <v>0.749903578083166</v>
      </c>
      <c r="DM30" s="15" t="n">
        <f aca="false">Inputs!$B$50*Inputs!$B$18*DL30*Inputs!$B$19</f>
        <v>0.732748955853567</v>
      </c>
      <c r="DN30" s="15" t="n">
        <f aca="false">1-DM30</f>
        <v>0.267251044146433</v>
      </c>
      <c r="DO30" s="15" t="n">
        <f aca="false">Inputs!$B$20*DN30</f>
        <v>0.00801753132439299</v>
      </c>
      <c r="DP30" s="15" t="n">
        <f aca="false">0.8*(1-Inputs!$B$50)*(DM30-DO30)</f>
        <v>0.00174559390697237</v>
      </c>
      <c r="DQ30" s="15" t="n">
        <f aca="false">DM30-DO30-DP30</f>
        <v>0.722985830622202</v>
      </c>
      <c r="DR30" s="15" t="n">
        <f aca="false">DQ30*(1-Inputs!$B$18*EXP(-Inputs!$B$21*Inputs!$B$14*Inputs!$B$17/(Inputs!$B$22*Inputs!$B$23*Inputs!$B$24*DK30*Inputs!$B$16))*Inputs!$B$19)</f>
        <v>0.0263519064885833</v>
      </c>
      <c r="DS30" s="15" t="n">
        <f aca="false">(DQ30-DR30)*(1-EXP(-Inputs!$B$25*Inputs!$B$14*Inputs!$B$17*Inputs!$B$26/(DK30*Inputs!$B$16/0.866)))</f>
        <v>0.00761430796507751</v>
      </c>
      <c r="DT30" s="15" t="n">
        <f aca="false">(DQ30-DR30-DS30)*(1-Inputs!$B$19)</f>
        <v>0.00344509808084271</v>
      </c>
      <c r="DU30" s="15" t="n">
        <f aca="false">(DN30+DO30+DP30+DR30+DS30+DT30)*(1+Inputs!$B$27)</f>
        <v>0.315368758358039</v>
      </c>
      <c r="DV30" s="15" t="n">
        <f aca="false">Inputs!$B$52/(1-DU30-G30)</f>
        <v>198170.163054183</v>
      </c>
      <c r="DW30" s="15" t="n">
        <f aca="false">DV30/Inputs!$B$34</f>
        <v>330.283605090304</v>
      </c>
      <c r="DX30" s="15" t="n">
        <f aca="false">B30^2/DW30</f>
        <v>12.4014632784455</v>
      </c>
      <c r="DY30" s="15" t="n">
        <f aca="false">Inputs!$B$54*H30/(Inputs!$B$35*F30+E30*H30^2/(PI()*DX30*Inputs!$B$36))</f>
        <v>18.9999963670107</v>
      </c>
      <c r="DZ30" s="15" t="n">
        <f aca="false">EXP(-Inputs!$B$11*Inputs!$B$14*Inputs!$B$17/(Inputs!$B$51*DY30*Inputs!$B$16))</f>
        <v>0.749903630863723</v>
      </c>
      <c r="EA30" s="15" t="n">
        <f aca="false">Inputs!$B$50*Inputs!$B$18*DZ30*Inputs!$B$19</f>
        <v>0.732749007426728</v>
      </c>
      <c r="EB30" s="15" t="n">
        <f aca="false">1-EA30</f>
        <v>0.267250992573272</v>
      </c>
      <c r="EC30" s="15" t="n">
        <f aca="false">Inputs!$B$20*EB30</f>
        <v>0.00801752977719815</v>
      </c>
      <c r="ED30" s="15" t="n">
        <f aca="false">0.8*(1-Inputs!$B$50)*(EA30-EC30)</f>
        <v>0.00174559403491848</v>
      </c>
      <c r="EE30" s="15" t="n">
        <f aca="false">EA30-EC30-ED30</f>
        <v>0.722985883614612</v>
      </c>
      <c r="EF30" s="15" t="n">
        <f aca="false">EE30*(1-Inputs!$B$18*EXP(-Inputs!$B$21*Inputs!$B$14*Inputs!$B$17/(Inputs!$B$22*Inputs!$B$23*Inputs!$B$24*DY30*Inputs!$B$16))*Inputs!$B$19)</f>
        <v>0.0263519055234002</v>
      </c>
      <c r="EG30" s="15" t="n">
        <f aca="false">(EE30-EF30)*(1-EXP(-Inputs!$B$25*Inputs!$B$14*Inputs!$B$17*Inputs!$B$26/(DY30*Inputs!$B$16/0.866)))</f>
        <v>0.00761430670300168</v>
      </c>
      <c r="EH30" s="15" t="n">
        <f aca="false">(EE30-EF30-EG30)*(1-Inputs!$B$19)</f>
        <v>0.00344509835694105</v>
      </c>
      <c r="EI30" s="15" t="n">
        <f aca="false">(EB30+EC30+ED30+EF30+EG30+EH30)*(1+Inputs!$B$27)</f>
        <v>0.315368703249638</v>
      </c>
      <c r="EJ30" s="15" t="n">
        <f aca="false">Inputs!$B$52/(1-EI30-G30)</f>
        <v>198170.096719038</v>
      </c>
      <c r="EK30" s="15" t="n">
        <f aca="false">EJ30/Inputs!$B$34</f>
        <v>330.28349453173</v>
      </c>
      <c r="EL30" s="15" t="n">
        <f aca="false">B30^2/EK30</f>
        <v>12.4014674296917</v>
      </c>
      <c r="EM30" s="15" t="n">
        <f aca="false">Inputs!$B$54*H30/(Inputs!$B$35*F30+E30*H30^2/(PI()*EL30*Inputs!$B$36))</f>
        <v>18.999998405845</v>
      </c>
      <c r="EN30" s="15" t="n">
        <f aca="false">EXP(-Inputs!$B$11*Inputs!$B$14*Inputs!$B$17/(Inputs!$B$51*EM30*Inputs!$B$16))</f>
        <v>0.749903654023832</v>
      </c>
      <c r="EO30" s="15" t="n">
        <f aca="false">Inputs!$B$50*Inputs!$B$18*EN30*Inputs!$B$19</f>
        <v>0.732749030057031</v>
      </c>
      <c r="EP30" s="15" t="n">
        <f aca="false">1-EO30</f>
        <v>0.267250969942969</v>
      </c>
      <c r="EQ30" s="15" t="n">
        <f aca="false">Inputs!$B$20*EP30</f>
        <v>0.00801752909828906</v>
      </c>
      <c r="ER30" s="15" t="n">
        <f aca="false">0.8*(1-Inputs!$B$50)*(EO30-EQ30)</f>
        <v>0.00174559409106124</v>
      </c>
      <c r="ES30" s="15" t="n">
        <f aca="false">EO30-EQ30-ER30</f>
        <v>0.722985906867681</v>
      </c>
      <c r="ET30" s="15" t="n">
        <f aca="false">ES30*(1-Inputs!$B$18*EXP(-Inputs!$B$21*Inputs!$B$14*Inputs!$B$17/(Inputs!$B$22*Inputs!$B$23*Inputs!$B$24*EM30*Inputs!$B$16))*Inputs!$B$19)</f>
        <v>0.0263519050998778</v>
      </c>
      <c r="EU30" s="15" t="n">
        <f aca="false">(ES30-ET30)*(1-EXP(-Inputs!$B$25*Inputs!$B$14*Inputs!$B$17*Inputs!$B$26/(EM30*Inputs!$B$16/0.866)))</f>
        <v>0.00761430614920284</v>
      </c>
      <c r="EV30" s="15" t="n">
        <f aca="false">(ES30-ET30-EU30)*(1-Inputs!$B$19)</f>
        <v>0.00344509847809301</v>
      </c>
      <c r="EW30" s="15" t="n">
        <f aca="false">(EP30+EQ30+ER30+ET30+EU30+EV30)*(1+Inputs!$B$27)</f>
        <v>0.315368679068071</v>
      </c>
      <c r="EX30" s="15" t="n">
        <f aca="false">Inputs!$B$52/(1-EW30-G30)</f>
        <v>198170.067611191</v>
      </c>
      <c r="EY30" s="15" t="n">
        <f aca="false">EX30/Inputs!$B$34</f>
        <v>330.283446018651</v>
      </c>
      <c r="EZ30" s="15" t="n">
        <f aca="false">B30^2/EY30</f>
        <v>12.4014692512585</v>
      </c>
      <c r="FA30" s="15" t="n">
        <f aca="false">Inputs!$B$54*H30/(Inputs!$B$35*F30+E30*H30^2/(PI()*EZ30*Inputs!$B$36))</f>
        <v>18.9999993004853</v>
      </c>
      <c r="FB30" s="15" t="n">
        <f aca="false">EXP(-Inputs!$B$11*Inputs!$B$14*Inputs!$B$17/(Inputs!$B$51*FA30*Inputs!$B$16))</f>
        <v>0.749903664186483</v>
      </c>
      <c r="FC30" s="15" t="n">
        <f aca="false">Inputs!$B$50*Inputs!$B$18*FB30*Inputs!$B$19</f>
        <v>0.732749039987204</v>
      </c>
      <c r="FD30" s="15" t="n">
        <f aca="false">1-FC30</f>
        <v>0.267250960012796</v>
      </c>
      <c r="FE30" s="15" t="n">
        <f aca="false">Inputs!$B$20*FD30</f>
        <v>0.00801752880038388</v>
      </c>
      <c r="FF30" s="15" t="n">
        <f aca="false">0.8*(1-Inputs!$B$50)*(FC30-FE30)</f>
        <v>0.00174559411569667</v>
      </c>
      <c r="FG30" s="15" t="n">
        <f aca="false">FC30-FE30-FF30</f>
        <v>0.722985917071123</v>
      </c>
      <c r="FH30" s="15" t="n">
        <f aca="false">FG30*(1-Inputs!$B$18*EXP(-Inputs!$B$21*Inputs!$B$14*Inputs!$B$17/(Inputs!$B$22*Inputs!$B$23*Inputs!$B$24*FA30*Inputs!$B$16))*Inputs!$B$19)</f>
        <v>0.0263519049140362</v>
      </c>
      <c r="FI30" s="15" t="n">
        <f aca="false">(FG30-FH30)*(1-EXP(-Inputs!$B$25*Inputs!$B$14*Inputs!$B$17*Inputs!$B$26/(FA30*Inputs!$B$16/0.866)))</f>
        <v>0.00761430590619592</v>
      </c>
      <c r="FJ30" s="15" t="n">
        <f aca="false">(FG30-FH30-FI30)*(1-Inputs!$B$19)</f>
        <v>0.00344509853125446</v>
      </c>
      <c r="FK30" s="15" t="n">
        <f aca="false">(FD30+FE30+FF30+FH30+FI30+FJ30)*(1+Inputs!$B$27)</f>
        <v>0.315368668457204</v>
      </c>
      <c r="FL30" s="15" t="n">
        <f aca="false">Inputs!$B$52/(1-FK30-G30)</f>
        <v>198170.054838676</v>
      </c>
      <c r="FM30" s="15" t="n">
        <f aca="false">FL30/Inputs!$B$34</f>
        <v>330.283424731126</v>
      </c>
      <c r="FN30" s="15" t="n">
        <f aca="false">B30^2/FM30</f>
        <v>12.4014700505617</v>
      </c>
      <c r="FO30" s="15" t="n">
        <f aca="false">Inputs!$B$54*H30/(Inputs!$B$35*F30+E30*H30^2/(PI()*FN30*Inputs!$B$36))</f>
        <v>18.9999996930532</v>
      </c>
      <c r="FP30" s="15" t="n">
        <f aca="false">EXP(-Inputs!$B$11*Inputs!$B$14*Inputs!$B$17/(Inputs!$B$51*FO30*Inputs!$B$16))</f>
        <v>0.749903668645851</v>
      </c>
      <c r="FQ30" s="15" t="n">
        <f aca="false">Inputs!$B$50*Inputs!$B$18*FP30*Inputs!$B$19</f>
        <v>0.732749044344561</v>
      </c>
      <c r="FR30" s="15" t="n">
        <f aca="false">1-FQ30</f>
        <v>0.267250955655439</v>
      </c>
      <c r="FS30" s="15" t="n">
        <f aca="false">Inputs!$B$20*FR30</f>
        <v>0.00801752866966318</v>
      </c>
      <c r="FT30" s="15" t="n">
        <f aca="false">0.8*(1-Inputs!$B$50)*(FQ30-FS30)</f>
        <v>0.00174559412650668</v>
      </c>
      <c r="FU30" s="15" t="n">
        <f aca="false">FQ30-FS30-FT30</f>
        <v>0.722985921548391</v>
      </c>
      <c r="FV30" s="15" t="n">
        <f aca="false">FU30*(1-Inputs!$B$18*EXP(-Inputs!$B$21*Inputs!$B$14*Inputs!$B$17/(Inputs!$B$22*Inputs!$B$23*Inputs!$B$24*FO30*Inputs!$B$16))*Inputs!$B$19)</f>
        <v>0.0263519048324891</v>
      </c>
      <c r="FW30" s="15" t="n">
        <f aca="false">(FU30-FV30)*(1-EXP(-Inputs!$B$25*Inputs!$B$14*Inputs!$B$17*Inputs!$B$26/(FO30*Inputs!$B$16/0.866)))</f>
        <v>0.00761430579956457</v>
      </c>
      <c r="FX30" s="15" t="n">
        <f aca="false">(FU30-FV30-FW30)*(1-Inputs!$B$19)</f>
        <v>0.00344509855458169</v>
      </c>
      <c r="FY30" s="15" t="n">
        <f aca="false">(FR30+FS30+FT30+FV30+FW30+FX30)*(1+Inputs!$B$27)</f>
        <v>0.315368663801159</v>
      </c>
      <c r="FZ30" s="15" t="n">
        <f aca="false">Inputs!$B$52/(1-FY30-G30)</f>
        <v>198170.0492341</v>
      </c>
      <c r="GA30" s="15" t="n">
        <f aca="false">FZ30/Inputs!$B$34</f>
        <v>330.283415390167</v>
      </c>
      <c r="GB30" s="15" t="n">
        <f aca="false">B30^2/GA30</f>
        <v>12.4014704012957</v>
      </c>
      <c r="GC30" s="15" t="n">
        <f aca="false">Inputs!$B$54*H30/(Inputs!$B$35*F30+E30*H30^2/(PI()*GB30*Inputs!$B$36))</f>
        <v>18.9999998653118</v>
      </c>
      <c r="GD30" s="15" t="n">
        <f aca="false">EXP(-Inputs!$B$11*Inputs!$B$14*Inputs!$B$17/(Inputs!$B$51*GC30*Inputs!$B$16))</f>
        <v>0.74990367060262</v>
      </c>
      <c r="GE30" s="15" t="n">
        <f aca="false">Inputs!$B$50*Inputs!$B$18*GD30*Inputs!$B$19</f>
        <v>0.732749046256568</v>
      </c>
      <c r="GF30" s="15" t="n">
        <f aca="false">1-GE30</f>
        <v>0.267250953743432</v>
      </c>
      <c r="GG30" s="15" t="n">
        <f aca="false">Inputs!$B$20*GF30</f>
        <v>0.00801752861230297</v>
      </c>
      <c r="GH30" s="15" t="n">
        <f aca="false">0.8*(1-Inputs!$B$50)*(GE30-GG30)</f>
        <v>0.00174559413125012</v>
      </c>
      <c r="GI30" s="15" t="n">
        <f aca="false">GE30-GG30-GH30</f>
        <v>0.722985923513015</v>
      </c>
      <c r="GJ30" s="15" t="n">
        <f aca="false">GI30*(1-Inputs!$B$18*EXP(-Inputs!$B$21*Inputs!$B$14*Inputs!$B$17/(Inputs!$B$22*Inputs!$B$23*Inputs!$B$24*GC30*Inputs!$B$16))*Inputs!$B$19)</f>
        <v>0.0263519047967061</v>
      </c>
      <c r="GK30" s="15" t="n">
        <f aca="false">(GI30-GJ30)*(1-EXP(-Inputs!$B$25*Inputs!$B$14*Inputs!$B$17*Inputs!$B$26/(GC30*Inputs!$B$16/0.866)))</f>
        <v>0.00761430575277481</v>
      </c>
      <c r="GL30" s="15" t="n">
        <f aca="false">(GI30-GJ30-GK30)*(1-Inputs!$B$19)</f>
        <v>0.00344509856481767</v>
      </c>
      <c r="GM30" s="15" t="n">
        <f aca="false">(GF30+GG30+GH30+GJ30+GK30+GL30)*(1+Inputs!$B$27)</f>
        <v>0.315368661758088</v>
      </c>
      <c r="GN30" s="15" t="n">
        <f aca="false">Inputs!$B$52/(1-GM30-G30)</f>
        <v>198170.046774814</v>
      </c>
      <c r="GO30" s="15" t="n">
        <f aca="false">GN30/Inputs!$B$34</f>
        <v>330.283411291357</v>
      </c>
      <c r="GP30" s="15" t="n">
        <f aca="false">B30^2/GO30</f>
        <v>12.4014705551976</v>
      </c>
      <c r="GQ30" s="15" t="n">
        <f aca="false">Inputs!$B$54*H30/(Inputs!$B$35*F30+E30*H30^2/(PI()*GP30*Inputs!$B$36))</f>
        <v>18.9999999408989</v>
      </c>
      <c r="GR30" s="15" t="n">
        <f aca="false">EXP(-Inputs!$B$11*Inputs!$B$14*Inputs!$B$17/(Inputs!$B$51*GQ30*Inputs!$B$16))</f>
        <v>0.74990367146125</v>
      </c>
      <c r="GS30" s="15" t="n">
        <f aca="false">Inputs!$B$50*Inputs!$B$18*GR30*Inputs!$B$19</f>
        <v>0.732749047095555</v>
      </c>
      <c r="GT30" s="15" t="n">
        <f aca="false">1-GS30</f>
        <v>0.267250952904445</v>
      </c>
      <c r="GU30" s="15" t="n">
        <f aca="false">Inputs!$B$20*GT30</f>
        <v>0.00801752858713334</v>
      </c>
      <c r="GV30" s="15" t="n">
        <f aca="false">0.8*(1-Inputs!$B$50)*(GS30-GU30)</f>
        <v>0.00174559413333153</v>
      </c>
      <c r="GW30" s="15" t="n">
        <f aca="false">GS30-GU30-GV30</f>
        <v>0.722985924375091</v>
      </c>
      <c r="GX30" s="15" t="n">
        <f aca="false">GW30*(1-Inputs!$B$18*EXP(-Inputs!$B$21*Inputs!$B$14*Inputs!$B$17/(Inputs!$B$22*Inputs!$B$23*Inputs!$B$24*GQ30*Inputs!$B$16))*Inputs!$B$19)</f>
        <v>0.0263519047810046</v>
      </c>
      <c r="GY30" s="15" t="n">
        <f aca="false">(GW30-GX30)*(1-EXP(-Inputs!$B$25*Inputs!$B$14*Inputs!$B$17*Inputs!$B$26/(GQ30*Inputs!$B$16/0.866)))</f>
        <v>0.00761430573224344</v>
      </c>
      <c r="GZ30" s="15" t="n">
        <f aca="false">(GW30-GX30-GY30)*(1-Inputs!$B$19)</f>
        <v>0.00344509856930922</v>
      </c>
      <c r="HA30" s="15" t="n">
        <f aca="false">(GT30+GU30+GV30+GX30+GY30+GZ30)*(1+Inputs!$B$27)</f>
        <v>0.315368660861589</v>
      </c>
      <c r="HB30" s="15" t="n">
        <f aca="false">Inputs!$B$52/(1-HA30-G30)</f>
        <v>198170.045695681</v>
      </c>
      <c r="HC30" s="15" t="n">
        <f aca="false">HB30/Inputs!$B$34</f>
        <v>330.283409492801</v>
      </c>
      <c r="HD30" s="15" t="n">
        <f aca="false">B30^2/HC30</f>
        <v>12.4014706227298</v>
      </c>
      <c r="HE30" s="15" t="n">
        <f aca="false">Inputs!$B$54*H30/(Inputs!$B$35*F30+E30*H30^2/(PI()*HD30*Inputs!$B$36))</f>
        <v>18.9999999740665</v>
      </c>
      <c r="HF30" s="15" t="n">
        <f aca="false">EXP(-Inputs!$B$11*Inputs!$B$14*Inputs!$B$17/(Inputs!$B$51*HE30*Inputs!$B$16))</f>
        <v>0.749903671838017</v>
      </c>
      <c r="HG30" s="15" t="n">
        <f aca="false">Inputs!$B$50*Inputs!$B$18*HF30*Inputs!$B$19</f>
        <v>0.732749047463703</v>
      </c>
      <c r="HH30" s="15" t="n">
        <f aca="false">1-HG30</f>
        <v>0.267250952536297</v>
      </c>
      <c r="HI30" s="15" t="n">
        <f aca="false">Inputs!$B$20*HH30</f>
        <v>0.00801752857608891</v>
      </c>
      <c r="HJ30" s="15" t="n">
        <f aca="false">0.8*(1-Inputs!$B$50)*(HG30-HI30)</f>
        <v>0.00174559413424486</v>
      </c>
      <c r="HK30" s="15" t="n">
        <f aca="false">HG30-HI30-HJ30</f>
        <v>0.722985924753369</v>
      </c>
      <c r="HL30" s="15" t="n">
        <f aca="false">HK30*(1-Inputs!$B$18*EXP(-Inputs!$B$21*Inputs!$B$14*Inputs!$B$17/(Inputs!$B$22*Inputs!$B$23*Inputs!$B$24*HE30*Inputs!$B$16))*Inputs!$B$19)</f>
        <v>0.0263519047741147</v>
      </c>
      <c r="HM30" s="15" t="n">
        <f aca="false">(HK30-HL30)*(1-EXP(-Inputs!$B$25*Inputs!$B$14*Inputs!$B$17*Inputs!$B$26/(HE30*Inputs!$B$16/0.866)))</f>
        <v>0.00761430572323433</v>
      </c>
      <c r="HN30" s="15" t="n">
        <f aca="false">(HK30-HL30-HM30)*(1-Inputs!$B$19)</f>
        <v>0.0034450985712801</v>
      </c>
      <c r="HO30" s="15" t="n">
        <f aca="false">(HH30+HI30+HJ30+HL30+HM30+HN30)*(1+Inputs!$B$27)</f>
        <v>0.315368660468206</v>
      </c>
      <c r="HP30" s="15" t="n">
        <f aca="false">Inputs!$B$52/(1-HO30-G30)</f>
        <v>198170.045222157</v>
      </c>
      <c r="HQ30" s="15" t="n">
        <f aca="false">HP30/Inputs!$B$34</f>
        <v>330.283408703595</v>
      </c>
      <c r="HR30" s="15" t="n">
        <f aca="false">B30^2/HQ30</f>
        <v>12.4014706523629</v>
      </c>
      <c r="HS30" s="15" t="n">
        <f aca="false">Inputs!$B$54*H30/(Inputs!$B$35*F30+E30*H30^2/(PI()*HR30*Inputs!$B$36))</f>
        <v>18.9999999886204</v>
      </c>
      <c r="HT30" s="15" t="n">
        <f aca="false">EXP(-Inputs!$B$11*Inputs!$B$14*Inputs!$B$17/(Inputs!$B$51*HS30*Inputs!$B$16))</f>
        <v>0.749903672003342</v>
      </c>
      <c r="HU30" s="15" t="n">
        <f aca="false">Inputs!$B$50*Inputs!$B$18*HT30*Inputs!$B$19</f>
        <v>0.732749047625246</v>
      </c>
      <c r="HV30" s="15" t="n">
        <f aca="false">1-HU30</f>
        <v>0.267250952374754</v>
      </c>
      <c r="HW30" s="15" t="n">
        <f aca="false">Inputs!$B$20*HV30</f>
        <v>0.00801752857124262</v>
      </c>
      <c r="HX30" s="15" t="n">
        <f aca="false">0.8*(1-Inputs!$B$50)*(HU30-HW30)</f>
        <v>0.00174559413464563</v>
      </c>
      <c r="HY30" s="15" t="n">
        <f aca="false">HU30-HW30-HX30</f>
        <v>0.722985924919358</v>
      </c>
      <c r="HZ30" s="15" t="n">
        <f aca="false">HY30*(1-Inputs!$B$18*EXP(-Inputs!$B$21*Inputs!$B$14*Inputs!$B$17/(Inputs!$B$22*Inputs!$B$23*Inputs!$B$24*HS30*Inputs!$B$16))*Inputs!$B$19)</f>
        <v>0.0263519047710916</v>
      </c>
      <c r="IA30" s="15" t="n">
        <f aca="false">(HY30-HZ30)*(1-EXP(-Inputs!$B$25*Inputs!$B$14*Inputs!$B$17*Inputs!$B$26/(HS30*Inputs!$B$16/0.866)))</f>
        <v>0.00761430571928109</v>
      </c>
      <c r="IB30" s="15" t="n">
        <f aca="false">(HY30-HZ30-IA30)*(1-Inputs!$B$19)</f>
        <v>0.00344509857214493</v>
      </c>
      <c r="IC30" s="15" t="n">
        <f aca="false">(HV30+HW30+HX30+HZ30+IA30+IB30)*(1+Inputs!$B$27)</f>
        <v>0.315368660295589</v>
      </c>
      <c r="ID30" s="15" t="n">
        <f aca="false">Inputs!$B$52/(1-IC30-G30)</f>
        <v>198170.045014375</v>
      </c>
      <c r="IE30" s="15" t="n">
        <f aca="false">ID30/Inputs!$B$34</f>
        <v>330.283408357292</v>
      </c>
      <c r="IF30" s="15" t="n">
        <f aca="false">B30^2/IE30</f>
        <v>12.4014706653658</v>
      </c>
      <c r="IG30" s="15" t="n">
        <f aca="false">Inputs!$B$54*H30/(Inputs!$B$35*F30+E30*H30^2/(PI()*IF30*Inputs!$B$36))</f>
        <v>18.9999999950066</v>
      </c>
      <c r="IH30" s="15" t="n">
        <f aca="false">EXP(-Inputs!$B$11*Inputs!$B$14*Inputs!$B$17/(Inputs!$B$51*IG30*Inputs!$B$16))</f>
        <v>0.749903672075886</v>
      </c>
      <c r="II30" s="15" t="n">
        <f aca="false">Inputs!$B$50*Inputs!$B$18*IH30*Inputs!$B$19</f>
        <v>0.732749047696131</v>
      </c>
      <c r="IJ30" s="15" t="n">
        <f aca="false">1-II30</f>
        <v>0.267250952303869</v>
      </c>
      <c r="IK30" s="15" t="n">
        <f aca="false">Inputs!$B$20*IJ30</f>
        <v>0.00801752856911607</v>
      </c>
      <c r="IL30" s="15" t="n">
        <f aca="false">0.8*(1-Inputs!$B$50)*(II30-IK30)</f>
        <v>0.00174559413482148</v>
      </c>
      <c r="IM30" s="15" t="n">
        <f aca="false">II30-IK30-IL30</f>
        <v>0.722985924992194</v>
      </c>
      <c r="IN30" s="15" t="n">
        <f aca="false">IM30*(1-Inputs!$B$18*EXP(-Inputs!$B$21*Inputs!$B$14*Inputs!$B$17/(Inputs!$B$22*Inputs!$B$23*Inputs!$B$24*IG30*Inputs!$B$16))*Inputs!$B$19)</f>
        <v>0.0263519047697649</v>
      </c>
      <c r="IO30" s="15" t="n">
        <f aca="false">(IM30-IN30)*(1-EXP(-Inputs!$B$25*Inputs!$B$14*Inputs!$B$17*Inputs!$B$26/(IG30*Inputs!$B$16/0.866)))</f>
        <v>0.00761430571754645</v>
      </c>
      <c r="IP30" s="15" t="n">
        <f aca="false">(IM30-IN30-IO30)*(1-Inputs!$B$19)</f>
        <v>0.00344509857252441</v>
      </c>
      <c r="IQ30" s="15" t="n">
        <f aca="false">(IJ30+IK30+IL30+IN30+IO30+IP30)*(1+Inputs!$B$27)</f>
        <v>0.315368660219845</v>
      </c>
      <c r="IR30" s="15" t="n">
        <f aca="false">Inputs!$B$52/(1-IQ30-G30)</f>
        <v>198170.044923201</v>
      </c>
      <c r="IS30" s="15" t="n">
        <f aca="false">IR30/Inputs!$B$34</f>
        <v>330.283408205335</v>
      </c>
      <c r="IT30" s="15" t="n">
        <f aca="false">B30^2/IS30</f>
        <v>12.4014706710715</v>
      </c>
      <c r="IU30" s="15" t="n">
        <f aca="false">Inputs!$B$54*H30/(Inputs!$B$35*F30+E30*H30^2/(PI()*IT30*Inputs!$B$36))</f>
        <v>18.9999999978089</v>
      </c>
      <c r="IV30" s="15" t="n">
        <f aca="false">EXP(-Inputs!$B$11*Inputs!$B$14*Inputs!$B$17/(Inputs!$B$51*IU30*Inputs!$B$16))</f>
        <v>0.749903672107719</v>
      </c>
      <c r="IW30" s="15" t="n">
        <f aca="false">Inputs!$B$50*Inputs!$B$18*IV30*Inputs!$B$19</f>
        <v>0.732749047727235</v>
      </c>
      <c r="IX30" s="15" t="n">
        <f aca="false">1-IW30</f>
        <v>0.267250952272765</v>
      </c>
      <c r="IY30" s="15" t="n">
        <f aca="false">Inputs!$B$20*IX30</f>
        <v>0.00801752856818294</v>
      </c>
      <c r="IZ30" s="15" t="n">
        <f aca="false">0.8*(1-Inputs!$B$50)*(IW30-IY30)</f>
        <v>0.00174559413489865</v>
      </c>
      <c r="JA30" s="15" t="n">
        <f aca="false">IW30-IY30-IZ30</f>
        <v>0.722985925024154</v>
      </c>
      <c r="JB30" s="15" t="n">
        <f aca="false">JA30*(1-Inputs!$B$18*EXP(-Inputs!$B$21*Inputs!$B$14*Inputs!$B$17/(Inputs!$B$22*Inputs!$B$23*Inputs!$B$24*IU30*Inputs!$B$16))*Inputs!$B$19)</f>
        <v>0.0263519047691828</v>
      </c>
      <c r="JC30" s="15" t="n">
        <f aca="false">(JA30-JB30)*(1-EXP(-Inputs!$B$25*Inputs!$B$14*Inputs!$B$17*Inputs!$B$26/(IU30*Inputs!$B$16/0.866)))</f>
        <v>0.00761430571678525</v>
      </c>
      <c r="JD30" s="15" t="n">
        <f aca="false">(JA30-JB30-JC30)*(1-Inputs!$B$19)</f>
        <v>0.00344509857269093</v>
      </c>
      <c r="JE30" s="15" t="n">
        <f aca="false">(IX30+IY30+IZ30+JB30+JC30+JD30)*(1+Inputs!$B$27)</f>
        <v>0.315368660186609</v>
      </c>
      <c r="JF30" s="15" t="n">
        <f aca="false">Inputs!$B$52/(1-JE30-G30)</f>
        <v>198170.044883193</v>
      </c>
      <c r="JG30" s="15" t="n">
        <f aca="false">JF30/Inputs!$B$34</f>
        <v>330.283408138656</v>
      </c>
      <c r="JH30" s="15" t="n">
        <f aca="false">B30^2/JG30</f>
        <v>12.4014706735752</v>
      </c>
      <c r="JI30" s="15" t="n">
        <f aca="false">Inputs!$B$54*H30/(Inputs!$B$35*F30+E30*H30^2/(PI()*JH30*Inputs!$B$36))</f>
        <v>18.9999999990386</v>
      </c>
      <c r="JJ30" s="15" t="n">
        <f aca="false">EXP(-Inputs!$B$11*Inputs!$B$14*Inputs!$B$17/(Inputs!$B$51*JI30*Inputs!$B$16))</f>
        <v>0.749903672121687</v>
      </c>
      <c r="JK30" s="15" t="n">
        <f aca="false">Inputs!$B$50*Inputs!$B$18*JJ30*Inputs!$B$19</f>
        <v>0.732749047740884</v>
      </c>
      <c r="JL30" s="15" t="n">
        <f aca="false">1-JK30</f>
        <v>0.267250952259116</v>
      </c>
      <c r="JM30" s="15" t="n">
        <f aca="false">Inputs!$B$20*JL30</f>
        <v>0.00801752856777348</v>
      </c>
      <c r="JN30" s="15" t="n">
        <f aca="false">0.8*(1-Inputs!$B$50)*(JK30-JM30)</f>
        <v>0.00174559413493251</v>
      </c>
      <c r="JO30" s="15" t="n">
        <f aca="false">JK30-JM30-JN30</f>
        <v>0.722985925038178</v>
      </c>
      <c r="JP30" s="15" t="n">
        <f aca="false">JO30*(1-Inputs!$B$18*EXP(-Inputs!$B$21*Inputs!$B$14*Inputs!$B$17/(Inputs!$B$22*Inputs!$B$23*Inputs!$B$24*JI30*Inputs!$B$16))*Inputs!$B$19)</f>
        <v>0.0263519047689273</v>
      </c>
      <c r="JQ30" s="15" t="n">
        <f aca="false">(JO30-JP30)*(1-EXP(-Inputs!$B$25*Inputs!$B$14*Inputs!$B$17*Inputs!$B$26/(JI30*Inputs!$B$16/0.866)))</f>
        <v>0.00761430571645129</v>
      </c>
      <c r="JR30" s="15" t="n">
        <f aca="false">(JO30-JP30-JQ30)*(1-Inputs!$B$19)</f>
        <v>0.003445098572764</v>
      </c>
      <c r="JS30" s="15" t="n">
        <f aca="false">(JL30+JM30+JN30+JP30+JQ30+JR30)*(1+Inputs!$B$27)</f>
        <v>0.315368660172025</v>
      </c>
      <c r="JT30" s="15" t="n">
        <f aca="false">Inputs!$B$52/(1-JS30-G30)</f>
        <v>198170.044865638</v>
      </c>
      <c r="JU30" s="15" t="n">
        <f aca="false">JT30/Inputs!$B$34</f>
        <v>330.283408109397</v>
      </c>
      <c r="JV30" s="15" t="n">
        <f aca="false">B30^2/JU30</f>
        <v>12.4014706746738</v>
      </c>
      <c r="JW30" s="15" t="n">
        <f aca="false">Inputs!$B$54*H30/(Inputs!$B$35*F30+E30*H30^2/(PI()*JV30*Inputs!$B$36))</f>
        <v>18.9999999995781</v>
      </c>
      <c r="JX30" s="15" t="n">
        <f aca="false">EXP(-Inputs!$B$11*Inputs!$B$14*Inputs!$B$17/(Inputs!$B$51*JW30*Inputs!$B$16))</f>
        <v>0.749903672127816</v>
      </c>
      <c r="JY30" s="15" t="n">
        <f aca="false">Inputs!$B$50*Inputs!$B$18*JX30*Inputs!$B$19</f>
        <v>0.732749047746873</v>
      </c>
      <c r="JZ30" s="15" t="n">
        <f aca="false">1-JY30</f>
        <v>0.267250952253127</v>
      </c>
      <c r="KA30" s="15" t="n">
        <f aca="false">Inputs!$B$20*JZ30</f>
        <v>0.00801752856759381</v>
      </c>
      <c r="KB30" s="15" t="n">
        <f aca="false">0.8*(1-Inputs!$B$50)*(JY30-KA30)</f>
        <v>0.00174559413494737</v>
      </c>
      <c r="KC30" s="15" t="n">
        <f aca="false">JY30-KA30-KB30</f>
        <v>0.722985925044332</v>
      </c>
      <c r="KD30" s="15" t="n">
        <f aca="false">KC30*(1-Inputs!$B$18*EXP(-Inputs!$B$21*Inputs!$B$14*Inputs!$B$17/(Inputs!$B$22*Inputs!$B$23*Inputs!$B$24*JW30*Inputs!$B$16))*Inputs!$B$19)</f>
        <v>0.0263519047688153</v>
      </c>
      <c r="KE30" s="15" t="n">
        <f aca="false">(KC30-KD30)*(1-EXP(-Inputs!$B$25*Inputs!$B$14*Inputs!$B$17*Inputs!$B$26/(JW30*Inputs!$B$16/0.866)))</f>
        <v>0.00761430571630468</v>
      </c>
      <c r="KF30" s="15" t="n">
        <f aca="false">(KC30-KD30-KE30)*(1-Inputs!$B$19)</f>
        <v>0.00344509857279606</v>
      </c>
      <c r="KG30" s="15" t="n">
        <f aca="false">(JZ30+KA30+KB30+KD30+KE30+KF30)*(1+Inputs!$B$27)</f>
        <v>0.315368660165625</v>
      </c>
      <c r="KH30" s="15" t="n">
        <f aca="false">Inputs!$B$52/(1-KG30-G30)</f>
        <v>198170.044857935</v>
      </c>
      <c r="KI30" s="15" t="n">
        <f aca="false">KH30/Inputs!$B$34</f>
        <v>330.283408096558</v>
      </c>
      <c r="KJ30" s="15" t="n">
        <f aca="false">B30^2/KI30</f>
        <v>12.4014706751559</v>
      </c>
      <c r="KK30" s="15" t="n">
        <f aca="false">Inputs!$B$54*H30/(Inputs!$B$35*F30+E30*H30^2/(PI()*KJ30*Inputs!$B$36))</f>
        <v>18.9999999998149</v>
      </c>
      <c r="KL30" s="15" t="n">
        <f aca="false">EXP(-Inputs!$B$11*Inputs!$B$14*Inputs!$B$17/(Inputs!$B$51*KK30*Inputs!$B$16))</f>
        <v>0.749903672130505</v>
      </c>
      <c r="KM30" s="15" t="n">
        <f aca="false">Inputs!$B$50*Inputs!$B$18*KL30*Inputs!$B$19</f>
        <v>0.732749047749501</v>
      </c>
      <c r="KN30" s="15" t="n">
        <f aca="false">1-KM30</f>
        <v>0.267250952250499</v>
      </c>
      <c r="KO30" s="15" t="n">
        <f aca="false">Inputs!$B$20*KN30</f>
        <v>0.00801752856751497</v>
      </c>
      <c r="KP30" s="15" t="n">
        <f aca="false">0.8*(1-Inputs!$B$50)*(KM30-KO30)</f>
        <v>0.00174559413495389</v>
      </c>
      <c r="KQ30" s="15" t="n">
        <f aca="false">KM30-KO30-KP30</f>
        <v>0.722985925047032</v>
      </c>
      <c r="KR30" s="15" t="n">
        <f aca="false">KQ30*(1-Inputs!$B$18*EXP(-Inputs!$B$21*Inputs!$B$14*Inputs!$B$17/(Inputs!$B$22*Inputs!$B$23*Inputs!$B$24*KK30*Inputs!$B$16))*Inputs!$B$19)</f>
        <v>0.0263519047687661</v>
      </c>
      <c r="KS30" s="15" t="n">
        <f aca="false">(KQ30-KR30)*(1-EXP(-Inputs!$B$25*Inputs!$B$14*Inputs!$B$17*Inputs!$B$26/(KK30*Inputs!$B$16/0.866)))</f>
        <v>0.00761430571624038</v>
      </c>
      <c r="KT30" s="15" t="n">
        <f aca="false">(KQ30-KR30-KS30)*(1-Inputs!$B$19)</f>
        <v>0.00344509857281013</v>
      </c>
      <c r="KU30" s="15" t="n">
        <f aca="false">(KN30+KO30+KP30+KR30+KS30+KT30)*(1+Inputs!$B$27)</f>
        <v>0.315368660162817</v>
      </c>
      <c r="KV30" s="15" t="n">
        <f aca="false">Inputs!$B$52/(1-KU30-G30)</f>
        <v>198170.044854555</v>
      </c>
      <c r="KW30" s="15" t="n">
        <f aca="false">KV30/Inputs!$B$34</f>
        <v>330.283408090924</v>
      </c>
      <c r="KX30" s="15" t="n">
        <f aca="false">B30^2/KW30</f>
        <v>12.4014706753674</v>
      </c>
      <c r="KY30" s="15" t="n">
        <f aca="false">Inputs!$B$54*H30/(Inputs!$B$35*F30+E30*H30^2/(PI()*KX30*Inputs!$B$36))</f>
        <v>18.9999999999188</v>
      </c>
      <c r="KZ30" s="15" t="n">
        <f aca="false">EXP(-Inputs!$B$11*Inputs!$B$14*Inputs!$B$17/(Inputs!$B$51*KY30*Inputs!$B$16))</f>
        <v>0.749903672131685</v>
      </c>
      <c r="LA30" s="15" t="n">
        <f aca="false">Inputs!$B$50*Inputs!$B$18*KZ30*Inputs!$B$19</f>
        <v>0.732749047750654</v>
      </c>
      <c r="LB30" s="15" t="n">
        <f aca="false">1-LA30</f>
        <v>0.267250952249346</v>
      </c>
      <c r="LC30" s="15" t="n">
        <f aca="false">Inputs!$B$20*LB30</f>
        <v>0.00801752856748038</v>
      </c>
      <c r="LD30" s="15" t="n">
        <f aca="false">0.8*(1-Inputs!$B$50)*(LA30-LC30)</f>
        <v>0.00174559413495675</v>
      </c>
      <c r="LE30" s="15" t="n">
        <f aca="false">LA30-LC30-LD30</f>
        <v>0.722985925048217</v>
      </c>
      <c r="LF30" s="15" t="n">
        <f aca="false">LE30*(1-Inputs!$B$18*EXP(-Inputs!$B$21*Inputs!$B$14*Inputs!$B$17/(Inputs!$B$22*Inputs!$B$23*Inputs!$B$24*KY30*Inputs!$B$16))*Inputs!$B$19)</f>
        <v>0.0263519047687445</v>
      </c>
      <c r="LG30" s="15" t="n">
        <f aca="false">(LE30-LF30)*(1-EXP(-Inputs!$B$25*Inputs!$B$14*Inputs!$B$17*Inputs!$B$26/(KY30*Inputs!$B$16/0.866)))</f>
        <v>0.00761430571621219</v>
      </c>
      <c r="LH30" s="15" t="n">
        <f aca="false">(LE30-LF30-LG30)*(1-Inputs!$B$19)</f>
        <v>0.0034450985728163</v>
      </c>
      <c r="LI30" s="15" t="n">
        <f aca="false">(LB30+LC30+LD30+LF30+LG30+LH30)*(1+Inputs!$B$27)</f>
        <v>0.315368660161585</v>
      </c>
      <c r="LJ30" s="15" t="n">
        <f aca="false">Inputs!$B$52/(1-LI30-G30)</f>
        <v>198170.044853072</v>
      </c>
      <c r="LK30" s="15" t="n">
        <f aca="false">LJ30/Inputs!$B$34</f>
        <v>330.283408088453</v>
      </c>
      <c r="LL30" s="15" t="n">
        <f aca="false">B30^2/LK30</f>
        <v>12.4014706754602</v>
      </c>
      <c r="LM30" s="15" t="n">
        <f aca="false">Inputs!$B$54*H30/(Inputs!$B$35*F30+E30*H30^2/(PI()*LL30*Inputs!$B$36))</f>
        <v>18.9999999999644</v>
      </c>
      <c r="LN30" s="15" t="n">
        <f aca="false">EXP(-Inputs!$B$11*Inputs!$B$14*Inputs!$B$17/(Inputs!$B$51*LM30*Inputs!$B$16))</f>
        <v>0.749903672132203</v>
      </c>
      <c r="LO30" s="15" t="n">
        <f aca="false">Inputs!$B$50*Inputs!$B$18*LN30*Inputs!$B$19</f>
        <v>0.73274904775116</v>
      </c>
      <c r="LP30" s="15" t="n">
        <f aca="false">1-LO30</f>
        <v>0.26725095224884</v>
      </c>
      <c r="LQ30" s="15" t="n">
        <f aca="false">Inputs!$B$20*LP30</f>
        <v>0.0080175285674652</v>
      </c>
      <c r="LR30" s="15" t="n">
        <f aca="false">0.8*(1-Inputs!$B$50)*(LO30-LQ30)</f>
        <v>0.001745594134958</v>
      </c>
      <c r="LS30" s="15" t="n">
        <f aca="false">LO30-LQ30-LR30</f>
        <v>0.722985925048737</v>
      </c>
      <c r="LT30" s="15" t="n">
        <f aca="false">LS30*(1-Inputs!$B$18*EXP(-Inputs!$B$21*Inputs!$B$14*Inputs!$B$17/(Inputs!$B$22*Inputs!$B$23*Inputs!$B$24*LM30*Inputs!$B$16))*Inputs!$B$19)</f>
        <v>0.0263519047687351</v>
      </c>
      <c r="LU30" s="15" t="n">
        <f aca="false">(LS30-LT30)*(1-EXP(-Inputs!$B$25*Inputs!$B$14*Inputs!$B$17*Inputs!$B$26/(LM30*Inputs!$B$16/0.866)))</f>
        <v>0.0076143057161998</v>
      </c>
      <c r="LV30" s="15" t="n">
        <f aca="false">(LS30-LT30-LU30)*(1-Inputs!$B$19)</f>
        <v>0.00344509857281901</v>
      </c>
      <c r="LW30" s="15" t="n">
        <f aca="false">(LP30+LQ30+LR30+LT30+LU30+LV30)*(1+Inputs!$B$27)</f>
        <v>0.315368660161044</v>
      </c>
      <c r="LX30" s="15" t="n">
        <f aca="false">Inputs!$B$52/(1-LW30-G30)</f>
        <v>198170.044852421</v>
      </c>
      <c r="LY30" s="15" t="n">
        <f aca="false">LX30/Inputs!$B$34</f>
        <v>330.283408087368</v>
      </c>
      <c r="LZ30" s="15" t="n">
        <f aca="false">B30^2/LY30</f>
        <v>12.4014706755009</v>
      </c>
      <c r="MA30" s="15" t="n">
        <f aca="false">Inputs!$B$54*H30/(Inputs!$B$35*F30+E30*H30^2/(PI()*LZ30*Inputs!$B$36))</f>
        <v>18.9999999999844</v>
      </c>
      <c r="MB30" s="15" t="n">
        <f aca="false">EXP(-Inputs!$B$11*Inputs!$B$14*Inputs!$B$17/(Inputs!$B$51*MA30*Inputs!$B$16))</f>
        <v>0.749903672132431</v>
      </c>
      <c r="MC30" s="15" t="n">
        <f aca="false">Inputs!$B$50*Inputs!$B$18*MB30*Inputs!$B$19</f>
        <v>0.732749047751382</v>
      </c>
      <c r="MD30" s="15" t="n">
        <f aca="false">1-MC30</f>
        <v>0.267250952248618</v>
      </c>
      <c r="ME30" s="15" t="n">
        <f aca="false">Inputs!$B$20*MD30</f>
        <v>0.00801752856745853</v>
      </c>
      <c r="MF30" s="15" t="n">
        <f aca="false">0.8*(1-Inputs!$B$50)*(MC30-ME30)</f>
        <v>0.00174559413495855</v>
      </c>
      <c r="MG30" s="15" t="n">
        <f aca="false">MC30-ME30-MF30</f>
        <v>0.722985925048965</v>
      </c>
      <c r="MH30" s="15" t="n">
        <f aca="false">MG30*(1-Inputs!$B$18*EXP(-Inputs!$B$21*Inputs!$B$14*Inputs!$B$17/(Inputs!$B$22*Inputs!$B$23*Inputs!$B$24*MA30*Inputs!$B$16))*Inputs!$B$19)</f>
        <v>0.0263519047687309</v>
      </c>
      <c r="MI30" s="15" t="n">
        <f aca="false">(MG30-MH30)*(1-EXP(-Inputs!$B$25*Inputs!$B$14*Inputs!$B$17*Inputs!$B$26/(MA30*Inputs!$B$16/0.866)))</f>
        <v>0.00761430571619437</v>
      </c>
      <c r="MJ30" s="15" t="n">
        <f aca="false">(MG30-MH30-MI30)*(1-Inputs!$B$19)</f>
        <v>0.0034450985728202</v>
      </c>
      <c r="MK30" s="15" t="n">
        <f aca="false">(MD30+ME30+MF30+MH30+MI30+MJ30)*(1+Inputs!$B$27)</f>
        <v>0.315368660160807</v>
      </c>
      <c r="ML30" s="15" t="n">
        <f aca="false">Inputs!$B$52/(1-MK30-G30)</f>
        <v>198170.044852135</v>
      </c>
      <c r="MM30" s="15" t="n">
        <f aca="false">ML30/Inputs!$B$34</f>
        <v>330.283408086892</v>
      </c>
      <c r="MN30" s="15" t="n">
        <f aca="false">B30^2/MM30</f>
        <v>12.4014706755188</v>
      </c>
      <c r="MO30" s="15" t="n">
        <f aca="false">Inputs!$B$54*H30/(Inputs!$B$35*F30+E30*H30^2/(PI()*MN30*Inputs!$B$36))</f>
        <v>18.9999999999931</v>
      </c>
      <c r="MP30" s="15" t="n">
        <f aca="false">EXP(-Inputs!$B$11*Inputs!$B$14*Inputs!$B$17/(Inputs!$B$51*MO30*Inputs!$B$16))</f>
        <v>0.74990367213253</v>
      </c>
      <c r="MQ30" s="15" t="n">
        <f aca="false">Inputs!$B$50*Inputs!$B$18*MP30*Inputs!$B$19</f>
        <v>0.73274904775148</v>
      </c>
      <c r="MR30" s="15" t="n">
        <f aca="false">1-MQ30</f>
        <v>0.26725095224852</v>
      </c>
      <c r="MS30" s="15" t="n">
        <f aca="false">Inputs!$B$20*MR30</f>
        <v>0.00801752856745561</v>
      </c>
      <c r="MT30" s="15" t="n">
        <f aca="false">0.8*(1-Inputs!$B$50)*(MQ30-MS30)</f>
        <v>0.00174559413495879</v>
      </c>
      <c r="MU30" s="15" t="n">
        <f aca="false">MQ30-MS30-MT30</f>
        <v>0.722985925049065</v>
      </c>
      <c r="MV30" s="15" t="n">
        <f aca="false">MU30*(1-Inputs!$B$18*EXP(-Inputs!$B$21*Inputs!$B$14*Inputs!$B$17/(Inputs!$B$22*Inputs!$B$23*Inputs!$B$24*MO30*Inputs!$B$16))*Inputs!$B$19)</f>
        <v>0.0263519047687291</v>
      </c>
      <c r="MW30" s="15" t="n">
        <f aca="false">(MU30-MV30)*(1-EXP(-Inputs!$B$25*Inputs!$B$14*Inputs!$B$17*Inputs!$B$26/(MO30*Inputs!$B$16/0.866)))</f>
        <v>0.00761430571619201</v>
      </c>
      <c r="MX30" s="15" t="n">
        <f aca="false">(MU30-MV30-MW30)*(1-Inputs!$B$19)</f>
        <v>0.00344509857282072</v>
      </c>
      <c r="MY30" s="15" t="n">
        <f aca="false">(MR30+MS30+MT30+MV30+MW30+MX30)*(1+Inputs!$B$27)</f>
        <v>0.315368660160703</v>
      </c>
      <c r="MZ30" s="15" t="n">
        <f aca="false">Inputs!$B$52/(1-MY30-G30)</f>
        <v>198170.04485201</v>
      </c>
      <c r="NA30" s="15" t="n">
        <f aca="false">MZ30/Inputs!$B$34</f>
        <v>330.283408086683</v>
      </c>
      <c r="NB30" s="15" t="n">
        <f aca="false">B30^2/NA30</f>
        <v>12.4014706755267</v>
      </c>
      <c r="NC30" s="15" t="n">
        <f aca="false">Inputs!$B$54*H30/(Inputs!$B$35*F30+E30*H30^2/(PI()*NB30*Inputs!$B$36))</f>
        <v>18.999999999997</v>
      </c>
      <c r="ND30" s="15" t="n">
        <f aca="false">EXP(-Inputs!$B$11*Inputs!$B$14*Inputs!$B$17/(Inputs!$B$51*NC30*Inputs!$B$16))</f>
        <v>0.749903672132574</v>
      </c>
      <c r="NE30" s="15" t="n">
        <f aca="false">Inputs!$B$50*Inputs!$B$18*ND30*Inputs!$B$19</f>
        <v>0.732749047751522</v>
      </c>
      <c r="NF30" s="15" t="n">
        <f aca="false">1-NE30</f>
        <v>0.267250952248478</v>
      </c>
      <c r="NG30" s="15" t="n">
        <f aca="false">Inputs!$B$20*NF30</f>
        <v>0.00801752856745433</v>
      </c>
      <c r="NH30" s="15" t="n">
        <f aca="false">0.8*(1-Inputs!$B$50)*(NE30-NG30)</f>
        <v>0.0017455941349589</v>
      </c>
      <c r="NI30" s="15" t="n">
        <f aca="false">NE30-NG30-NH30</f>
        <v>0.722985925049109</v>
      </c>
      <c r="NJ30" s="15" t="n">
        <f aca="false">NI30*(1-Inputs!$B$18*EXP(-Inputs!$B$21*Inputs!$B$14*Inputs!$B$17/(Inputs!$B$22*Inputs!$B$23*Inputs!$B$24*NC30*Inputs!$B$16))*Inputs!$B$19)</f>
        <v>0.0263519047687283</v>
      </c>
      <c r="NK30" s="15" t="n">
        <f aca="false">(NI30-NJ30)*(1-EXP(-Inputs!$B$25*Inputs!$B$14*Inputs!$B$17*Inputs!$B$26/(NC30*Inputs!$B$16/0.866)))</f>
        <v>0.00761430571619095</v>
      </c>
      <c r="NL30" s="15" t="n">
        <f aca="false">(NI30-NJ30-NK30)*(1-Inputs!$B$19)</f>
        <v>0.00344509857282095</v>
      </c>
      <c r="NM30" s="15" t="n">
        <f aca="false">(NF30+NG30+NH30+NJ30+NK30+NL30)*(1+Inputs!$B$27)</f>
        <v>0.315368660160657</v>
      </c>
      <c r="NN30" s="15" t="n">
        <f aca="false">Inputs!$B$52/(1-NM30-G30)</f>
        <v>198170.044851955</v>
      </c>
    </row>
    <row r="31" customFormat="false" ht="15" hidden="false" customHeight="false" outlineLevel="0" collapsed="false">
      <c r="A31" s="21" t="s">
        <v>501</v>
      </c>
      <c r="B31" s="21" t="n">
        <v>64</v>
      </c>
      <c r="C31" s="22" t="n">
        <v>0.05</v>
      </c>
      <c r="D31" s="23" t="n">
        <f aca="false">B31*C31</f>
        <v>3.2</v>
      </c>
      <c r="E31" s="24" t="n">
        <f aca="false">IF(C31=0,1,(1+0.45*C31)/(1.04+2.81*C31))</f>
        <v>0.866158407454468</v>
      </c>
      <c r="F31" s="24" t="n">
        <f aca="false">1+Inputs!$B$42*D31</f>
        <v>1.016</v>
      </c>
      <c r="G31" s="25" t="n">
        <f aca="false">Inputs!$B$31+Inputs!$B$43*(B31/Inputs!$B$32-1)+Inputs!$B$44+Inputs!$B$45*D31</f>
        <v>0.52592</v>
      </c>
      <c r="H31" s="22" t="n">
        <f aca="false">Inputs!$B$38</f>
        <v>0.5</v>
      </c>
      <c r="I31" s="23" t="n">
        <f aca="false">Inputs!$B$40</f>
        <v>2.4</v>
      </c>
      <c r="J31" s="26" t="n">
        <f aca="false">NN31/Inputs!$B$34</f>
        <v>326.022367635598</v>
      </c>
      <c r="K31" s="23" t="n">
        <f aca="false">B31^2/J31</f>
        <v>12.563555162504</v>
      </c>
      <c r="L31" s="23" t="n">
        <f aca="false">2*K31</f>
        <v>25.127110325008</v>
      </c>
      <c r="M31" s="22" t="n">
        <f aca="false">NC31</f>
        <v>19.7017140487699</v>
      </c>
      <c r="N31" s="23" t="n">
        <f aca="false">B31/SQRT(E31)</f>
        <v>68.7671952268253</v>
      </c>
      <c r="O31" s="24" t="n">
        <f aca="false">NM31</f>
        <v>0.307296964853233</v>
      </c>
      <c r="P31" s="23" t="n">
        <f aca="false">NN31/1000</f>
        <v>195.613420581359</v>
      </c>
      <c r="Q31" s="23" t="n">
        <f aca="false">G31*NN31/1000</f>
        <v>102.877010152148</v>
      </c>
      <c r="R31" s="23" t="n">
        <f aca="false">NM31*NN31/1000</f>
        <v>60.1114104292106</v>
      </c>
      <c r="S31" s="23" t="n">
        <f aca="false">NM31*NN31/Inputs!$B$28/1000</f>
        <v>80.1485472389474</v>
      </c>
      <c r="T31" s="27" t="n">
        <f aca="false">R31/Sweep!$R$5-1</f>
        <v>-0.0381654406487149</v>
      </c>
      <c r="U31" s="27" t="n">
        <f aca="false">R31/SUMIFS(Sweep!$R:$R,Sweep!$A:$A,"Conventional",Sweep!$B:$B,B31)-1</f>
        <v>-0.0381654406490327</v>
      </c>
      <c r="V31" s="26" t="n">
        <f aca="false">2*0.54*(J31/2)^1.5/SQRT(L31)*Inputs!$B$46*Inputs!$B$47</f>
        <v>41.9266530952611</v>
      </c>
      <c r="W31" s="28" t="n">
        <f aca="false">MIN(1,V31/S31)</f>
        <v>0.523111828468517</v>
      </c>
      <c r="X31" s="26" t="n">
        <f aca="false">1.23*SQRT(2*Inputs!$B$41*NN31*Inputs!$B$49/(1.225*J31*I31))/0.5144</f>
        <v>133.62967568068</v>
      </c>
      <c r="Y31" s="29" t="n">
        <f aca="false">(11000+6341.6*LN(0.36392/(2*Inputs!$B$50*Inputs!$B$18*(1+ND31)/2*Inputs!$B$34*Inputs!$B$49/((Inputs!$B$12*295.07)^2*H31))))/0.3048</f>
        <v>38570.3158615584</v>
      </c>
      <c r="Z31" s="26" t="n">
        <f aca="false">NN31-MZ31</f>
        <v>-3.72790964320302E-007</v>
      </c>
      <c r="AA31" s="30" t="str">
        <f aca="false">IF(ABS(NN31-MZ31)&lt;10,"Yes","No")</f>
        <v>Yes</v>
      </c>
      <c r="AC31" s="15" t="n">
        <f aca="false">Inputs!$B$52/(1-0.3154-G31)/Inputs!$B$34</f>
        <v>342.670783967734</v>
      </c>
      <c r="AD31" s="15" t="n">
        <f aca="false">B31^2/AC31</f>
        <v>11.9531637701149</v>
      </c>
      <c r="AE31" s="15" t="n">
        <f aca="false">Inputs!$B$54*H31/(Inputs!$B$35*F31+E31*H31^2/(PI()*AD31*Inputs!$B$36))</f>
        <v>19.4198737418059</v>
      </c>
      <c r="AF31" s="15" t="n">
        <f aca="false">EXP(-Inputs!$B$11*Inputs!$B$14*Inputs!$B$17/(Inputs!$B$51*AE31*Inputs!$B$16))</f>
        <v>0.754584647952955</v>
      </c>
      <c r="AG31" s="15" t="n">
        <f aca="false">Inputs!$B$50*Inputs!$B$18*AF31*Inputs!$B$19</f>
        <v>0.73732294264282</v>
      </c>
      <c r="AH31" s="15" t="n">
        <f aca="false">1-AG31</f>
        <v>0.26267705735718</v>
      </c>
      <c r="AI31" s="15" t="n">
        <f aca="false">Inputs!$B$20*AH31</f>
        <v>0.00788031172071541</v>
      </c>
      <c r="AJ31" s="15" t="n">
        <f aca="false">0.8*(1-Inputs!$B$50)*(AG31-AI31)</f>
        <v>0.00175694135638003</v>
      </c>
      <c r="AK31" s="15" t="n">
        <f aca="false">AG31-AI31-AJ31</f>
        <v>0.727685689565724</v>
      </c>
      <c r="AL31" s="15" t="n">
        <f aca="false">AK31*(1-Inputs!$B$18*EXP(-Inputs!$B$21*Inputs!$B$14*Inputs!$B$17/(Inputs!$B$22*Inputs!$B$23*Inputs!$B$24*AE31*Inputs!$B$16))*Inputs!$B$19)</f>
        <v>0.0262653913664853</v>
      </c>
      <c r="AM31" s="15" t="n">
        <f aca="false">(AK31-AL31)*(1-EXP(-Inputs!$B$25*Inputs!$B$14*Inputs!$B$17*Inputs!$B$26/(AE31*Inputs!$B$16/0.866)))</f>
        <v>0.00750175132884835</v>
      </c>
      <c r="AN31" s="15" t="n">
        <f aca="false">(AK31-AL31-AM31)*(1-Inputs!$B$19)</f>
        <v>0.00346959273435196</v>
      </c>
      <c r="AO31" s="15" t="n">
        <f aca="false">(AH31+AI31+AJ31+AL31+AM31+AN31)*(1+Inputs!$B$27)</f>
        <v>0.310479699001553</v>
      </c>
      <c r="AP31" s="15" t="n">
        <f aca="false">Inputs!$B$52/(1-AO31-G31)</f>
        <v>199418.948503705</v>
      </c>
      <c r="AQ31" s="15" t="n">
        <f aca="false">AP31/Inputs!$B$34</f>
        <v>332.364914172843</v>
      </c>
      <c r="AR31" s="15" t="n">
        <f aca="false">B31^2/AQ31</f>
        <v>12.3238038232577</v>
      </c>
      <c r="AS31" s="15" t="n">
        <f aca="false">Inputs!$B$54*H31/(Inputs!$B$35*F31+E31*H31^2/(PI()*AR31*Inputs!$B$36))</f>
        <v>19.5933820285594</v>
      </c>
      <c r="AT31" s="15" t="n">
        <f aca="false">EXP(-Inputs!$B$11*Inputs!$B$14*Inputs!$B$17/(Inputs!$B$51*AS31*Inputs!$B$16))</f>
        <v>0.756468619018288</v>
      </c>
      <c r="AU31" s="15" t="n">
        <f aca="false">Inputs!$B$50*Inputs!$B$18*AT31*Inputs!$B$19</f>
        <v>0.739163816418232</v>
      </c>
      <c r="AV31" s="15" t="n">
        <f aca="false">1-AU31</f>
        <v>0.260836183581768</v>
      </c>
      <c r="AW31" s="15" t="n">
        <f aca="false">Inputs!$B$20*AV31</f>
        <v>0.00782508550745304</v>
      </c>
      <c r="AX31" s="15" t="n">
        <f aca="false">0.8*(1-Inputs!$B$50)*(AU31-AW31)</f>
        <v>0.00176150831798155</v>
      </c>
      <c r="AY31" s="15" t="n">
        <f aca="false">AU31-AW31-AX31</f>
        <v>0.729577222592797</v>
      </c>
      <c r="AZ31" s="15" t="n">
        <f aca="false">AY31*(1-Inputs!$B$18*EXP(-Inputs!$B$21*Inputs!$B$14*Inputs!$B$17/(Inputs!$B$22*Inputs!$B$23*Inputs!$B$24*AS31*Inputs!$B$16))*Inputs!$B$19)</f>
        <v>0.0262300576865909</v>
      </c>
      <c r="BA31" s="15" t="n">
        <f aca="false">(AY31-AZ31)*(1-EXP(-Inputs!$B$25*Inputs!$B$14*Inputs!$B$17*Inputs!$B$26/(AS31*Inputs!$B$16/0.866)))</f>
        <v>0.00745609977490053</v>
      </c>
      <c r="BB31" s="15" t="n">
        <f aca="false">(AY31-AZ31-BA31)*(1-Inputs!$B$19)</f>
        <v>0.00347945532565653</v>
      </c>
      <c r="BC31" s="15" t="n">
        <f aca="false">(AV31+AW31+AX31+AZ31+BA31+BB31)*(1+Inputs!$B$27)</f>
        <v>0.308511155364934</v>
      </c>
      <c r="BD31" s="15" t="n">
        <f aca="false">Inputs!$B$52/(1-BC31-G31)</f>
        <v>197047.941428289</v>
      </c>
      <c r="BE31" s="15" t="n">
        <f aca="false">BD31/Inputs!$B$34</f>
        <v>328.413235713815</v>
      </c>
      <c r="BF31" s="15" t="n">
        <f aca="false">B31^2/BE31</f>
        <v>12.472091726441</v>
      </c>
      <c r="BG31" s="15" t="n">
        <f aca="false">Inputs!$B$54*H31/(Inputs!$B$35*F31+E31*H31^2/(PI()*BF31*Inputs!$B$36))</f>
        <v>19.6607371408752</v>
      </c>
      <c r="BH31" s="15" t="n">
        <f aca="false">EXP(-Inputs!$B$11*Inputs!$B$14*Inputs!$B$17/(Inputs!$B$51*BG31*Inputs!$B$16))</f>
        <v>0.757192255044019</v>
      </c>
      <c r="BI31" s="15" t="n">
        <f aca="false">Inputs!$B$50*Inputs!$B$18*BH31*Inputs!$B$19</f>
        <v>0.739870898712235</v>
      </c>
      <c r="BJ31" s="15" t="n">
        <f aca="false">1-BI31</f>
        <v>0.260129101287765</v>
      </c>
      <c r="BK31" s="15" t="n">
        <f aca="false">Inputs!$B$20*BJ31</f>
        <v>0.00780387303863295</v>
      </c>
      <c r="BL31" s="15" t="n">
        <f aca="false">0.8*(1-Inputs!$B$50)*(BI31-BK31)</f>
        <v>0.00176326249457364</v>
      </c>
      <c r="BM31" s="15" t="n">
        <f aca="false">BI31-BK31-BL31</f>
        <v>0.730303763179029</v>
      </c>
      <c r="BN31" s="15" t="n">
        <f aca="false">BM31*(1-Inputs!$B$18*EXP(-Inputs!$B$21*Inputs!$B$14*Inputs!$B$17/(Inputs!$B$22*Inputs!$B$23*Inputs!$B$24*BG31*Inputs!$B$16))*Inputs!$B$19)</f>
        <v>0.0262164077525492</v>
      </c>
      <c r="BO31" s="15" t="n">
        <f aca="false">(BM31-BN31)*(1-EXP(-Inputs!$B$25*Inputs!$B$14*Inputs!$B$17*Inputs!$B$26/(BG31*Inputs!$B$16/0.866)))</f>
        <v>0.00743851149513451</v>
      </c>
      <c r="BP31" s="15" t="n">
        <f aca="false">(BM31-BN31-BO31)*(1-Inputs!$B$19)</f>
        <v>0.00348324421965673</v>
      </c>
      <c r="BQ31" s="15" t="n">
        <f aca="false">(BJ31+BK31+BL31+BN31+BO31+BP31)*(1+Inputs!$B$27)</f>
        <v>0.307754903489177</v>
      </c>
      <c r="BR31" s="15" t="n">
        <f aca="false">Inputs!$B$52/(1-BQ31-G31)</f>
        <v>196151.998011178</v>
      </c>
      <c r="BS31" s="15" t="n">
        <f aca="false">BR31/Inputs!$B$34</f>
        <v>326.919996685297</v>
      </c>
      <c r="BT31" s="15" t="n">
        <f aca="false">B31^2/BS31</f>
        <v>12.5290592240613</v>
      </c>
      <c r="BU31" s="15" t="n">
        <f aca="false">Inputs!$B$54*H31/(Inputs!$B$35*F31+E31*H31^2/(PI()*BT31*Inputs!$B$36))</f>
        <v>19.6863096417971</v>
      </c>
      <c r="BV31" s="15" t="n">
        <f aca="false">EXP(-Inputs!$B$11*Inputs!$B$14*Inputs!$B$17/(Inputs!$B$51*BU31*Inputs!$B$16))</f>
        <v>0.757465878911636</v>
      </c>
      <c r="BW31" s="15" t="n">
        <f aca="false">Inputs!$B$50*Inputs!$B$18*BV31*Inputs!$B$19</f>
        <v>0.740138263223024</v>
      </c>
      <c r="BX31" s="15" t="n">
        <f aca="false">1-BW31</f>
        <v>0.259861736776976</v>
      </c>
      <c r="BY31" s="15" t="n">
        <f aca="false">Inputs!$B$20*BX31</f>
        <v>0.00779585210330928</v>
      </c>
      <c r="BZ31" s="15" t="n">
        <f aca="false">0.8*(1-Inputs!$B$50)*(BW31-BY31)</f>
        <v>0.00176392579016223</v>
      </c>
      <c r="CA31" s="15" t="n">
        <f aca="false">BW31-BY31-BZ31</f>
        <v>0.730578485329553</v>
      </c>
      <c r="CB31" s="15" t="n">
        <f aca="false">CA31*(1-Inputs!$B$18*EXP(-Inputs!$B$21*Inputs!$B$14*Inputs!$B$17/(Inputs!$B$22*Inputs!$B$23*Inputs!$B$24*BU31*Inputs!$B$16))*Inputs!$B$19)</f>
        <v>0.0262112350932915</v>
      </c>
      <c r="CC31" s="15" t="n">
        <f aca="false">(CA31-CB31)*(1-EXP(-Inputs!$B$25*Inputs!$B$14*Inputs!$B$17*Inputs!$B$26/(BU31*Inputs!$B$16/0.866)))</f>
        <v>0.00743185323019378</v>
      </c>
      <c r="CD31" s="15" t="n">
        <f aca="false">(CA31-CB31-CC31)*(1-Inputs!$B$19)</f>
        <v>0.00348467698503034</v>
      </c>
      <c r="CE31" s="15" t="n">
        <f aca="false">(BX31+BY31+BZ31+CB31+CC31+CD31)*(1+Inputs!$B$27)</f>
        <v>0.3074689278189</v>
      </c>
      <c r="CF31" s="15" t="n">
        <f aca="false">Inputs!$B$52/(1-CE31-G31)</f>
        <v>195815.317511059</v>
      </c>
      <c r="CG31" s="15" t="n">
        <f aca="false">CF31/Inputs!$B$34</f>
        <v>326.358862518431</v>
      </c>
      <c r="CH31" s="15" t="n">
        <f aca="false">B31^2/CG31</f>
        <v>12.5506014097248</v>
      </c>
      <c r="CI31" s="15" t="n">
        <f aca="false">Inputs!$B$54*H31/(Inputs!$B$35*F31+E31*H31^2/(PI()*CH31*Inputs!$B$36))</f>
        <v>19.6959365631461</v>
      </c>
      <c r="CJ31" s="15" t="n">
        <f aca="false">EXP(-Inputs!$B$11*Inputs!$B$14*Inputs!$B$17/(Inputs!$B$51*CI31*Inputs!$B$16))</f>
        <v>0.757568727727017</v>
      </c>
      <c r="CK31" s="15" t="n">
        <f aca="false">Inputs!$B$50*Inputs!$B$18*CJ31*Inputs!$B$19</f>
        <v>0.740238759292497</v>
      </c>
      <c r="CL31" s="15" t="n">
        <f aca="false">1-CK31</f>
        <v>0.259761240707503</v>
      </c>
      <c r="CM31" s="15" t="n">
        <f aca="false">Inputs!$B$20*CL31</f>
        <v>0.00779283722122508</v>
      </c>
      <c r="CN31" s="15" t="n">
        <f aca="false">0.8*(1-Inputs!$B$50)*(CK31-CM31)</f>
        <v>0.00176417510746824</v>
      </c>
      <c r="CO31" s="15" t="n">
        <f aca="false">CK31-CM31-CN31</f>
        <v>0.730681746963804</v>
      </c>
      <c r="CP31" s="15" t="n">
        <f aca="false">CO31*(1-Inputs!$B$18*EXP(-Inputs!$B$21*Inputs!$B$14*Inputs!$B$17/(Inputs!$B$22*Inputs!$B$23*Inputs!$B$24*CI31*Inputs!$B$16))*Inputs!$B$19)</f>
        <v>0.0262092892093677</v>
      </c>
      <c r="CQ31" s="15" t="n">
        <f aca="false">(CO31-CP31)*(1-EXP(-Inputs!$B$25*Inputs!$B$14*Inputs!$B$17*Inputs!$B$26/(CI31*Inputs!$B$16/0.866)))</f>
        <v>0.00742934944892581</v>
      </c>
      <c r="CR31" s="15" t="n">
        <f aca="false">(CO31-CP31-CQ31)*(1-Inputs!$B$19)</f>
        <v>0.00348521554152756</v>
      </c>
      <c r="CS31" s="15" t="n">
        <f aca="false">(CL31+CM31+CN31+CP31+CQ31+CR31)*(1+Inputs!$B$27)</f>
        <v>0.307361433557725</v>
      </c>
      <c r="CT31" s="15" t="n">
        <f aca="false">Inputs!$B$52/(1-CS31-G31)</f>
        <v>195689.062689345</v>
      </c>
      <c r="CU31" s="15" t="n">
        <f aca="false">CT31/Inputs!$B$34</f>
        <v>326.148437815574</v>
      </c>
      <c r="CV31" s="15" t="n">
        <f aca="false">B31^2/CU31</f>
        <v>12.5586988165068</v>
      </c>
      <c r="CW31" s="15" t="n">
        <f aca="false">Inputs!$B$54*H31/(Inputs!$B$35*F31+E31*H31^2/(PI()*CV31*Inputs!$B$36))</f>
        <v>19.6995490760454</v>
      </c>
      <c r="CX31" s="15" t="n">
        <f aca="false">EXP(-Inputs!$B$11*Inputs!$B$14*Inputs!$B$17/(Inputs!$B$51*CW31*Inputs!$B$16))</f>
        <v>0.757607299521223</v>
      </c>
      <c r="CY31" s="15" t="n">
        <f aca="false">Inputs!$B$50*Inputs!$B$18*CX31*Inputs!$B$19</f>
        <v>0.740276448727187</v>
      </c>
      <c r="CZ31" s="15" t="n">
        <f aca="false">1-CY31</f>
        <v>0.259723551272813</v>
      </c>
      <c r="DA31" s="15" t="n">
        <f aca="false">Inputs!$B$20*CZ31</f>
        <v>0.00779170653818439</v>
      </c>
      <c r="DB31" s="15" t="n">
        <f aca="false">0.8*(1-Inputs!$B$50)*(CY31-DA31)</f>
        <v>0.00176426860991437</v>
      </c>
      <c r="DC31" s="15" t="n">
        <f aca="false">CY31-DA31-DB31</f>
        <v>0.730720473579088</v>
      </c>
      <c r="DD31" s="15" t="n">
        <f aca="false">DC31*(1-Inputs!$B$18*EXP(-Inputs!$B$21*Inputs!$B$14*Inputs!$B$17/(Inputs!$B$22*Inputs!$B$23*Inputs!$B$24*CW31*Inputs!$B$16))*Inputs!$B$19)</f>
        <v>0.0262085592112136</v>
      </c>
      <c r="DE31" s="15" t="n">
        <f aca="false">(DC31-DD31)*(1-EXP(-Inputs!$B$25*Inputs!$B$14*Inputs!$B$17*Inputs!$B$26/(CW31*Inputs!$B$16/0.866)))</f>
        <v>0.00742841029176996</v>
      </c>
      <c r="DF31" s="15" t="n">
        <f aca="false">(DC31-DD31-DE31)*(1-Inputs!$B$19)</f>
        <v>0.00348541752038053</v>
      </c>
      <c r="DG31" s="15" t="n">
        <f aca="false">(CZ31+DA31+DB31+DD31+DE31+DF31)*(1+Inputs!$B$27)</f>
        <v>0.307321119184609</v>
      </c>
      <c r="DH31" s="15" t="n">
        <f aca="false">Inputs!$B$52/(1-DG31-G31)</f>
        <v>195641.754372993</v>
      </c>
      <c r="DI31" s="15" t="n">
        <f aca="false">DH31/Inputs!$B$34</f>
        <v>326.069590621655</v>
      </c>
      <c r="DJ31" s="15" t="n">
        <f aca="false">B31^2/DI31</f>
        <v>12.5617356472615</v>
      </c>
      <c r="DK31" s="15" t="n">
        <f aca="false">Inputs!$B$54*H31/(Inputs!$B$35*F31+E31*H31^2/(PI()*DJ31*Inputs!$B$36))</f>
        <v>19.7009030441154</v>
      </c>
      <c r="DL31" s="15" t="n">
        <f aca="false">EXP(-Inputs!$B$11*Inputs!$B$14*Inputs!$B$17/(Inputs!$B$51*DK31*Inputs!$B$16))</f>
        <v>0.757621753072208</v>
      </c>
      <c r="DM31" s="15" t="n">
        <f aca="false">Inputs!$B$50*Inputs!$B$18*DL31*Inputs!$B$19</f>
        <v>0.740290571642055</v>
      </c>
      <c r="DN31" s="15" t="n">
        <f aca="false">1-DM31</f>
        <v>0.259709428357945</v>
      </c>
      <c r="DO31" s="15" t="n">
        <f aca="false">Inputs!$B$20*DN31</f>
        <v>0.00779128285073836</v>
      </c>
      <c r="DP31" s="15" t="n">
        <f aca="false">0.8*(1-Inputs!$B$50)*(DM31-DO31)</f>
        <v>0.00176430364697708</v>
      </c>
      <c r="DQ31" s="15" t="n">
        <f aca="false">DM31-DO31-DP31</f>
        <v>0.730734985144339</v>
      </c>
      <c r="DR31" s="15" t="n">
        <f aca="false">DQ31*(1-Inputs!$B$18*EXP(-Inputs!$B$21*Inputs!$B$14*Inputs!$B$17/(Inputs!$B$22*Inputs!$B$23*Inputs!$B$24*DK31*Inputs!$B$16))*Inputs!$B$19)</f>
        <v>0.0262082856359569</v>
      </c>
      <c r="DS31" s="15" t="n">
        <f aca="false">(DQ31-DR31)*(1-EXP(-Inputs!$B$25*Inputs!$B$14*Inputs!$B$17*Inputs!$B$26/(DK31*Inputs!$B$16/0.866)))</f>
        <v>0.00742805835087545</v>
      </c>
      <c r="DT31" s="15" t="n">
        <f aca="false">(DQ31-DR31-DS31)*(1-Inputs!$B$19)</f>
        <v>0.00348549320578754</v>
      </c>
      <c r="DU31" s="15" t="n">
        <f aca="false">(DN31+DO31+DP31+DR31+DS31+DT31)*(1+Inputs!$B$27)</f>
        <v>0.307306012604425</v>
      </c>
      <c r="DV31" s="15" t="n">
        <f aca="false">Inputs!$B$52/(1-DU31-G31)</f>
        <v>195624.032917173</v>
      </c>
      <c r="DW31" s="15" t="n">
        <f aca="false">DV31/Inputs!$B$34</f>
        <v>326.040054861954</v>
      </c>
      <c r="DX31" s="15" t="n">
        <f aca="false">B31^2/DW31</f>
        <v>12.5628736068464</v>
      </c>
      <c r="DY31" s="15" t="n">
        <f aca="false">Inputs!$B$54*H31/(Inputs!$B$35*F31+E31*H31^2/(PI()*DX31*Inputs!$B$36))</f>
        <v>19.7014102816195</v>
      </c>
      <c r="DZ31" s="15" t="n">
        <f aca="false">EXP(-Inputs!$B$11*Inputs!$B$14*Inputs!$B$17/(Inputs!$B$51*DY31*Inputs!$B$16))</f>
        <v>0.757627167370232</v>
      </c>
      <c r="EA31" s="15" t="n">
        <f aca="false">Inputs!$B$50*Inputs!$B$18*DZ31*Inputs!$B$19</f>
        <v>0.740295862083839</v>
      </c>
      <c r="EB31" s="15" t="n">
        <f aca="false">1-EA31</f>
        <v>0.259704137916161</v>
      </c>
      <c r="EC31" s="15" t="n">
        <f aca="false">Inputs!$B$20*EB31</f>
        <v>0.00779112413748483</v>
      </c>
      <c r="ED31" s="15" t="n">
        <f aca="false">0.8*(1-Inputs!$B$50)*(EA31-EC31)</f>
        <v>0.00176431677185549</v>
      </c>
      <c r="EE31" s="15" t="n">
        <f aca="false">EA31-EC31-ED31</f>
        <v>0.730740421174499</v>
      </c>
      <c r="EF31" s="15" t="n">
        <f aca="false">EE31*(1-Inputs!$B$18*EXP(-Inputs!$B$21*Inputs!$B$14*Inputs!$B$17/(Inputs!$B$22*Inputs!$B$23*Inputs!$B$24*DY31*Inputs!$B$16))*Inputs!$B$19)</f>
        <v>0.0262081831502567</v>
      </c>
      <c r="EG31" s="15" t="n">
        <f aca="false">(EE31-EF31)*(1-EXP(-Inputs!$B$25*Inputs!$B$14*Inputs!$B$17*Inputs!$B$26/(DY31*Inputs!$B$16/0.866)))</f>
        <v>0.00742792651082767</v>
      </c>
      <c r="EH31" s="15" t="n">
        <f aca="false">(EE31-EF31-EG31)*(1-Inputs!$B$19)</f>
        <v>0.00348552155756707</v>
      </c>
      <c r="EI31" s="15" t="n">
        <f aca="false">(EB31+EC31+ED31+EF31+EG31+EH31)*(1+Inputs!$B$27)</f>
        <v>0.307300353674285</v>
      </c>
      <c r="EJ31" s="15" t="n">
        <f aca="false">Inputs!$B$52/(1-EI31-G31)</f>
        <v>195617.395280264</v>
      </c>
      <c r="EK31" s="15" t="n">
        <f aca="false">EJ31/Inputs!$B$34</f>
        <v>326.028992133774</v>
      </c>
      <c r="EL31" s="15" t="n">
        <f aca="false">B31^2/EK31</f>
        <v>12.5632998868989</v>
      </c>
      <c r="EM31" s="15" t="n">
        <f aca="false">Inputs!$B$54*H31/(Inputs!$B$35*F31+E31*H31^2/(PI()*EL31*Inputs!$B$36))</f>
        <v>19.7016002760289</v>
      </c>
      <c r="EN31" s="15" t="n">
        <f aca="false">EXP(-Inputs!$B$11*Inputs!$B$14*Inputs!$B$17/(Inputs!$B$51*EM31*Inputs!$B$16))</f>
        <v>0.757629195325569</v>
      </c>
      <c r="EO31" s="15" t="n">
        <f aca="false">Inputs!$B$50*Inputs!$B$18*EN31*Inputs!$B$19</f>
        <v>0.740297843648135</v>
      </c>
      <c r="EP31" s="15" t="n">
        <f aca="false">1-EO31</f>
        <v>0.259702156351865</v>
      </c>
      <c r="EQ31" s="15" t="n">
        <f aca="false">Inputs!$B$20*EP31</f>
        <v>0.00779106469055595</v>
      </c>
      <c r="ER31" s="15" t="n">
        <f aca="false">0.8*(1-Inputs!$B$50)*(EO31-EQ31)</f>
        <v>0.00176432168785146</v>
      </c>
      <c r="ES31" s="15" t="n">
        <f aca="false">EO31-EQ31-ER31</f>
        <v>0.730742457269728</v>
      </c>
      <c r="ET31" s="15" t="n">
        <f aca="false">ES31*(1-Inputs!$B$18*EXP(-Inputs!$B$21*Inputs!$B$14*Inputs!$B$17/(Inputs!$B$22*Inputs!$B$23*Inputs!$B$24*EM31*Inputs!$B$16))*Inputs!$B$19)</f>
        <v>0.0262081447630453</v>
      </c>
      <c r="EU31" s="15" t="n">
        <f aca="false">(ES31-ET31)*(1-EXP(-Inputs!$B$25*Inputs!$B$14*Inputs!$B$17*Inputs!$B$26/(EM31*Inputs!$B$16/0.866)))</f>
        <v>0.00742787712898018</v>
      </c>
      <c r="EV31" s="15" t="n">
        <f aca="false">(ES31-ET31-EU31)*(1-Inputs!$B$19)</f>
        <v>0.00348553217688851</v>
      </c>
      <c r="EW31" s="15" t="n">
        <f aca="false">(EP31+EQ31+ER31+ET31+EU31+EV31)*(1+Inputs!$B$27)</f>
        <v>0.307298234089584</v>
      </c>
      <c r="EX31" s="15" t="n">
        <f aca="false">Inputs!$B$52/(1-EW31-G31)</f>
        <v>195614.909231288</v>
      </c>
      <c r="EY31" s="15" t="n">
        <f aca="false">EX31/Inputs!$B$34</f>
        <v>326.024848718814</v>
      </c>
      <c r="EZ31" s="15" t="n">
        <f aca="false">B31^2/EY31</f>
        <v>12.5634595525345</v>
      </c>
      <c r="FA31" s="15" t="n">
        <f aca="false">Inputs!$B$54*H31/(Inputs!$B$35*F31+E31*H31^2/(PI()*EZ31*Inputs!$B$36))</f>
        <v>19.7016714371477</v>
      </c>
      <c r="FB31" s="15" t="n">
        <f aca="false">EXP(-Inputs!$B$11*Inputs!$B$14*Inputs!$B$17/(Inputs!$B$51*FA31*Inputs!$B$16))</f>
        <v>0.757629954873829</v>
      </c>
      <c r="FC31" s="15" t="n">
        <f aca="false">Inputs!$B$50*Inputs!$B$18*FB31*Inputs!$B$19</f>
        <v>0.740298585821143</v>
      </c>
      <c r="FD31" s="15" t="n">
        <f aca="false">1-FC31</f>
        <v>0.259701414178857</v>
      </c>
      <c r="FE31" s="15" t="n">
        <f aca="false">Inputs!$B$20*FD31</f>
        <v>0.00779104242536571</v>
      </c>
      <c r="FF31" s="15" t="n">
        <f aca="false">0.8*(1-Inputs!$B$50)*(FC31-FE31)</f>
        <v>0.00176432352908342</v>
      </c>
      <c r="FG31" s="15" t="n">
        <f aca="false">FC31-FE31-FF31</f>
        <v>0.730743219866694</v>
      </c>
      <c r="FH31" s="15" t="n">
        <f aca="false">FG31*(1-Inputs!$B$18*EXP(-Inputs!$B$21*Inputs!$B$14*Inputs!$B$17/(Inputs!$B$22*Inputs!$B$23*Inputs!$B$24*FA31*Inputs!$B$16))*Inputs!$B$19)</f>
        <v>0.0262081303854519</v>
      </c>
      <c r="FI31" s="15" t="n">
        <f aca="false">(FG31-FH31)*(1-EXP(-Inputs!$B$25*Inputs!$B$14*Inputs!$B$17*Inputs!$B$26/(FA31*Inputs!$B$16/0.866)))</f>
        <v>0.00742785863349505</v>
      </c>
      <c r="FJ31" s="15" t="n">
        <f aca="false">(FG31-FH31-FI31)*(1-Inputs!$B$19)</f>
        <v>0.00348553615423874</v>
      </c>
      <c r="FK31" s="15" t="n">
        <f aca="false">(FD31+FE31+FF31+FH31+FI31+FJ31)*(1+Inputs!$B$27)</f>
        <v>0.307297440222411</v>
      </c>
      <c r="FL31" s="15" t="n">
        <f aca="false">Inputs!$B$52/(1-FK31-G31)</f>
        <v>195613.978125211</v>
      </c>
      <c r="FM31" s="15" t="n">
        <f aca="false">FL31/Inputs!$B$34</f>
        <v>326.023296875352</v>
      </c>
      <c r="FN31" s="15" t="n">
        <f aca="false">B31^2/FM31</f>
        <v>12.5635193535449</v>
      </c>
      <c r="FO31" s="15" t="n">
        <f aca="false">Inputs!$B$54*H31/(Inputs!$B$35*F31+E31*H31^2/(PI()*FN31*Inputs!$B$36))</f>
        <v>19.70169808943</v>
      </c>
      <c r="FP31" s="15" t="n">
        <f aca="false">EXP(-Inputs!$B$11*Inputs!$B$14*Inputs!$B$17/(Inputs!$B$51*FO31*Inputs!$B$16))</f>
        <v>0.757630239349515</v>
      </c>
      <c r="FQ31" s="15" t="n">
        <f aca="false">Inputs!$B$50*Inputs!$B$18*FP31*Inputs!$B$19</f>
        <v>0.740298863789229</v>
      </c>
      <c r="FR31" s="15" t="n">
        <f aca="false">1-FQ31</f>
        <v>0.259701136210771</v>
      </c>
      <c r="FS31" s="15" t="n">
        <f aca="false">Inputs!$B$20*FR31</f>
        <v>0.00779103408632314</v>
      </c>
      <c r="FT31" s="15" t="n">
        <f aca="false">0.8*(1-Inputs!$B$50)*(FQ31-FS31)</f>
        <v>0.00176432421868506</v>
      </c>
      <c r="FU31" s="15" t="n">
        <f aca="false">FQ31-FS31-FT31</f>
        <v>0.73074350548422</v>
      </c>
      <c r="FV31" s="15" t="n">
        <f aca="false">FU31*(1-Inputs!$B$18*EXP(-Inputs!$B$21*Inputs!$B$14*Inputs!$B$17/(Inputs!$B$22*Inputs!$B$23*Inputs!$B$24*FO31*Inputs!$B$16))*Inputs!$B$19)</f>
        <v>0.0262081250005602</v>
      </c>
      <c r="FW31" s="15" t="n">
        <f aca="false">(FU31-FV31)*(1-EXP(-Inputs!$B$25*Inputs!$B$14*Inputs!$B$17*Inputs!$B$26/(FO31*Inputs!$B$16/0.866)))</f>
        <v>0.00742785170632212</v>
      </c>
      <c r="FX31" s="15" t="n">
        <f aca="false">(FU31-FV31-FW31)*(1-Inputs!$B$19)</f>
        <v>0.00348553764388669</v>
      </c>
      <c r="FY31" s="15" t="n">
        <f aca="false">(FR31+FS31+FT31+FV31+FW31+FX31)*(1+Inputs!$B$27)</f>
        <v>0.307297142893148</v>
      </c>
      <c r="FZ31" s="15" t="n">
        <f aca="false">Inputs!$B$52/(1-FY31-G31)</f>
        <v>195613.629397764</v>
      </c>
      <c r="GA31" s="15" t="n">
        <f aca="false">FZ31/Inputs!$B$34</f>
        <v>326.022715662941</v>
      </c>
      <c r="GB31" s="15" t="n">
        <f aca="false">B31^2/GA31</f>
        <v>12.5635417509823</v>
      </c>
      <c r="GC31" s="15" t="n">
        <f aca="false">Inputs!$B$54*H31/(Inputs!$B$35*F31+E31*H31^2/(PI()*GB31*Inputs!$B$36))</f>
        <v>19.7017080715361</v>
      </c>
      <c r="GD31" s="15" t="n">
        <f aca="false">EXP(-Inputs!$B$11*Inputs!$B$14*Inputs!$B$17/(Inputs!$B$51*GC31*Inputs!$B$16))</f>
        <v>0.757630345894309</v>
      </c>
      <c r="GE31" s="15" t="n">
        <f aca="false">Inputs!$B$50*Inputs!$B$18*GD31*Inputs!$B$19</f>
        <v>0.740298967896728</v>
      </c>
      <c r="GF31" s="15" t="n">
        <f aca="false">1-GE31</f>
        <v>0.259701032103272</v>
      </c>
      <c r="GG31" s="15" t="n">
        <f aca="false">Inputs!$B$20*GF31</f>
        <v>0.00779103096309815</v>
      </c>
      <c r="GH31" s="15" t="n">
        <f aca="false">0.8*(1-Inputs!$B$50)*(GE31-GG31)</f>
        <v>0.00176432447696184</v>
      </c>
      <c r="GI31" s="15" t="n">
        <f aca="false">GE31-GG31-GH31</f>
        <v>0.730743612456668</v>
      </c>
      <c r="GJ31" s="15" t="n">
        <f aca="false">GI31*(1-Inputs!$B$18*EXP(-Inputs!$B$21*Inputs!$B$14*Inputs!$B$17/(Inputs!$B$22*Inputs!$B$23*Inputs!$B$24*GC31*Inputs!$B$16))*Inputs!$B$19)</f>
        <v>0.0262081229837528</v>
      </c>
      <c r="GK31" s="15" t="n">
        <f aca="false">(GI31-GJ31)*(1-EXP(-Inputs!$B$25*Inputs!$B$14*Inputs!$B$17*Inputs!$B$26/(GC31*Inputs!$B$16/0.866)))</f>
        <v>0.00742784911188399</v>
      </c>
      <c r="GL31" s="15" t="n">
        <f aca="false">(GI31-GJ31-GK31)*(1-Inputs!$B$19)</f>
        <v>0.00348553820180516</v>
      </c>
      <c r="GM31" s="15" t="n">
        <f aca="false">(GF31+GG31+GH31+GJ31+GK31+GL31)*(1+Inputs!$B$27)</f>
        <v>0.307297031534296</v>
      </c>
      <c r="GN31" s="15" t="n">
        <f aca="false">Inputs!$B$52/(1-GM31-G31)</f>
        <v>195613.498789049</v>
      </c>
      <c r="GO31" s="15" t="n">
        <f aca="false">GN31/Inputs!$B$34</f>
        <v>326.022497981748</v>
      </c>
      <c r="GP31" s="15" t="n">
        <f aca="false">B31^2/GO31</f>
        <v>12.5635501395039</v>
      </c>
      <c r="GQ31" s="15" t="n">
        <f aca="false">Inputs!$B$54*H31/(Inputs!$B$35*F31+E31*H31^2/(PI()*GP31*Inputs!$B$36))</f>
        <v>19.7017118101318</v>
      </c>
      <c r="GR31" s="15" t="n">
        <f aca="false">EXP(-Inputs!$B$11*Inputs!$B$14*Inputs!$B$17/(Inputs!$B$51*GQ31*Inputs!$B$16))</f>
        <v>0.757630385798481</v>
      </c>
      <c r="GS31" s="15" t="n">
        <f aca="false">Inputs!$B$50*Inputs!$B$18*GR31*Inputs!$B$19</f>
        <v>0.740299006888062</v>
      </c>
      <c r="GT31" s="15" t="n">
        <f aca="false">1-GS31</f>
        <v>0.259700993111938</v>
      </c>
      <c r="GU31" s="15" t="n">
        <f aca="false">Inputs!$B$20*GT31</f>
        <v>0.00779102979335815</v>
      </c>
      <c r="GV31" s="15" t="n">
        <f aca="false">0.8*(1-Inputs!$B$50)*(GS31-GU31)</f>
        <v>0.00176432457369412</v>
      </c>
      <c r="GW31" s="15" t="n">
        <f aca="false">GS31-GU31-GV31</f>
        <v>0.730743652521009</v>
      </c>
      <c r="GX31" s="15" t="n">
        <f aca="false">GW31*(1-Inputs!$B$18*EXP(-Inputs!$B$21*Inputs!$B$14*Inputs!$B$17/(Inputs!$B$22*Inputs!$B$23*Inputs!$B$24*GQ31*Inputs!$B$16))*Inputs!$B$19)</f>
        <v>0.0262081222283987</v>
      </c>
      <c r="GY31" s="15" t="n">
        <f aca="false">(GW31-GX31)*(1-EXP(-Inputs!$B$25*Inputs!$B$14*Inputs!$B$17*Inputs!$B$26/(GQ31*Inputs!$B$16/0.866)))</f>
        <v>0.00742784814019012</v>
      </c>
      <c r="GZ31" s="15" t="n">
        <f aca="false">(GW31-GX31-GY31)*(1-Inputs!$B$19)</f>
        <v>0.00348553841076211</v>
      </c>
      <c r="HA31" s="15" t="n">
        <f aca="false">(GT31+GU31+GV31+GX31+GY31+GZ31)*(1+Inputs!$B$27)</f>
        <v>0.307296989827117</v>
      </c>
      <c r="HB31" s="15" t="n">
        <f aca="false">Inputs!$B$52/(1-HA31-G31)</f>
        <v>195613.449872272</v>
      </c>
      <c r="HC31" s="15" t="n">
        <f aca="false">HB31/Inputs!$B$34</f>
        <v>326.022416453787</v>
      </c>
      <c r="HD31" s="15" t="n">
        <f aca="false">B31^2/HC31</f>
        <v>12.563553281253</v>
      </c>
      <c r="HE31" s="15" t="n">
        <f aca="false">Inputs!$B$54*H31/(Inputs!$B$35*F31+E31*H31^2/(PI()*HD31*Inputs!$B$36))</f>
        <v>19.7017132103455</v>
      </c>
      <c r="HF31" s="15" t="n">
        <f aca="false">EXP(-Inputs!$B$11*Inputs!$B$14*Inputs!$B$17/(Inputs!$B$51*HE31*Inputs!$B$16))</f>
        <v>0.757630400743759</v>
      </c>
      <c r="HG31" s="15" t="n">
        <f aca="false">Inputs!$B$50*Inputs!$B$18*HF31*Inputs!$B$19</f>
        <v>0.740299021491455</v>
      </c>
      <c r="HH31" s="15" t="n">
        <f aca="false">1-HG31</f>
        <v>0.259700978508545</v>
      </c>
      <c r="HI31" s="15" t="n">
        <f aca="false">Inputs!$B$20*HH31</f>
        <v>0.00779102935525636</v>
      </c>
      <c r="HJ31" s="15" t="n">
        <f aca="false">0.8*(1-Inputs!$B$50)*(HG31-HI31)</f>
        <v>0.00176432460992319</v>
      </c>
      <c r="HK31" s="15" t="n">
        <f aca="false">HG31-HI31-HJ31</f>
        <v>0.730743667526275</v>
      </c>
      <c r="HL31" s="15" t="n">
        <f aca="false">HK31*(1-Inputs!$B$18*EXP(-Inputs!$B$21*Inputs!$B$14*Inputs!$B$17/(Inputs!$B$22*Inputs!$B$23*Inputs!$B$24*HE31*Inputs!$B$16))*Inputs!$B$19)</f>
        <v>0.0262081219454964</v>
      </c>
      <c r="HM31" s="15" t="n">
        <f aca="false">(HK31-HL31)*(1-EXP(-Inputs!$B$25*Inputs!$B$14*Inputs!$B$17*Inputs!$B$26/(HE31*Inputs!$B$16/0.866)))</f>
        <v>0.00742784777626238</v>
      </c>
      <c r="HN31" s="15" t="n">
        <f aca="false">(HK31-HL31-HM31)*(1-Inputs!$B$19)</f>
        <v>0.00348553848902259</v>
      </c>
      <c r="HO31" s="15" t="n">
        <f aca="false">(HH31+HI31+HJ31+HL31+HM31+HN31)*(1+Inputs!$B$27)</f>
        <v>0.30729697420656</v>
      </c>
      <c r="HP31" s="15" t="n">
        <f aca="false">Inputs!$B$52/(1-HO31-G31)</f>
        <v>195613.431551517</v>
      </c>
      <c r="HQ31" s="15" t="n">
        <f aca="false">HP31/Inputs!$B$34</f>
        <v>326.022385919195</v>
      </c>
      <c r="HR31" s="15" t="n">
        <f aca="false">B31^2/HQ31</f>
        <v>12.5635544579298</v>
      </c>
      <c r="HS31" s="15" t="n">
        <f aca="false">Inputs!$B$54*H31/(Inputs!$B$35*F31+E31*H31^2/(PI()*HR31*Inputs!$B$36))</f>
        <v>19.7017137347662</v>
      </c>
      <c r="HT31" s="15" t="n">
        <f aca="false">EXP(-Inputs!$B$11*Inputs!$B$14*Inputs!$B$17/(Inputs!$B$51*HS31*Inputs!$B$16))</f>
        <v>0.7576304063412</v>
      </c>
      <c r="HU31" s="15" t="n">
        <f aca="false">Inputs!$B$50*Inputs!$B$18*HT31*Inputs!$B$19</f>
        <v>0.74029902696085</v>
      </c>
      <c r="HV31" s="15" t="n">
        <f aca="false">1-HU31</f>
        <v>0.25970097303915</v>
      </c>
      <c r="HW31" s="15" t="n">
        <f aca="false">Inputs!$B$20*HV31</f>
        <v>0.00779102919117449</v>
      </c>
      <c r="HX31" s="15" t="n">
        <f aca="false">0.8*(1-Inputs!$B$50)*(HU31-HW31)</f>
        <v>0.00176432462349202</v>
      </c>
      <c r="HY31" s="15" t="n">
        <f aca="false">HU31-HW31-HX31</f>
        <v>0.730743673146184</v>
      </c>
      <c r="HZ31" s="15" t="n">
        <f aca="false">HY31*(1-Inputs!$B$18*EXP(-Inputs!$B$21*Inputs!$B$14*Inputs!$B$17/(Inputs!$B$22*Inputs!$B$23*Inputs!$B$24*HS31*Inputs!$B$16))*Inputs!$B$19)</f>
        <v>0.0262081218395414</v>
      </c>
      <c r="IA31" s="15" t="n">
        <f aca="false">(HY31-HZ31)*(1-EXP(-Inputs!$B$25*Inputs!$B$14*Inputs!$B$17*Inputs!$B$26/(HS31*Inputs!$B$16/0.866)))</f>
        <v>0.00742784763996089</v>
      </c>
      <c r="IB31" s="15" t="n">
        <f aca="false">(HY31-HZ31-IA31)*(1-Inputs!$B$19)</f>
        <v>0.00348553851833341</v>
      </c>
      <c r="IC31" s="15" t="n">
        <f aca="false">(HV31+HW31+HX31+HZ31+IA31+IB31)*(1+Inputs!$B$27)</f>
        <v>0.307296968356207</v>
      </c>
      <c r="ID31" s="15" t="n">
        <f aca="false">Inputs!$B$52/(1-IC31-G31)</f>
        <v>195613.424689862</v>
      </c>
      <c r="IE31" s="15" t="n">
        <f aca="false">ID31/Inputs!$B$34</f>
        <v>326.022374483103</v>
      </c>
      <c r="IF31" s="15" t="n">
        <f aca="false">B31^2/IE31</f>
        <v>12.5635548986295</v>
      </c>
      <c r="IG31" s="15" t="n">
        <f aca="false">Inputs!$B$54*H31/(Inputs!$B$35*F31+E31*H31^2/(PI()*IF31*Inputs!$B$36))</f>
        <v>19.7017139311771</v>
      </c>
      <c r="IH31" s="15" t="n">
        <f aca="false">EXP(-Inputs!$B$11*Inputs!$B$14*Inputs!$B$17/(Inputs!$B$51*IG31*Inputs!$B$16))</f>
        <v>0.757630408437604</v>
      </c>
      <c r="II31" s="15" t="n">
        <f aca="false">Inputs!$B$50*Inputs!$B$18*IH31*Inputs!$B$19</f>
        <v>0.740299029009298</v>
      </c>
      <c r="IJ31" s="15" t="n">
        <f aca="false">1-II31</f>
        <v>0.259700970990702</v>
      </c>
      <c r="IK31" s="15" t="n">
        <f aca="false">Inputs!$B$20*IJ31</f>
        <v>0.00779102912972107</v>
      </c>
      <c r="IL31" s="15" t="n">
        <f aca="false">0.8*(1-Inputs!$B$50)*(II31-IK31)</f>
        <v>0.00176432462857395</v>
      </c>
      <c r="IM31" s="15" t="n">
        <f aca="false">II31-IK31-IL31</f>
        <v>0.730743675251003</v>
      </c>
      <c r="IN31" s="15" t="n">
        <f aca="false">IM31*(1-Inputs!$B$18*EXP(-Inputs!$B$21*Inputs!$B$14*Inputs!$B$17/(Inputs!$B$22*Inputs!$B$23*Inputs!$B$24*IG31*Inputs!$B$16))*Inputs!$B$19)</f>
        <v>0.0262081217998581</v>
      </c>
      <c r="IO31" s="15" t="n">
        <f aca="false">(IM31-IN31)*(1-EXP(-Inputs!$B$25*Inputs!$B$14*Inputs!$B$17*Inputs!$B$26/(IG31*Inputs!$B$16/0.866)))</f>
        <v>0.00742784758891196</v>
      </c>
      <c r="IP31" s="15" t="n">
        <f aca="false">(IM31-IN31-IO31)*(1-Inputs!$B$19)</f>
        <v>0.00348553852931117</v>
      </c>
      <c r="IQ31" s="15" t="n">
        <f aca="false">(IJ31+IK31+IL31+IN31+IO31+IP31)*(1+Inputs!$B$27)</f>
        <v>0.30729696616508</v>
      </c>
      <c r="IR31" s="15" t="n">
        <f aca="false">Inputs!$B$52/(1-IQ31-G31)</f>
        <v>195613.422119973</v>
      </c>
      <c r="IS31" s="15" t="n">
        <f aca="false">IR31/Inputs!$B$34</f>
        <v>326.022370199955</v>
      </c>
      <c r="IT31" s="15" t="n">
        <f aca="false">B31^2/IS31</f>
        <v>12.5635550636843</v>
      </c>
      <c r="IU31" s="15" t="n">
        <f aca="false">Inputs!$B$54*H31/(Inputs!$B$35*F31+E31*H31^2/(PI()*IT31*Inputs!$B$36))</f>
        <v>19.7017140047386</v>
      </c>
      <c r="IV31" s="15" t="n">
        <f aca="false">EXP(-Inputs!$B$11*Inputs!$B$14*Inputs!$B$17/(Inputs!$B$51*IU31*Inputs!$B$16))</f>
        <v>0.757630409222769</v>
      </c>
      <c r="IW31" s="15" t="n">
        <f aca="false">Inputs!$B$50*Inputs!$B$18*IV31*Inputs!$B$19</f>
        <v>0.740299029776501</v>
      </c>
      <c r="IX31" s="15" t="n">
        <f aca="false">1-IW31</f>
        <v>0.259700970223499</v>
      </c>
      <c r="IY31" s="15" t="n">
        <f aca="false">Inputs!$B$20*IX31</f>
        <v>0.00779102910670497</v>
      </c>
      <c r="IZ31" s="15" t="n">
        <f aca="false">0.8*(1-Inputs!$B$50)*(IW31-IY31)</f>
        <v>0.00176432463047728</v>
      </c>
      <c r="JA31" s="15" t="n">
        <f aca="false">IW31-IY31-IZ31</f>
        <v>0.730743676039319</v>
      </c>
      <c r="JB31" s="15" t="n">
        <f aca="false">JA31*(1-Inputs!$B$18*EXP(-Inputs!$B$21*Inputs!$B$14*Inputs!$B$17/(Inputs!$B$22*Inputs!$B$23*Inputs!$B$24*IU31*Inputs!$B$16))*Inputs!$B$19)</f>
        <v>0.0262081217849955</v>
      </c>
      <c r="JC31" s="15" t="n">
        <f aca="false">(JA31-JB31)*(1-EXP(-Inputs!$B$25*Inputs!$B$14*Inputs!$B$17*Inputs!$B$26/(IU31*Inputs!$B$16/0.866)))</f>
        <v>0.00742784756979267</v>
      </c>
      <c r="JD31" s="15" t="n">
        <f aca="false">(JA31-JB31-JC31)*(1-Inputs!$B$19)</f>
        <v>0.00348553853342266</v>
      </c>
      <c r="JE31" s="15" t="n">
        <f aca="false">(IX31+IY31+IZ31+JB31+JC31+JD31)*(1+Inputs!$B$27)</f>
        <v>0.307296965344439</v>
      </c>
      <c r="JF31" s="15" t="n">
        <f aca="false">Inputs!$B$52/(1-JE31-G31)</f>
        <v>195613.421157475</v>
      </c>
      <c r="JG31" s="15" t="n">
        <f aca="false">JF31/Inputs!$B$34</f>
        <v>326.022368595791</v>
      </c>
      <c r="JH31" s="15" t="n">
        <f aca="false">B31^2/JG31</f>
        <v>12.5635551255021</v>
      </c>
      <c r="JI31" s="15" t="n">
        <f aca="false">Inputs!$B$54*H31/(Inputs!$B$35*F31+E31*H31^2/(PI()*JH31*Inputs!$B$36))</f>
        <v>19.7017140322895</v>
      </c>
      <c r="JJ31" s="15" t="n">
        <f aca="false">EXP(-Inputs!$B$11*Inputs!$B$14*Inputs!$B$17/(Inputs!$B$51*JI31*Inputs!$B$16))</f>
        <v>0.757630409516835</v>
      </c>
      <c r="JK31" s="15" t="n">
        <f aca="false">Inputs!$B$50*Inputs!$B$18*JJ31*Inputs!$B$19</f>
        <v>0.740299030063841</v>
      </c>
      <c r="JL31" s="15" t="n">
        <f aca="false">1-JK31</f>
        <v>0.259700969936159</v>
      </c>
      <c r="JM31" s="15" t="n">
        <f aca="false">Inputs!$B$20*JL31</f>
        <v>0.00779102909808478</v>
      </c>
      <c r="JN31" s="15" t="n">
        <f aca="false">0.8*(1-Inputs!$B$50)*(JK31-JM31)</f>
        <v>0.00176432463119013</v>
      </c>
      <c r="JO31" s="15" t="n">
        <f aca="false">JK31-JM31-JN31</f>
        <v>0.730743676334566</v>
      </c>
      <c r="JP31" s="15" t="n">
        <f aca="false">JO31*(1-Inputs!$B$18*EXP(-Inputs!$B$21*Inputs!$B$14*Inputs!$B$17/(Inputs!$B$22*Inputs!$B$23*Inputs!$B$24*JI31*Inputs!$B$16))*Inputs!$B$19)</f>
        <v>0.0262081217794291</v>
      </c>
      <c r="JQ31" s="15" t="n">
        <f aca="false">(JO31-JP31)*(1-EXP(-Inputs!$B$25*Inputs!$B$14*Inputs!$B$17*Inputs!$B$26/(JI31*Inputs!$B$16/0.866)))</f>
        <v>0.00742784756263199</v>
      </c>
      <c r="JR31" s="15" t="n">
        <f aca="false">(JO31-JP31-JQ31)*(1-Inputs!$B$19)</f>
        <v>0.00348553853496253</v>
      </c>
      <c r="JS31" s="15" t="n">
        <f aca="false">(JL31+JM31+JN31+JP31+JQ31+JR31)*(1+Inputs!$B$27)</f>
        <v>0.307296965037085</v>
      </c>
      <c r="JT31" s="15" t="n">
        <f aca="false">Inputs!$B$52/(1-JS31-G31)</f>
        <v>195613.420796992</v>
      </c>
      <c r="JU31" s="15" t="n">
        <f aca="false">JT31/Inputs!$B$34</f>
        <v>326.022367994986</v>
      </c>
      <c r="JV31" s="15" t="n">
        <f aca="false">B31^2/JU31</f>
        <v>12.5635551486547</v>
      </c>
      <c r="JW31" s="15" t="n">
        <f aca="false">Inputs!$B$54*H31/(Inputs!$B$35*F31+E31*H31^2/(PI()*JV31*Inputs!$B$36))</f>
        <v>19.7017140426082</v>
      </c>
      <c r="JX31" s="15" t="n">
        <f aca="false">EXP(-Inputs!$B$11*Inputs!$B$14*Inputs!$B$17/(Inputs!$B$51*JW31*Inputs!$B$16))</f>
        <v>0.757630409626972</v>
      </c>
      <c r="JY31" s="15" t="n">
        <f aca="false">Inputs!$B$50*Inputs!$B$18*JX31*Inputs!$B$19</f>
        <v>0.740299030171458</v>
      </c>
      <c r="JZ31" s="15" t="n">
        <f aca="false">1-JY31</f>
        <v>0.259700969828542</v>
      </c>
      <c r="KA31" s="15" t="n">
        <f aca="false">Inputs!$B$20*JZ31</f>
        <v>0.00779102909485627</v>
      </c>
      <c r="KB31" s="15" t="n">
        <f aca="false">0.8*(1-Inputs!$B$50)*(JY31-KA31)</f>
        <v>0.00176432463145711</v>
      </c>
      <c r="KC31" s="15" t="n">
        <f aca="false">JY31-KA31-KB31</f>
        <v>0.730743676445144</v>
      </c>
      <c r="KD31" s="15" t="n">
        <f aca="false">KC31*(1-Inputs!$B$18*EXP(-Inputs!$B$21*Inputs!$B$14*Inputs!$B$17/(Inputs!$B$22*Inputs!$B$23*Inputs!$B$24*JW31*Inputs!$B$16))*Inputs!$B$19)</f>
        <v>0.0262081217773444</v>
      </c>
      <c r="KE31" s="15" t="n">
        <f aca="false">(KC31-KD31)*(1-EXP(-Inputs!$B$25*Inputs!$B$14*Inputs!$B$17*Inputs!$B$26/(JW31*Inputs!$B$16/0.866)))</f>
        <v>0.00742784755995005</v>
      </c>
      <c r="KF31" s="15" t="n">
        <f aca="false">(KC31-KD31-KE31)*(1-Inputs!$B$19)</f>
        <v>0.00348553853553925</v>
      </c>
      <c r="KG31" s="15" t="n">
        <f aca="false">(JZ31+KA31+KB31+KD31+KE31+KF31)*(1+Inputs!$B$27)</f>
        <v>0.307296964921973</v>
      </c>
      <c r="KH31" s="15" t="n">
        <f aca="false">Inputs!$B$52/(1-KG31-G31)</f>
        <v>195613.42066198</v>
      </c>
      <c r="KI31" s="15" t="n">
        <f aca="false">KH31/Inputs!$B$34</f>
        <v>326.022367769967</v>
      </c>
      <c r="KJ31" s="15" t="n">
        <f aca="false">B31^2/KI31</f>
        <v>12.563555157326</v>
      </c>
      <c r="KK31" s="15" t="n">
        <f aca="false">Inputs!$B$54*H31/(Inputs!$B$35*F31+E31*H31^2/(PI()*KJ31*Inputs!$B$36))</f>
        <v>19.7017140464728</v>
      </c>
      <c r="KL31" s="15" t="n">
        <f aca="false">EXP(-Inputs!$B$11*Inputs!$B$14*Inputs!$B$17/(Inputs!$B$51*KK31*Inputs!$B$16))</f>
        <v>0.757630409668221</v>
      </c>
      <c r="KM31" s="15" t="n">
        <f aca="false">Inputs!$B$50*Inputs!$B$18*KL31*Inputs!$B$19</f>
        <v>0.740299030211763</v>
      </c>
      <c r="KN31" s="15" t="n">
        <f aca="false">1-KM31</f>
        <v>0.259700969788237</v>
      </c>
      <c r="KO31" s="15" t="n">
        <f aca="false">Inputs!$B$20*KN31</f>
        <v>0.0077910290936471</v>
      </c>
      <c r="KP31" s="15" t="n">
        <f aca="false">0.8*(1-Inputs!$B$50)*(KM31-KO31)</f>
        <v>0.0017643246315571</v>
      </c>
      <c r="KQ31" s="15" t="n">
        <f aca="false">KM31-KO31-KP31</f>
        <v>0.730743676486559</v>
      </c>
      <c r="KR31" s="15" t="n">
        <f aca="false">KQ31*(1-Inputs!$B$18*EXP(-Inputs!$B$21*Inputs!$B$14*Inputs!$B$17/(Inputs!$B$22*Inputs!$B$23*Inputs!$B$24*KK31*Inputs!$B$16))*Inputs!$B$19)</f>
        <v>0.0262081217765635</v>
      </c>
      <c r="KS31" s="15" t="n">
        <f aca="false">(KQ31-KR31)*(1-EXP(-Inputs!$B$25*Inputs!$B$14*Inputs!$B$17*Inputs!$B$26/(KK31*Inputs!$B$16/0.866)))</f>
        <v>0.0074278475589456</v>
      </c>
      <c r="KT31" s="15" t="n">
        <f aca="false">(KQ31-KR31-KS31)*(1-Inputs!$B$19)</f>
        <v>0.00348553853575525</v>
      </c>
      <c r="KU31" s="15" t="n">
        <f aca="false">(KN31+KO31+KP31+KR31+KS31+KT31)*(1+Inputs!$B$27)</f>
        <v>0.307296964878859</v>
      </c>
      <c r="KV31" s="15" t="n">
        <f aca="false">Inputs!$B$52/(1-KU31-G31)</f>
        <v>195613.420611414</v>
      </c>
      <c r="KW31" s="15" t="n">
        <f aca="false">KV31/Inputs!$B$34</f>
        <v>326.022367685691</v>
      </c>
      <c r="KX31" s="15" t="n">
        <f aca="false">B31^2/KW31</f>
        <v>12.5635551605737</v>
      </c>
      <c r="KY31" s="15" t="n">
        <f aca="false">Inputs!$B$54*H31/(Inputs!$B$35*F31+E31*H31^2/(PI()*KX31*Inputs!$B$36))</f>
        <v>19.7017140479202</v>
      </c>
      <c r="KZ31" s="15" t="n">
        <f aca="false">EXP(-Inputs!$B$11*Inputs!$B$14*Inputs!$B$17/(Inputs!$B$51*KY31*Inputs!$B$16))</f>
        <v>0.75763040968367</v>
      </c>
      <c r="LA31" s="15" t="n">
        <f aca="false">Inputs!$B$50*Inputs!$B$18*KZ31*Inputs!$B$19</f>
        <v>0.740299030226859</v>
      </c>
      <c r="LB31" s="15" t="n">
        <f aca="false">1-LA31</f>
        <v>0.259700969773141</v>
      </c>
      <c r="LC31" s="15" t="n">
        <f aca="false">Inputs!$B$20*LB31</f>
        <v>0.00779102909319423</v>
      </c>
      <c r="LD31" s="15" t="n">
        <f aca="false">0.8*(1-Inputs!$B$50)*(LA31-LC31)</f>
        <v>0.00176432463159456</v>
      </c>
      <c r="LE31" s="15" t="n">
        <f aca="false">LA31-LC31-LD31</f>
        <v>0.73074367650207</v>
      </c>
      <c r="LF31" s="15" t="n">
        <f aca="false">LE31*(1-Inputs!$B$18*EXP(-Inputs!$B$21*Inputs!$B$14*Inputs!$B$17/(Inputs!$B$22*Inputs!$B$23*Inputs!$B$24*KY31*Inputs!$B$16))*Inputs!$B$19)</f>
        <v>0.026208121776271</v>
      </c>
      <c r="LG31" s="15" t="n">
        <f aca="false">(LE31-LF31)*(1-EXP(-Inputs!$B$25*Inputs!$B$14*Inputs!$B$17*Inputs!$B$26/(KY31*Inputs!$B$16/0.866)))</f>
        <v>0.00742784755856945</v>
      </c>
      <c r="LH31" s="15" t="n">
        <f aca="false">(LE31-LF31-LG31)*(1-Inputs!$B$19)</f>
        <v>0.00348553853583615</v>
      </c>
      <c r="LI31" s="15" t="n">
        <f aca="false">(LB31+LC31+LD31+LF31+LG31+LH31)*(1+Inputs!$B$27)</f>
        <v>0.307296964862712</v>
      </c>
      <c r="LJ31" s="15" t="n">
        <f aca="false">Inputs!$B$52/(1-LI31-G31)</f>
        <v>195613.420592476</v>
      </c>
      <c r="LK31" s="15" t="n">
        <f aca="false">LJ31/Inputs!$B$34</f>
        <v>326.022367654127</v>
      </c>
      <c r="LL31" s="15" t="n">
        <f aca="false">B31^2/LK31</f>
        <v>12.56355516179</v>
      </c>
      <c r="LM31" s="15" t="n">
        <f aca="false">Inputs!$B$54*H31/(Inputs!$B$35*F31+E31*H31^2/(PI()*LL31*Inputs!$B$36))</f>
        <v>19.7017140484623</v>
      </c>
      <c r="LN31" s="15" t="n">
        <f aca="false">EXP(-Inputs!$B$11*Inputs!$B$14*Inputs!$B$17/(Inputs!$B$51*LM31*Inputs!$B$16))</f>
        <v>0.757630409689456</v>
      </c>
      <c r="LO31" s="15" t="n">
        <f aca="false">Inputs!$B$50*Inputs!$B$18*LN31*Inputs!$B$19</f>
        <v>0.740299030232513</v>
      </c>
      <c r="LP31" s="15" t="n">
        <f aca="false">1-LO31</f>
        <v>0.259700969767487</v>
      </c>
      <c r="LQ31" s="15" t="n">
        <f aca="false">Inputs!$B$20*LP31</f>
        <v>0.00779102909302461</v>
      </c>
      <c r="LR31" s="15" t="n">
        <f aca="false">0.8*(1-Inputs!$B$50)*(LO31-LQ31)</f>
        <v>0.00176432463160858</v>
      </c>
      <c r="LS31" s="15" t="n">
        <f aca="false">LO31-LQ31-LR31</f>
        <v>0.73074367650788</v>
      </c>
      <c r="LT31" s="15" t="n">
        <f aca="false">LS31*(1-Inputs!$B$18*EXP(-Inputs!$B$21*Inputs!$B$14*Inputs!$B$17/(Inputs!$B$22*Inputs!$B$23*Inputs!$B$24*LM31*Inputs!$B$16))*Inputs!$B$19)</f>
        <v>0.0262081217761615</v>
      </c>
      <c r="LU31" s="15" t="n">
        <f aca="false">(LS31-LT31)*(1-EXP(-Inputs!$B$25*Inputs!$B$14*Inputs!$B$17*Inputs!$B$26/(LM31*Inputs!$B$16/0.866)))</f>
        <v>0.00742784755842856</v>
      </c>
      <c r="LV31" s="15" t="n">
        <f aca="false">(LS31-LT31-LU31)*(1-Inputs!$B$19)</f>
        <v>0.00348553853586645</v>
      </c>
      <c r="LW31" s="15" t="n">
        <f aca="false">(LP31+LQ31+LR31+LT31+LU31+LV31)*(1+Inputs!$B$27)</f>
        <v>0.307296964856665</v>
      </c>
      <c r="LX31" s="15" t="n">
        <f aca="false">Inputs!$B$52/(1-LW31-G31)</f>
        <v>195613.420585383</v>
      </c>
      <c r="LY31" s="15" t="n">
        <f aca="false">LX31/Inputs!$B$34</f>
        <v>326.022367642305</v>
      </c>
      <c r="LZ31" s="15" t="n">
        <f aca="false">B31^2/LY31</f>
        <v>12.5635551622455</v>
      </c>
      <c r="MA31" s="15" t="n">
        <f aca="false">Inputs!$B$54*H31/(Inputs!$B$35*F31+E31*H31^2/(PI()*LZ31*Inputs!$B$36))</f>
        <v>19.7017140486653</v>
      </c>
      <c r="MB31" s="15" t="n">
        <f aca="false">EXP(-Inputs!$B$11*Inputs!$B$14*Inputs!$B$17/(Inputs!$B$51*MA31*Inputs!$B$16))</f>
        <v>0.757630409691623</v>
      </c>
      <c r="MC31" s="15" t="n">
        <f aca="false">Inputs!$B$50*Inputs!$B$18*MB31*Inputs!$B$19</f>
        <v>0.74029903023463</v>
      </c>
      <c r="MD31" s="15" t="n">
        <f aca="false">1-MC31</f>
        <v>0.25970096976537</v>
      </c>
      <c r="ME31" s="15" t="n">
        <f aca="false">Inputs!$B$20*MD31</f>
        <v>0.00779102909296109</v>
      </c>
      <c r="MF31" s="15" t="n">
        <f aca="false">0.8*(1-Inputs!$B$50)*(MC31-ME31)</f>
        <v>0.00176432463161383</v>
      </c>
      <c r="MG31" s="15" t="n">
        <f aca="false">MC31-ME31-MF31</f>
        <v>0.730743676510055</v>
      </c>
      <c r="MH31" s="15" t="n">
        <f aca="false">MG31*(1-Inputs!$B$18*EXP(-Inputs!$B$21*Inputs!$B$14*Inputs!$B$17/(Inputs!$B$22*Inputs!$B$23*Inputs!$B$24*MA31*Inputs!$B$16))*Inputs!$B$19)</f>
        <v>0.0262081217761205</v>
      </c>
      <c r="MI31" s="15" t="n">
        <f aca="false">(MG31-MH31)*(1-EXP(-Inputs!$B$25*Inputs!$B$14*Inputs!$B$17*Inputs!$B$26/(MA31*Inputs!$B$16/0.866)))</f>
        <v>0.00742784755837575</v>
      </c>
      <c r="MJ31" s="15" t="n">
        <f aca="false">(MG31-MH31-MI31)*(1-Inputs!$B$19)</f>
        <v>0.0034855385358778</v>
      </c>
      <c r="MK31" s="15" t="n">
        <f aca="false">(MD31+ME31+MF31+MH31+MI31+MJ31)*(1+Inputs!$B$27)</f>
        <v>0.3072969648544</v>
      </c>
      <c r="ML31" s="15" t="n">
        <f aca="false">Inputs!$B$52/(1-MK31-G31)</f>
        <v>195613.420582727</v>
      </c>
      <c r="MM31" s="15" t="n">
        <f aca="false">ML31/Inputs!$B$34</f>
        <v>326.022367637878</v>
      </c>
      <c r="MN31" s="15" t="n">
        <f aca="false">B31^2/MM31</f>
        <v>12.5635551624162</v>
      </c>
      <c r="MO31" s="15" t="n">
        <f aca="false">Inputs!$B$54*H31/(Inputs!$B$35*F31+E31*H31^2/(PI()*MN31*Inputs!$B$36))</f>
        <v>19.7017140487414</v>
      </c>
      <c r="MP31" s="15" t="n">
        <f aca="false">EXP(-Inputs!$B$11*Inputs!$B$14*Inputs!$B$17/(Inputs!$B$51*MO31*Inputs!$B$16))</f>
        <v>0.757630409692435</v>
      </c>
      <c r="MQ31" s="15" t="n">
        <f aca="false">Inputs!$B$50*Inputs!$B$18*MP31*Inputs!$B$19</f>
        <v>0.740299030235423</v>
      </c>
      <c r="MR31" s="15" t="n">
        <f aca="false">1-MQ31</f>
        <v>0.259700969764577</v>
      </c>
      <c r="MS31" s="15" t="n">
        <f aca="false">Inputs!$B$20*MR31</f>
        <v>0.0077910290929373</v>
      </c>
      <c r="MT31" s="15" t="n">
        <f aca="false">0.8*(1-Inputs!$B$50)*(MQ31-MS31)</f>
        <v>0.0017643246316158</v>
      </c>
      <c r="MU31" s="15" t="n">
        <f aca="false">MQ31-MS31-MT31</f>
        <v>0.73074367651087</v>
      </c>
      <c r="MV31" s="15" t="n">
        <f aca="false">MU31*(1-Inputs!$B$18*EXP(-Inputs!$B$21*Inputs!$B$14*Inputs!$B$17/(Inputs!$B$22*Inputs!$B$23*Inputs!$B$24*MO31*Inputs!$B$16))*Inputs!$B$19)</f>
        <v>0.0262081217761051</v>
      </c>
      <c r="MW31" s="15" t="n">
        <f aca="false">(MU31-MV31)*(1-EXP(-Inputs!$B$25*Inputs!$B$14*Inputs!$B$17*Inputs!$B$26/(MO31*Inputs!$B$16/0.866)))</f>
        <v>0.00742784755835595</v>
      </c>
      <c r="MX31" s="15" t="n">
        <f aca="false">(MU31-MV31-MW31)*(1-Inputs!$B$19)</f>
        <v>0.00348553853588205</v>
      </c>
      <c r="MY31" s="15" t="n">
        <f aca="false">(MR31+MS31+MT31+MV31+MW31+MX31)*(1+Inputs!$B$27)</f>
        <v>0.307296964853551</v>
      </c>
      <c r="MZ31" s="15" t="n">
        <f aca="false">Inputs!$B$52/(1-MY31-G31)</f>
        <v>195613.420581732</v>
      </c>
      <c r="NA31" s="15" t="n">
        <f aca="false">MZ31/Inputs!$B$34</f>
        <v>326.022367636219</v>
      </c>
      <c r="NB31" s="15" t="n">
        <f aca="false">B31^2/NA31</f>
        <v>12.5635551624801</v>
      </c>
      <c r="NC31" s="15" t="n">
        <f aca="false">Inputs!$B$54*H31/(Inputs!$B$35*F31+E31*H31^2/(PI()*NB31*Inputs!$B$36))</f>
        <v>19.7017140487699</v>
      </c>
      <c r="ND31" s="15" t="n">
        <f aca="false">EXP(-Inputs!$B$11*Inputs!$B$14*Inputs!$B$17/(Inputs!$B$51*NC31*Inputs!$B$16))</f>
        <v>0.757630409692739</v>
      </c>
      <c r="NE31" s="15" t="n">
        <f aca="false">Inputs!$B$50*Inputs!$B$18*ND31*Inputs!$B$19</f>
        <v>0.740299030235721</v>
      </c>
      <c r="NF31" s="15" t="n">
        <f aca="false">1-NE31</f>
        <v>0.25970096976428</v>
      </c>
      <c r="NG31" s="15" t="n">
        <f aca="false">Inputs!$B$20*NF31</f>
        <v>0.00779102909292838</v>
      </c>
      <c r="NH31" s="15" t="n">
        <f aca="false">0.8*(1-Inputs!$B$50)*(NE31-NG31)</f>
        <v>0.00176432463161654</v>
      </c>
      <c r="NI31" s="15" t="n">
        <f aca="false">NE31-NG31-NH31</f>
        <v>0.730743676511176</v>
      </c>
      <c r="NJ31" s="15" t="n">
        <f aca="false">NI31*(1-Inputs!$B$18*EXP(-Inputs!$B$21*Inputs!$B$14*Inputs!$B$17/(Inputs!$B$22*Inputs!$B$23*Inputs!$B$24*NC31*Inputs!$B$16))*Inputs!$B$19)</f>
        <v>0.0262081217760993</v>
      </c>
      <c r="NK31" s="15" t="n">
        <f aca="false">(NI31-NJ31)*(1-EXP(-Inputs!$B$25*Inputs!$B$14*Inputs!$B$17*Inputs!$B$26/(NC31*Inputs!$B$16/0.866)))</f>
        <v>0.00742784755834859</v>
      </c>
      <c r="NL31" s="15" t="n">
        <f aca="false">(NI31-NJ31-NK31)*(1-Inputs!$B$19)</f>
        <v>0.00348553853588364</v>
      </c>
      <c r="NM31" s="15" t="n">
        <f aca="false">(NF31+NG31+NH31+NJ31+NK31+NL31)*(1+Inputs!$B$27)</f>
        <v>0.307296964853233</v>
      </c>
      <c r="NN31" s="15" t="n">
        <f aca="false">Inputs!$B$52/(1-NM31-G31)</f>
        <v>195613.420581359</v>
      </c>
    </row>
    <row r="32" customFormat="false" ht="15" hidden="false" customHeight="false" outlineLevel="0" collapsed="false">
      <c r="A32" s="21" t="s">
        <v>501</v>
      </c>
      <c r="B32" s="21" t="n">
        <v>64</v>
      </c>
      <c r="C32" s="22" t="n">
        <v>0.1</v>
      </c>
      <c r="D32" s="23" t="n">
        <f aca="false">B32*C32</f>
        <v>6.4</v>
      </c>
      <c r="E32" s="24" t="n">
        <f aca="false">IF(C32=0,1,(1+0.45*C32)/(1.04+2.81*C32))</f>
        <v>0.791067373202119</v>
      </c>
      <c r="F32" s="24" t="n">
        <f aca="false">1+Inputs!$B$42*D32</f>
        <v>1.032</v>
      </c>
      <c r="G32" s="25" t="n">
        <f aca="false">Inputs!$B$31+Inputs!$B$43*(B32/Inputs!$B$32-1)+Inputs!$B$44+Inputs!$B$45*D32</f>
        <v>0.52784</v>
      </c>
      <c r="H32" s="22" t="n">
        <f aca="false">Inputs!$B$38</f>
        <v>0.5</v>
      </c>
      <c r="I32" s="23" t="n">
        <f aca="false">Inputs!$B$40</f>
        <v>2.4</v>
      </c>
      <c r="J32" s="26" t="n">
        <f aca="false">NN32/Inputs!$B$34</f>
        <v>323.016072543937</v>
      </c>
      <c r="K32" s="23" t="n">
        <f aca="false">B32^2/J32</f>
        <v>12.6804835677112</v>
      </c>
      <c r="L32" s="23" t="n">
        <f aca="false">2*K32</f>
        <v>25.3609671354224</v>
      </c>
      <c r="M32" s="22" t="n">
        <f aca="false">NC32</f>
        <v>20.0171860348703</v>
      </c>
      <c r="N32" s="23" t="n">
        <f aca="false">B32/SQRT(E32)</f>
        <v>71.957031303876</v>
      </c>
      <c r="O32" s="24" t="n">
        <f aca="false">NM32</f>
        <v>0.303824723145924</v>
      </c>
      <c r="P32" s="23" t="n">
        <f aca="false">NN32/1000</f>
        <v>193.809643526362</v>
      </c>
      <c r="Q32" s="23" t="n">
        <f aca="false">G32*NN32/1000</f>
        <v>102.300482238955</v>
      </c>
      <c r="R32" s="23" t="n">
        <f aca="false">NM32*NN32/1000</f>
        <v>58.8841612874072</v>
      </c>
      <c r="S32" s="23" t="n">
        <f aca="false">NM32*NN32/Inputs!$B$28/1000</f>
        <v>78.5122150498763</v>
      </c>
      <c r="T32" s="27" t="n">
        <f aca="false">R32/Sweep!$R$5-1</f>
        <v>-0.0578024884087364</v>
      </c>
      <c r="U32" s="27" t="n">
        <f aca="false">R32/SUMIFS(Sweep!$R:$R,Sweep!$A:$A,"Conventional",Sweep!$B:$B,B32)-1</f>
        <v>-0.0578024884090478</v>
      </c>
      <c r="V32" s="26" t="n">
        <f aca="false">2*0.54*(J32/2)^1.5/SQRT(L32)*Inputs!$B$46*Inputs!$B$47</f>
        <v>41.1569957329308</v>
      </c>
      <c r="W32" s="28" t="n">
        <f aca="false">MIN(1,V32/S32)</f>
        <v>0.524211368979784</v>
      </c>
      <c r="X32" s="26" t="n">
        <f aca="false">1.23*SQRT(2*Inputs!$B$41*NN32*Inputs!$B$49/(1.225*J32*I32))/0.5144</f>
        <v>133.62967568068</v>
      </c>
      <c r="Y32" s="29" t="n">
        <f aca="false">(11000+6341.6*LN(0.36392/(2*Inputs!$B$50*Inputs!$B$18*(1+ND32)/2*Inputs!$B$34*Inputs!$B$49/((Inputs!$B$12*295.07)^2*H32))))/0.3048</f>
        <v>38531.0361806241</v>
      </c>
      <c r="Z32" s="26" t="n">
        <f aca="false">NN32-MZ32</f>
        <v>-4.62750904262066E-008</v>
      </c>
      <c r="AA32" s="30" t="str">
        <f aca="false">IF(ABS(NN32-MZ32)&lt;10,"Yes","No")</f>
        <v>Yes</v>
      </c>
      <c r="AC32" s="15" t="n">
        <f aca="false">Inputs!$B$52/(1-0.3154-G32)/Inputs!$B$34</f>
        <v>346.867823424343</v>
      </c>
      <c r="AD32" s="15" t="n">
        <f aca="false">B32^2/AC32</f>
        <v>11.8085325977012</v>
      </c>
      <c r="AE32" s="15" t="n">
        <f aca="false">Inputs!$B$54*H32/(Inputs!$B$35*F32+E32*H32^2/(PI()*AD32*Inputs!$B$36))</f>
        <v>19.6382875964231</v>
      </c>
      <c r="AF32" s="15" t="n">
        <f aca="false">EXP(-Inputs!$B$11*Inputs!$B$14*Inputs!$B$17/(Inputs!$B$51*AE32*Inputs!$B$16))</f>
        <v>0.756951540958502</v>
      </c>
      <c r="AG32" s="15" t="n">
        <f aca="false">Inputs!$B$50*Inputs!$B$18*AF32*Inputs!$B$19</f>
        <v>0.73963569114692</v>
      </c>
      <c r="AH32" s="15" t="n">
        <f aca="false">1-AG32</f>
        <v>0.26036430885308</v>
      </c>
      <c r="AI32" s="15" t="n">
        <f aca="false">Inputs!$B$20*AH32</f>
        <v>0.0078109292655924</v>
      </c>
      <c r="AJ32" s="15" t="n">
        <f aca="false">0.8*(1-Inputs!$B$50)*(AG32-AI32)</f>
        <v>0.00176267897606546</v>
      </c>
      <c r="AK32" s="15" t="n">
        <f aca="false">AG32-AI32-AJ32</f>
        <v>0.730062082905262</v>
      </c>
      <c r="AL32" s="15" t="n">
        <f aca="false">AK32*(1-Inputs!$B$18*EXP(-Inputs!$B$21*Inputs!$B$14*Inputs!$B$17/(Inputs!$B$22*Inputs!$B$23*Inputs!$B$24*AE32*Inputs!$B$16))*Inputs!$B$19)</f>
        <v>0.0262209531518621</v>
      </c>
      <c r="AM32" s="15" t="n">
        <f aca="false">(AK32-AL32)*(1-EXP(-Inputs!$B$25*Inputs!$B$14*Inputs!$B$17*Inputs!$B$26/(AE32*Inputs!$B$16/0.866)))</f>
        <v>0.00744436544270332</v>
      </c>
      <c r="AN32" s="15" t="n">
        <f aca="false">(AK32-AL32-AM32)*(1-Inputs!$B$19)</f>
        <v>0.00348198382155349</v>
      </c>
      <c r="AO32" s="15" t="n">
        <f aca="false">(AH32+AI32+AJ32+AL32+AM32+AN32)*(1+Inputs!$B$27)</f>
        <v>0.308006475169389</v>
      </c>
      <c r="AP32" s="15" t="n">
        <f aca="false">Inputs!$B$52/(1-AO32-G32)</f>
        <v>198746.874510709</v>
      </c>
      <c r="AQ32" s="15" t="n">
        <f aca="false">AP32/Inputs!$B$34</f>
        <v>331.244790851182</v>
      </c>
      <c r="AR32" s="15" t="n">
        <f aca="false">B32^2/AQ32</f>
        <v>12.3654774750562</v>
      </c>
      <c r="AS32" s="15" t="n">
        <f aca="false">Inputs!$B$54*H32/(Inputs!$B$35*F32+E32*H32^2/(PI()*AR32*Inputs!$B$36))</f>
        <v>19.8848271951247</v>
      </c>
      <c r="AT32" s="15" t="n">
        <f aca="false">EXP(-Inputs!$B$11*Inputs!$B$14*Inputs!$B$17/(Inputs!$B$51*AS32*Inputs!$B$16))</f>
        <v>0.759569359157022</v>
      </c>
      <c r="AU32" s="15" t="n">
        <f aca="false">Inputs!$B$50*Inputs!$B$18*AT32*Inputs!$B$19</f>
        <v>0.74219362473684</v>
      </c>
      <c r="AV32" s="15" t="n">
        <f aca="false">1-AU32</f>
        <v>0.25780637526316</v>
      </c>
      <c r="AW32" s="15" t="n">
        <f aca="false">Inputs!$B$20*AV32</f>
        <v>0.0077341912578948</v>
      </c>
      <c r="AX32" s="15" t="n">
        <f aca="false">0.8*(1-Inputs!$B$50)*(AU32-AW32)</f>
        <v>0.00176902486715286</v>
      </c>
      <c r="AY32" s="15" t="n">
        <f aca="false">AU32-AW32-AX32</f>
        <v>0.732690408611792</v>
      </c>
      <c r="AZ32" s="15" t="n">
        <f aca="false">AY32*(1-Inputs!$B$18*EXP(-Inputs!$B$21*Inputs!$B$14*Inputs!$B$17/(Inputs!$B$22*Inputs!$B$23*Inputs!$B$24*AS32*Inputs!$B$16))*Inputs!$B$19)</f>
        <v>0.0261712636051761</v>
      </c>
      <c r="BA32" s="15" t="n">
        <f aca="false">(AY32-AZ32)*(1-EXP(-Inputs!$B$25*Inputs!$B$14*Inputs!$B$17*Inputs!$B$26/(AS32*Inputs!$B$16/0.866)))</f>
        <v>0.00738052658369112</v>
      </c>
      <c r="BB32" s="15" t="n">
        <f aca="false">(AY32-AZ32-BA32)*(1-Inputs!$B$19)</f>
        <v>0.00349569309211463</v>
      </c>
      <c r="BC32" s="15" t="n">
        <f aca="false">(AV32+AW32+AX32+AZ32+BA32+BB32)*(1+Inputs!$B$27)</f>
        <v>0.305270145893197</v>
      </c>
      <c r="BD32" s="15" t="n">
        <f aca="false">Inputs!$B$52/(1-BC32-G32)</f>
        <v>195488.216911744</v>
      </c>
      <c r="BE32" s="15" t="n">
        <f aca="false">BD32/Inputs!$B$34</f>
        <v>325.813694852907</v>
      </c>
      <c r="BF32" s="15" t="n">
        <f aca="false">B32^2/BE32</f>
        <v>12.5716016997051</v>
      </c>
      <c r="BG32" s="15" t="n">
        <f aca="false">Inputs!$B$54*H32/(Inputs!$B$35*F32+E32*H32^2/(PI()*BF32*Inputs!$B$36))</f>
        <v>19.9719890631863</v>
      </c>
      <c r="BH32" s="15" t="n">
        <f aca="false">EXP(-Inputs!$B$11*Inputs!$B$14*Inputs!$B$17/(Inputs!$B$51*BG32*Inputs!$B$16))</f>
        <v>0.760481520636181</v>
      </c>
      <c r="BI32" s="15" t="n">
        <f aca="false">Inputs!$B$50*Inputs!$B$18*BH32*Inputs!$B$19</f>
        <v>0.743084919819245</v>
      </c>
      <c r="BJ32" s="15" t="n">
        <f aca="false">1-BI32</f>
        <v>0.256915080180755</v>
      </c>
      <c r="BK32" s="15" t="n">
        <f aca="false">Inputs!$B$20*BJ32</f>
        <v>0.00770745240542265</v>
      </c>
      <c r="BL32" s="15" t="n">
        <f aca="false">0.8*(1-Inputs!$B$50)*(BI32-BK32)</f>
        <v>0.00177123605103267</v>
      </c>
      <c r="BM32" s="15" t="n">
        <f aca="false">BI32-BK32-BL32</f>
        <v>0.73360623136279</v>
      </c>
      <c r="BN32" s="15" t="n">
        <f aca="false">BM32*(1-Inputs!$B$18*EXP(-Inputs!$B$21*Inputs!$B$14*Inputs!$B$17/(Inputs!$B$22*Inputs!$B$23*Inputs!$B$24*BG32*Inputs!$B$16))*Inputs!$B$19)</f>
        <v>0.0261538166423719</v>
      </c>
      <c r="BO32" s="15" t="n">
        <f aca="false">(BM32-BN32)*(1-EXP(-Inputs!$B$25*Inputs!$B$14*Inputs!$B$17*Inputs!$B$26/(BG32*Inputs!$B$16/0.866)))</f>
        <v>0.00735819145151102</v>
      </c>
      <c r="BP32" s="15" t="n">
        <f aca="false">(BM32-BN32-BO32)*(1-Inputs!$B$19)</f>
        <v>0.00350047111634454</v>
      </c>
      <c r="BQ32" s="15" t="n">
        <f aca="false">(BJ32+BK32+BL32+BN32+BO32+BP32)*(1+Inputs!$B$27)</f>
        <v>0.30431646659098</v>
      </c>
      <c r="BR32" s="15" t="n">
        <f aca="false">Inputs!$B$52/(1-BQ32-G32)</f>
        <v>194377.461778618</v>
      </c>
      <c r="BS32" s="15" t="n">
        <f aca="false">BR32/Inputs!$B$34</f>
        <v>323.962436297697</v>
      </c>
      <c r="BT32" s="15" t="n">
        <f aca="false">B32^2/BS32</f>
        <v>12.6434411557397</v>
      </c>
      <c r="BU32" s="15" t="n">
        <f aca="false">Inputs!$B$54*H32/(Inputs!$B$35*F32+E32*H32^2/(PI()*BT32*Inputs!$B$36))</f>
        <v>20.0018741828175</v>
      </c>
      <c r="BV32" s="15" t="n">
        <f aca="false">EXP(-Inputs!$B$11*Inputs!$B$14*Inputs!$B$17/(Inputs!$B$51*BU32*Inputs!$B$16))</f>
        <v>0.760792692808628</v>
      </c>
      <c r="BW32" s="15" t="n">
        <f aca="false">Inputs!$B$50*Inputs!$B$18*BV32*Inputs!$B$19</f>
        <v>0.743388973688456</v>
      </c>
      <c r="BX32" s="15" t="n">
        <f aca="false">1-BW32</f>
        <v>0.256611026311544</v>
      </c>
      <c r="BY32" s="15" t="n">
        <f aca="false">Inputs!$B$20*BX32</f>
        <v>0.00769833078934633</v>
      </c>
      <c r="BZ32" s="15" t="n">
        <f aca="false">0.8*(1-Inputs!$B$50)*(BW32-BY32)</f>
        <v>0.00177199036801194</v>
      </c>
      <c r="CA32" s="15" t="n">
        <f aca="false">BW32-BY32-BZ32</f>
        <v>0.733918652531097</v>
      </c>
      <c r="CB32" s="15" t="n">
        <f aca="false">CA32*(1-Inputs!$B$18*EXP(-Inputs!$B$21*Inputs!$B$14*Inputs!$B$17/(Inputs!$B$22*Inputs!$B$23*Inputs!$B$24*BU32*Inputs!$B$16))*Inputs!$B$19)</f>
        <v>0.0261478491410421</v>
      </c>
      <c r="CC32" s="15" t="n">
        <f aca="false">(CA32-CB32)*(1-EXP(-Inputs!$B$25*Inputs!$B$14*Inputs!$B$17*Inputs!$B$26/(BU32*Inputs!$B$16/0.866)))</f>
        <v>0.00735056137707321</v>
      </c>
      <c r="CD32" s="15" t="n">
        <f aca="false">(CA32-CB32-CC32)*(1-Inputs!$B$19)</f>
        <v>0.00350210121006491</v>
      </c>
      <c r="CE32" s="15" t="n">
        <f aca="false">(BX32+BY32+BZ32+CB32+CC32+CD32)*(1+Inputs!$B$27)</f>
        <v>0.303991104774674</v>
      </c>
      <c r="CF32" s="15" t="n">
        <f aca="false">Inputs!$B$52/(1-CE32-G32)</f>
        <v>194001.393398502</v>
      </c>
      <c r="CG32" s="15" t="n">
        <f aca="false">CF32/Inputs!$B$34</f>
        <v>323.335655664171</v>
      </c>
      <c r="CH32" s="15" t="n">
        <f aca="false">B32^2/CG32</f>
        <v>12.667950249985</v>
      </c>
      <c r="CI32" s="15" t="n">
        <f aca="false">Inputs!$B$54*H32/(Inputs!$B$35*F32+E32*H32^2/(PI()*CH32*Inputs!$B$36))</f>
        <v>20.012012664916</v>
      </c>
      <c r="CJ32" s="15" t="n">
        <f aca="false">EXP(-Inputs!$B$11*Inputs!$B$14*Inputs!$B$17/(Inputs!$B$51*CI32*Inputs!$B$16))</f>
        <v>0.760898075224335</v>
      </c>
      <c r="CK32" s="15" t="n">
        <f aca="false">Inputs!$B$50*Inputs!$B$18*CJ32*Inputs!$B$19</f>
        <v>0.743491945400195</v>
      </c>
      <c r="CL32" s="15" t="n">
        <f aca="false">1-CK32</f>
        <v>0.256508054599805</v>
      </c>
      <c r="CM32" s="15" t="n">
        <f aca="false">Inputs!$B$20*CL32</f>
        <v>0.00769524163799416</v>
      </c>
      <c r="CN32" s="15" t="n">
        <f aca="false">0.8*(1-Inputs!$B$50)*(CK32-CM32)</f>
        <v>0.00177224582705527</v>
      </c>
      <c r="CO32" s="15" t="n">
        <f aca="false">CK32-CM32-CN32</f>
        <v>0.734024457935145</v>
      </c>
      <c r="CP32" s="15" t="n">
        <f aca="false">CO32*(1-Inputs!$B$18*EXP(-Inputs!$B$21*Inputs!$B$14*Inputs!$B$17/(Inputs!$B$22*Inputs!$B$23*Inputs!$B$24*CI32*Inputs!$B$16))*Inputs!$B$19)</f>
        <v>0.0261458263620135</v>
      </c>
      <c r="CQ32" s="15" t="n">
        <f aca="false">(CO32-CP32)*(1-EXP(-Inputs!$B$25*Inputs!$B$14*Inputs!$B$17*Inputs!$B$26/(CI32*Inputs!$B$16/0.866)))</f>
        <v>0.00734797611843928</v>
      </c>
      <c r="CR32" s="15" t="n">
        <f aca="false">(CO32-CP32-CQ32)*(1-Inputs!$B$19)</f>
        <v>0.00350265327727347</v>
      </c>
      <c r="CS32" s="15" t="n">
        <f aca="false">(CL32+CM32+CN32+CP32+CQ32+CR32)*(1+Inputs!$B$27)</f>
        <v>0.303880913816049</v>
      </c>
      <c r="CT32" s="15" t="n">
        <f aca="false">Inputs!$B$52/(1-CS32-G32)</f>
        <v>193874.359195988</v>
      </c>
      <c r="CU32" s="15" t="n">
        <f aca="false">CT32/Inputs!$B$34</f>
        <v>323.123931993313</v>
      </c>
      <c r="CV32" s="15" t="n">
        <f aca="false">B32^2/CU32</f>
        <v>12.6762507955764</v>
      </c>
      <c r="CW32" s="15" t="n">
        <f aca="false">Inputs!$B$54*H32/(Inputs!$B$35*F32+E32*H32^2/(PI()*CV32*Inputs!$B$36))</f>
        <v>20.0154397211384</v>
      </c>
      <c r="CX32" s="15" t="n">
        <f aca="false">EXP(-Inputs!$B$11*Inputs!$B$14*Inputs!$B$17/(Inputs!$B$51*CW32*Inputs!$B$16))</f>
        <v>0.760933676227173</v>
      </c>
      <c r="CY32" s="15" t="n">
        <f aca="false">Inputs!$B$50*Inputs!$B$18*CX32*Inputs!$B$19</f>
        <v>0.743526732002659</v>
      </c>
      <c r="CZ32" s="15" t="n">
        <f aca="false">1-CY32</f>
        <v>0.256473267997341</v>
      </c>
      <c r="DA32" s="15" t="n">
        <f aca="false">Inputs!$B$20*CZ32</f>
        <v>0.00769419803992024</v>
      </c>
      <c r="DB32" s="15" t="n">
        <f aca="false">0.8*(1-Inputs!$B$50)*(CY32-DA32)</f>
        <v>0.00177233212796293</v>
      </c>
      <c r="DC32" s="15" t="n">
        <f aca="false">CY32-DA32-DB32</f>
        <v>0.734060201834776</v>
      </c>
      <c r="DD32" s="15" t="n">
        <f aca="false">DC32*(1-Inputs!$B$18*EXP(-Inputs!$B$21*Inputs!$B$14*Inputs!$B$17/(Inputs!$B$22*Inputs!$B$23*Inputs!$B$24*CW32*Inputs!$B$16))*Inputs!$B$19)</f>
        <v>0.0261451428063038</v>
      </c>
      <c r="DE32" s="15" t="n">
        <f aca="false">(DC32-DD32)*(1-EXP(-Inputs!$B$25*Inputs!$B$14*Inputs!$B$17*Inputs!$B$26/(CW32*Inputs!$B$16/0.866)))</f>
        <v>0.00734710260743023</v>
      </c>
      <c r="DF32" s="15" t="n">
        <f aca="false">(DC32-DD32-DE32)*(1-Inputs!$B$19)</f>
        <v>0.00350283978210521</v>
      </c>
      <c r="DG32" s="15" t="n">
        <f aca="false">(CZ32+DA32+DB32+DD32+DE32+DF32)*(1+Inputs!$B$27)</f>
        <v>0.303843688011147</v>
      </c>
      <c r="DH32" s="15" t="n">
        <f aca="false">Inputs!$B$52/(1-DG32-G32)</f>
        <v>193831.480826175</v>
      </c>
      <c r="DI32" s="15" t="n">
        <f aca="false">DH32/Inputs!$B$34</f>
        <v>323.052468043626</v>
      </c>
      <c r="DJ32" s="15" t="n">
        <f aca="false">B32^2/DI32</f>
        <v>12.6790549683925</v>
      </c>
      <c r="DK32" s="15" t="n">
        <f aca="false">Inputs!$B$54*H32/(Inputs!$B$35*F32+E32*H32^2/(PI()*DJ32*Inputs!$B$36))</f>
        <v>20.0165967343018</v>
      </c>
      <c r="DL32" s="15" t="n">
        <f aca="false">EXP(-Inputs!$B$11*Inputs!$B$14*Inputs!$B$17/(Inputs!$B$51*DK32*Inputs!$B$16))</f>
        <v>0.760945693154109</v>
      </c>
      <c r="DM32" s="15" t="n">
        <f aca="false">Inputs!$B$50*Inputs!$B$18*DL32*Inputs!$B$19</f>
        <v>0.743538474033131</v>
      </c>
      <c r="DN32" s="15" t="n">
        <f aca="false">1-DM32</f>
        <v>0.256461525966869</v>
      </c>
      <c r="DO32" s="15" t="n">
        <f aca="false">Inputs!$B$20*DN32</f>
        <v>0.00769384577900606</v>
      </c>
      <c r="DP32" s="15" t="n">
        <f aca="false">0.8*(1-Inputs!$B$50)*(DM32-DO32)</f>
        <v>0.00177236125836991</v>
      </c>
      <c r="DQ32" s="15" t="n">
        <f aca="false">DM32-DO32-DP32</f>
        <v>0.734072266995755</v>
      </c>
      <c r="DR32" s="15" t="n">
        <f aca="false">DQ32*(1-Inputs!$B$18*EXP(-Inputs!$B$21*Inputs!$B$14*Inputs!$B$17/(Inputs!$B$22*Inputs!$B$23*Inputs!$B$24*DK32*Inputs!$B$16))*Inputs!$B$19)</f>
        <v>0.0261449120521802</v>
      </c>
      <c r="DS32" s="15" t="n">
        <f aca="false">(DQ32-DR32)*(1-EXP(-Inputs!$B$25*Inputs!$B$14*Inputs!$B$17*Inputs!$B$26/(DK32*Inputs!$B$16/0.866)))</f>
        <v>0.00734680774237062</v>
      </c>
      <c r="DT32" s="15" t="n">
        <f aca="false">(DQ32-DR32-DS32)*(1-Inputs!$B$19)</f>
        <v>0.00350290273600603</v>
      </c>
      <c r="DU32" s="15" t="n">
        <f aca="false">(DN32+DO32+DP32+DR32+DS32+DT32)*(1+Inputs!$B$27)</f>
        <v>0.303831122601406</v>
      </c>
      <c r="DV32" s="15" t="n">
        <f aca="false">Inputs!$B$52/(1-DU32-G32)</f>
        <v>193817.011698746</v>
      </c>
      <c r="DW32" s="15" t="n">
        <f aca="false">DV32/Inputs!$B$34</f>
        <v>323.028352831243</v>
      </c>
      <c r="DX32" s="15" t="n">
        <f aca="false">B32^2/DW32</f>
        <v>12.680001504821</v>
      </c>
      <c r="DY32" s="15" t="n">
        <f aca="false">Inputs!$B$54*H32/(Inputs!$B$35*F32+E32*H32^2/(PI()*DX32*Inputs!$B$36))</f>
        <v>20.0169871937639</v>
      </c>
      <c r="DZ32" s="15" t="n">
        <f aca="false">EXP(-Inputs!$B$11*Inputs!$B$14*Inputs!$B$17/(Inputs!$B$51*DY32*Inputs!$B$16))</f>
        <v>0.760949748258913</v>
      </c>
      <c r="EA32" s="15" t="n">
        <f aca="false">Inputs!$B$50*Inputs!$B$18*DZ32*Inputs!$B$19</f>
        <v>0.743542436374287</v>
      </c>
      <c r="EB32" s="15" t="n">
        <f aca="false">1-EA32</f>
        <v>0.256457563625713</v>
      </c>
      <c r="EC32" s="15" t="n">
        <f aca="false">Inputs!$B$20*EB32</f>
        <v>0.00769372690877138</v>
      </c>
      <c r="ED32" s="15" t="n">
        <f aca="false">0.8*(1-Inputs!$B$50)*(EA32-EC32)</f>
        <v>0.00177237108840832</v>
      </c>
      <c r="EE32" s="15" t="n">
        <f aca="false">EA32-EC32-ED32</f>
        <v>0.734076338377108</v>
      </c>
      <c r="EF32" s="15" t="n">
        <f aca="false">EE32*(1-Inputs!$B$18*EXP(-Inputs!$B$21*Inputs!$B$14*Inputs!$B$17/(Inputs!$B$22*Inputs!$B$23*Inputs!$B$24*DY32*Inputs!$B$16))*Inputs!$B$19)</f>
        <v>0.0261448341816547</v>
      </c>
      <c r="EG32" s="15" t="n">
        <f aca="false">(EE32-EF32)*(1-EXP(-Inputs!$B$25*Inputs!$B$14*Inputs!$B$17*Inputs!$B$26/(DY32*Inputs!$B$16/0.866)))</f>
        <v>0.0073467082384969</v>
      </c>
      <c r="EH32" s="15" t="n">
        <f aca="false">(EE32-EF32-EG32)*(1-Inputs!$B$19)</f>
        <v>0.00350292397978478</v>
      </c>
      <c r="EI32" s="15" t="n">
        <f aca="false">(EB32+EC32+ED32+EF32+EG32+EH32)*(1+Inputs!$B$27)</f>
        <v>0.303826882406897</v>
      </c>
      <c r="EJ32" s="15" t="n">
        <f aca="false">Inputs!$B$52/(1-EI32-G32)</f>
        <v>193812.129582615</v>
      </c>
      <c r="EK32" s="15" t="n">
        <f aca="false">EJ32/Inputs!$B$34</f>
        <v>323.020215971025</v>
      </c>
      <c r="EL32" s="15" t="n">
        <f aca="false">B32^2/EK32</f>
        <v>12.6803209133122</v>
      </c>
      <c r="EM32" s="15" t="n">
        <f aca="false">Inputs!$B$54*H32/(Inputs!$B$35*F32+E32*H32^2/(PI()*EL32*Inputs!$B$36))</f>
        <v>20.0171189444987</v>
      </c>
      <c r="EN32" s="15" t="n">
        <f aca="false">EXP(-Inputs!$B$11*Inputs!$B$14*Inputs!$B$17/(Inputs!$B$51*EM32*Inputs!$B$16))</f>
        <v>0.76095111652132</v>
      </c>
      <c r="EO32" s="15" t="n">
        <f aca="false">Inputs!$B$50*Inputs!$B$18*EN32*Inputs!$B$19</f>
        <v>0.743543773336637</v>
      </c>
      <c r="EP32" s="15" t="n">
        <f aca="false">1-EO32</f>
        <v>0.256456226663363</v>
      </c>
      <c r="EQ32" s="15" t="n">
        <f aca="false">Inputs!$B$20*EP32</f>
        <v>0.00769368679990088</v>
      </c>
      <c r="ER32" s="15" t="n">
        <f aca="false">0.8*(1-Inputs!$B$50)*(EO32-EQ32)</f>
        <v>0.00177237440523308</v>
      </c>
      <c r="ES32" s="15" t="n">
        <f aca="false">EO32-EQ32-ER32</f>
        <v>0.734077712131503</v>
      </c>
      <c r="ET32" s="15" t="n">
        <f aca="false">ES32*(1-Inputs!$B$18*EXP(-Inputs!$B$21*Inputs!$B$14*Inputs!$B$17/(Inputs!$B$22*Inputs!$B$23*Inputs!$B$24*EM32*Inputs!$B$16))*Inputs!$B$19)</f>
        <v>0.0261448079064886</v>
      </c>
      <c r="EU32" s="15" t="n">
        <f aca="false">(ES32-ET32)*(1-EXP(-Inputs!$B$25*Inputs!$B$14*Inputs!$B$17*Inputs!$B$26/(EM32*Inputs!$B$16/0.866)))</f>
        <v>0.00734667466396209</v>
      </c>
      <c r="EV32" s="15" t="n">
        <f aca="false">(ES32-ET32-EU32)*(1-Inputs!$B$19)</f>
        <v>0.00350293114780527</v>
      </c>
      <c r="EW32" s="15" t="n">
        <f aca="false">(EP32+EQ32+ER32+ET32+EU32+EV32)*(1+Inputs!$B$27)</f>
        <v>0.303825451691513</v>
      </c>
      <c r="EX32" s="15" t="n">
        <f aca="false">Inputs!$B$52/(1-EW32-G32)</f>
        <v>193810.482327205</v>
      </c>
      <c r="EY32" s="15" t="n">
        <f aca="false">EX32/Inputs!$B$34</f>
        <v>323.017470545341</v>
      </c>
      <c r="EZ32" s="15" t="n">
        <f aca="false">B32^2/EY32</f>
        <v>12.6804286872931</v>
      </c>
      <c r="FA32" s="15" t="n">
        <f aca="false">Inputs!$B$54*H32/(Inputs!$B$35*F32+E32*H32^2/(PI()*EZ32*Inputs!$B$36))</f>
        <v>20.0171633983821</v>
      </c>
      <c r="FB32" s="15" t="n">
        <f aca="false">EXP(-Inputs!$B$11*Inputs!$B$14*Inputs!$B$17/(Inputs!$B$51*FA32*Inputs!$B$16))</f>
        <v>0.760951578181858</v>
      </c>
      <c r="FC32" s="15" t="n">
        <f aca="false">Inputs!$B$50*Inputs!$B$18*FB32*Inputs!$B$19</f>
        <v>0.743544224436335</v>
      </c>
      <c r="FD32" s="15" t="n">
        <f aca="false">1-FC32</f>
        <v>0.256455775563665</v>
      </c>
      <c r="FE32" s="15" t="n">
        <f aca="false">Inputs!$B$20*FD32</f>
        <v>0.00769367326690994</v>
      </c>
      <c r="FF32" s="15" t="n">
        <f aca="false">0.8*(1-Inputs!$B$50)*(FC32-FE32)</f>
        <v>0.00177237552435109</v>
      </c>
      <c r="FG32" s="15" t="n">
        <f aca="false">FC32-FE32-FF32</f>
        <v>0.734078175645074</v>
      </c>
      <c r="FH32" s="15" t="n">
        <f aca="false">FG32*(1-Inputs!$B$18*EXP(-Inputs!$B$21*Inputs!$B$14*Inputs!$B$17/(Inputs!$B$22*Inputs!$B$23*Inputs!$B$24*FA32*Inputs!$B$16))*Inputs!$B$19)</f>
        <v>0.0261447990410438</v>
      </c>
      <c r="FI32" s="15" t="n">
        <f aca="false">(FG32-FH32)*(1-EXP(-Inputs!$B$25*Inputs!$B$14*Inputs!$B$17*Inputs!$B$26/(FA32*Inputs!$B$16/0.866)))</f>
        <v>0.00734666333567424</v>
      </c>
      <c r="FJ32" s="15" t="n">
        <f aca="false">(FG32-FH32-FI32)*(1-Inputs!$B$19)</f>
        <v>0.00350293356634179</v>
      </c>
      <c r="FK32" s="15" t="n">
        <f aca="false">(FD32+FE32+FF32+FH32+FI32+FJ32)*(1+Inputs!$B$27)</f>
        <v>0.30382496895888</v>
      </c>
      <c r="FL32" s="15" t="n">
        <f aca="false">Inputs!$B$52/(1-FK32-G32)</f>
        <v>193809.926538882</v>
      </c>
      <c r="FM32" s="15" t="n">
        <f aca="false">FL32/Inputs!$B$34</f>
        <v>323.01654423147</v>
      </c>
      <c r="FN32" s="15" t="n">
        <f aca="false">B32^2/FM32</f>
        <v>12.680465050932</v>
      </c>
      <c r="FO32" s="15" t="n">
        <f aca="false">Inputs!$B$54*H32/(Inputs!$B$35*F32+E32*H32^2/(PI()*FN32*Inputs!$B$36))</f>
        <v>20.0171783972842</v>
      </c>
      <c r="FP32" s="15" t="n">
        <f aca="false">EXP(-Inputs!$B$11*Inputs!$B$14*Inputs!$B$17/(Inputs!$B$51*FO32*Inputs!$B$16))</f>
        <v>0.760951733947405</v>
      </c>
      <c r="FQ32" s="15" t="n">
        <f aca="false">Inputs!$B$50*Inputs!$B$18*FP32*Inputs!$B$19</f>
        <v>0.743544376638626</v>
      </c>
      <c r="FR32" s="15" t="n">
        <f aca="false">1-FQ32</f>
        <v>0.256455623361374</v>
      </c>
      <c r="FS32" s="15" t="n">
        <f aca="false">Inputs!$B$20*FR32</f>
        <v>0.00769366870084123</v>
      </c>
      <c r="FT32" s="15" t="n">
        <f aca="false">0.8*(1-Inputs!$B$50)*(FQ32-FS32)</f>
        <v>0.00177237590194461</v>
      </c>
      <c r="FU32" s="15" t="n">
        <f aca="false">FQ32-FS32-FT32</f>
        <v>0.73407833203584</v>
      </c>
      <c r="FV32" s="15" t="n">
        <f aca="false">FU32*(1-Inputs!$B$18*EXP(-Inputs!$B$21*Inputs!$B$14*Inputs!$B$17/(Inputs!$B$22*Inputs!$B$23*Inputs!$B$24*FO32*Inputs!$B$16))*Inputs!$B$19)</f>
        <v>0.026144796049814</v>
      </c>
      <c r="FW32" s="15" t="n">
        <f aca="false">(FU32-FV32)*(1-EXP(-Inputs!$B$25*Inputs!$B$14*Inputs!$B$17*Inputs!$B$26/(FO32*Inputs!$B$16/0.866)))</f>
        <v>0.00734665951347573</v>
      </c>
      <c r="FX32" s="15" t="n">
        <f aca="false">(FU32-FV32-FW32)*(1-Inputs!$B$19)</f>
        <v>0.00350293438236275</v>
      </c>
      <c r="FY32" s="15" t="n">
        <f aca="false">(FR32+FS32+FT32+FV32+FW32+FX32)*(1+Inputs!$B$27)</f>
        <v>0.303824806083542</v>
      </c>
      <c r="FZ32" s="15" t="n">
        <f aca="false">Inputs!$B$52/(1-FY32-G32)</f>
        <v>193809.73901507</v>
      </c>
      <c r="GA32" s="15" t="n">
        <f aca="false">FZ32/Inputs!$B$34</f>
        <v>323.016231691784</v>
      </c>
      <c r="GB32" s="15" t="n">
        <f aca="false">B32^2/GA32</f>
        <v>12.6804773201253</v>
      </c>
      <c r="GC32" s="15" t="n">
        <f aca="false">Inputs!$B$54*H32/(Inputs!$B$35*F32+E32*H32^2/(PI()*GB32*Inputs!$B$36))</f>
        <v>20.0171834579413</v>
      </c>
      <c r="GD32" s="15" t="n">
        <f aca="false">EXP(-Inputs!$B$11*Inputs!$B$14*Inputs!$B$17/(Inputs!$B$51*GC32*Inputs!$B$16))</f>
        <v>0.760951786502941</v>
      </c>
      <c r="GE32" s="15" t="n">
        <f aca="false">Inputs!$B$50*Inputs!$B$18*GD32*Inputs!$B$19</f>
        <v>0.743544427991913</v>
      </c>
      <c r="GF32" s="15" t="n">
        <f aca="false">1-GE32</f>
        <v>0.256455572008087</v>
      </c>
      <c r="GG32" s="15" t="n">
        <f aca="false">Inputs!$B$20*GF32</f>
        <v>0.00769366716024261</v>
      </c>
      <c r="GH32" s="15" t="n">
        <f aca="false">0.8*(1-Inputs!$B$50)*(GE32-GG32)</f>
        <v>0.00177237602934525</v>
      </c>
      <c r="GI32" s="15" t="n">
        <f aca="false">GE32-GG32-GH32</f>
        <v>0.734078384802325</v>
      </c>
      <c r="GJ32" s="15" t="n">
        <f aca="false">GI32*(1-Inputs!$B$18*EXP(-Inputs!$B$21*Inputs!$B$14*Inputs!$B$17/(Inputs!$B$22*Inputs!$B$23*Inputs!$B$24*GC32*Inputs!$B$16))*Inputs!$B$19)</f>
        <v>0.0261447950405681</v>
      </c>
      <c r="GK32" s="15" t="n">
        <f aca="false">(GI32-GJ32)*(1-EXP(-Inputs!$B$25*Inputs!$B$14*Inputs!$B$17*Inputs!$B$26/(GC32*Inputs!$B$16/0.866)))</f>
        <v>0.00734665822385977</v>
      </c>
      <c r="GL32" s="15" t="n">
        <f aca="false">(GI32-GJ32-GK32)*(1-Inputs!$B$19)</f>
        <v>0.00350293465768949</v>
      </c>
      <c r="GM32" s="15" t="n">
        <f aca="false">(GF32+GG32+GH32+GJ32+GK32+GL32)*(1+Inputs!$B$27)</f>
        <v>0.303824751129151</v>
      </c>
      <c r="GN32" s="15" t="n">
        <f aca="false">Inputs!$B$52/(1-GM32-G32)</f>
        <v>193809.675744328</v>
      </c>
      <c r="GO32" s="15" t="n">
        <f aca="false">GN32/Inputs!$B$34</f>
        <v>323.016126240547</v>
      </c>
      <c r="GP32" s="15" t="n">
        <f aca="false">B32^2/GO32</f>
        <v>12.68048145977</v>
      </c>
      <c r="GQ32" s="15" t="n">
        <f aca="false">Inputs!$B$54*H32/(Inputs!$B$35*F32+E32*H32^2/(PI()*GP32*Inputs!$B$36))</f>
        <v>20.0171851654131</v>
      </c>
      <c r="GR32" s="15" t="n">
        <f aca="false">EXP(-Inputs!$B$11*Inputs!$B$14*Inputs!$B$17/(Inputs!$B$51*GQ32*Inputs!$B$16))</f>
        <v>0.760951804235238</v>
      </c>
      <c r="GS32" s="15" t="n">
        <f aca="false">Inputs!$B$50*Inputs!$B$18*GR32*Inputs!$B$19</f>
        <v>0.74354444531857</v>
      </c>
      <c r="GT32" s="15" t="n">
        <f aca="false">1-GS32</f>
        <v>0.25645555468143</v>
      </c>
      <c r="GU32" s="15" t="n">
        <f aca="false">Inputs!$B$20*GT32</f>
        <v>0.0076936666404429</v>
      </c>
      <c r="GV32" s="15" t="n">
        <f aca="false">0.8*(1-Inputs!$B$50)*(GS32-GU32)</f>
        <v>0.00177237607233037</v>
      </c>
      <c r="GW32" s="15" t="n">
        <f aca="false">GS32-GU32-GV32</f>
        <v>0.734078402605797</v>
      </c>
      <c r="GX32" s="15" t="n">
        <f aca="false">GW32*(1-Inputs!$B$18*EXP(-Inputs!$B$21*Inputs!$B$14*Inputs!$B$17/(Inputs!$B$22*Inputs!$B$23*Inputs!$B$24*GQ32*Inputs!$B$16))*Inputs!$B$19)</f>
        <v>0.0261447947000473</v>
      </c>
      <c r="GY32" s="15" t="n">
        <f aca="false">(GW32-GX32)*(1-EXP(-Inputs!$B$25*Inputs!$B$14*Inputs!$B$17*Inputs!$B$26/(GQ32*Inputs!$B$16/0.866)))</f>
        <v>0.00734665778874184</v>
      </c>
      <c r="GZ32" s="15" t="n">
        <f aca="false">(GW32-GX32-GY32)*(1-Inputs!$B$19)</f>
        <v>0.00350293475058504</v>
      </c>
      <c r="HA32" s="15" t="n">
        <f aca="false">(GT32+GU32+GV32+GX32+GY32+GZ32)*(1+Inputs!$B$27)</f>
        <v>0.303824732587478</v>
      </c>
      <c r="HB32" s="15" t="n">
        <f aca="false">Inputs!$B$52/(1-HA32-G32)</f>
        <v>193809.654396718</v>
      </c>
      <c r="HC32" s="15" t="n">
        <f aca="false">HB32/Inputs!$B$34</f>
        <v>323.016090661197</v>
      </c>
      <c r="HD32" s="15" t="n">
        <f aca="false">B32^2/HC32</f>
        <v>12.6804828564908</v>
      </c>
      <c r="HE32" s="15" t="n">
        <f aca="false">Inputs!$B$54*H32/(Inputs!$B$35*F32+E32*H32^2/(PI()*HD32*Inputs!$B$36))</f>
        <v>20.0171857415159</v>
      </c>
      <c r="HF32" s="15" t="n">
        <f aca="false">EXP(-Inputs!$B$11*Inputs!$B$14*Inputs!$B$17/(Inputs!$B$51*HE32*Inputs!$B$16))</f>
        <v>0.760951810218133</v>
      </c>
      <c r="HG32" s="15" t="n">
        <f aca="false">Inputs!$B$50*Inputs!$B$18*HF32*Inputs!$B$19</f>
        <v>0.743544451164601</v>
      </c>
      <c r="HH32" s="15" t="n">
        <f aca="false">1-HG32</f>
        <v>0.256455548835399</v>
      </c>
      <c r="HI32" s="15" t="n">
        <f aca="false">Inputs!$B$20*HH32</f>
        <v>0.00769366646506197</v>
      </c>
      <c r="HJ32" s="15" t="n">
        <f aca="false">0.8*(1-Inputs!$B$50)*(HG32-HI32)</f>
        <v>0.00177237608683359</v>
      </c>
      <c r="HK32" s="15" t="n">
        <f aca="false">HG32-HI32-HJ32</f>
        <v>0.734078408612706</v>
      </c>
      <c r="HL32" s="15" t="n">
        <f aca="false">HK32*(1-Inputs!$B$18*EXP(-Inputs!$B$21*Inputs!$B$14*Inputs!$B$17/(Inputs!$B$22*Inputs!$B$23*Inputs!$B$24*HE32*Inputs!$B$16))*Inputs!$B$19)</f>
        <v>0.0261447945851553</v>
      </c>
      <c r="HM32" s="15" t="n">
        <f aca="false">(HK32-HL32)*(1-EXP(-Inputs!$B$25*Inputs!$B$14*Inputs!$B$17*Inputs!$B$26/(HE32*Inputs!$B$16/0.866)))</f>
        <v>0.00734665764193262</v>
      </c>
      <c r="HN32" s="15" t="n">
        <f aca="false">(HK32-HL32-HM32)*(1-Inputs!$B$19)</f>
        <v>0.00350293478192809</v>
      </c>
      <c r="HO32" s="15" t="n">
        <f aca="false">(HH32+HI32+HJ32+HL32+HM32+HN32)*(1+Inputs!$B$27)</f>
        <v>0.303824726331499</v>
      </c>
      <c r="HP32" s="15" t="n">
        <f aca="false">Inputs!$B$52/(1-HO32-G32)</f>
        <v>193809.647194015</v>
      </c>
      <c r="HQ32" s="15" t="n">
        <f aca="false">HP32/Inputs!$B$34</f>
        <v>323.016078656691</v>
      </c>
      <c r="HR32" s="15" t="n">
        <f aca="false">B32^2/HQ32</f>
        <v>12.6804833277458</v>
      </c>
      <c r="HS32" s="15" t="n">
        <f aca="false">Inputs!$B$54*H32/(Inputs!$B$35*F32+E32*H32^2/(PI()*HR32*Inputs!$B$36))</f>
        <v>20.0171859358935</v>
      </c>
      <c r="HT32" s="15" t="n">
        <f aca="false">EXP(-Inputs!$B$11*Inputs!$B$14*Inputs!$B$17/(Inputs!$B$51*HS32*Inputs!$B$16))</f>
        <v>0.760951812236767</v>
      </c>
      <c r="HU32" s="15" t="n">
        <f aca="false">Inputs!$B$50*Inputs!$B$18*HT32*Inputs!$B$19</f>
        <v>0.743544453137058</v>
      </c>
      <c r="HV32" s="15" t="n">
        <f aca="false">1-HU32</f>
        <v>0.256455546862942</v>
      </c>
      <c r="HW32" s="15" t="n">
        <f aca="false">Inputs!$B$20*HV32</f>
        <v>0.00769366640588827</v>
      </c>
      <c r="HX32" s="15" t="n">
        <f aca="false">0.8*(1-Inputs!$B$50)*(HU32-HW32)</f>
        <v>0.00177237609172699</v>
      </c>
      <c r="HY32" s="15" t="n">
        <f aca="false">HU32-HW32-HX32</f>
        <v>0.734078410639442</v>
      </c>
      <c r="HZ32" s="15" t="n">
        <f aca="false">HY32*(1-Inputs!$B$18*EXP(-Inputs!$B$21*Inputs!$B$14*Inputs!$B$17/(Inputs!$B$22*Inputs!$B$23*Inputs!$B$24*HS32*Inputs!$B$16))*Inputs!$B$19)</f>
        <v>0.0261447945463905</v>
      </c>
      <c r="IA32" s="15" t="n">
        <f aca="false">(HY32-HZ32)*(1-EXP(-Inputs!$B$25*Inputs!$B$14*Inputs!$B$17*Inputs!$B$26/(HS32*Inputs!$B$16/0.866)))</f>
        <v>0.0073466575923991</v>
      </c>
      <c r="IB32" s="15" t="n">
        <f aca="false">(HY32-HZ32-IA32)*(1-Inputs!$B$19)</f>
        <v>0.00350293479250327</v>
      </c>
      <c r="IC32" s="15" t="n">
        <f aca="false">(HV32+HW32+HX32+HZ32+IA32+IB32)*(1+Inputs!$B$27)</f>
        <v>0.303824724220726</v>
      </c>
      <c r="ID32" s="15" t="n">
        <f aca="false">Inputs!$B$52/(1-IC32-G32)</f>
        <v>193809.644763815</v>
      </c>
      <c r="IE32" s="15" t="n">
        <f aca="false">ID32/Inputs!$B$34</f>
        <v>323.016074606359</v>
      </c>
      <c r="IF32" s="15" t="n">
        <f aca="false">B32^2/IE32</f>
        <v>12.6804834867477</v>
      </c>
      <c r="IG32" s="15" t="n">
        <f aca="false">Inputs!$B$54*H32/(Inputs!$B$35*F32+E32*H32^2/(PI()*IF32*Inputs!$B$36))</f>
        <v>20.0171860014767</v>
      </c>
      <c r="IH32" s="15" t="n">
        <f aca="false">EXP(-Inputs!$B$11*Inputs!$B$14*Inputs!$B$17/(Inputs!$B$51*IG32*Inputs!$B$16))</f>
        <v>0.760951812917856</v>
      </c>
      <c r="II32" s="15" t="n">
        <f aca="false">Inputs!$B$50*Inputs!$B$18*IH32*Inputs!$B$19</f>
        <v>0.743544453802566</v>
      </c>
      <c r="IJ32" s="15" t="n">
        <f aca="false">1-II32</f>
        <v>0.256455546197434</v>
      </c>
      <c r="IK32" s="15" t="n">
        <f aca="false">Inputs!$B$20*IJ32</f>
        <v>0.00769366638592301</v>
      </c>
      <c r="IL32" s="15" t="n">
        <f aca="false">0.8*(1-Inputs!$B$50)*(II32-IK32)</f>
        <v>0.00177237609337803</v>
      </c>
      <c r="IM32" s="15" t="n">
        <f aca="false">II32-IK32-IL32</f>
        <v>0.734078411323265</v>
      </c>
      <c r="IN32" s="15" t="n">
        <f aca="false">IM32*(1-Inputs!$B$18*EXP(-Inputs!$B$21*Inputs!$B$14*Inputs!$B$17/(Inputs!$B$22*Inputs!$B$23*Inputs!$B$24*IG32*Inputs!$B$16))*Inputs!$B$19)</f>
        <v>0.0261447945333114</v>
      </c>
      <c r="IO32" s="15" t="n">
        <f aca="false">(IM32-IN32)*(1-EXP(-Inputs!$B$25*Inputs!$B$14*Inputs!$B$17*Inputs!$B$26/(IG32*Inputs!$B$16/0.866)))</f>
        <v>0.00734665757568641</v>
      </c>
      <c r="IP32" s="15" t="n">
        <f aca="false">(IM32-IN32-IO32)*(1-Inputs!$B$19)</f>
        <v>0.00350293479607134</v>
      </c>
      <c r="IQ32" s="15" t="n">
        <f aca="false">(IJ32+IK32+IL32+IN32+IO32+IP32)*(1+Inputs!$B$27)</f>
        <v>0.303824723508549</v>
      </c>
      <c r="IR32" s="15" t="n">
        <f aca="false">Inputs!$B$52/(1-IQ32-G32)</f>
        <v>193809.643943864</v>
      </c>
      <c r="IS32" s="15" t="n">
        <f aca="false">IR32/Inputs!$B$34</f>
        <v>323.016073239774</v>
      </c>
      <c r="IT32" s="15" t="n">
        <f aca="false">B32^2/IS32</f>
        <v>12.6804835403951</v>
      </c>
      <c r="IU32" s="15" t="n">
        <f aca="false">Inputs!$B$54*H32/(Inputs!$B$35*F32+E32*H32^2/(PI()*IT32*Inputs!$B$36))</f>
        <v>20.0171860236045</v>
      </c>
      <c r="IV32" s="15" t="n">
        <f aca="false">EXP(-Inputs!$B$11*Inputs!$B$14*Inputs!$B$17/(Inputs!$B$51*IU32*Inputs!$B$16))</f>
        <v>0.760951813147656</v>
      </c>
      <c r="IW32" s="15" t="n">
        <f aca="false">Inputs!$B$50*Inputs!$B$18*IV32*Inputs!$B$19</f>
        <v>0.743544454027109</v>
      </c>
      <c r="IX32" s="15" t="n">
        <f aca="false">1-IW32</f>
        <v>0.256455545972891</v>
      </c>
      <c r="IY32" s="15" t="n">
        <f aca="false">Inputs!$B$20*IX32</f>
        <v>0.00769366637918672</v>
      </c>
      <c r="IZ32" s="15" t="n">
        <f aca="false">0.8*(1-Inputs!$B$50)*(IW32-IY32)</f>
        <v>0.00177237609393509</v>
      </c>
      <c r="JA32" s="15" t="n">
        <f aca="false">IW32-IY32-IZ32</f>
        <v>0.734078411553988</v>
      </c>
      <c r="JB32" s="15" t="n">
        <f aca="false">JA32*(1-Inputs!$B$18*EXP(-Inputs!$B$21*Inputs!$B$14*Inputs!$B$17/(Inputs!$B$22*Inputs!$B$23*Inputs!$B$24*IU32*Inputs!$B$16))*Inputs!$B$19)</f>
        <v>0.0261447945288984</v>
      </c>
      <c r="JC32" s="15" t="n">
        <f aca="false">(JA32-JB32)*(1-EXP(-Inputs!$B$25*Inputs!$B$14*Inputs!$B$17*Inputs!$B$26/(IU32*Inputs!$B$16/0.866)))</f>
        <v>0.00734665757004755</v>
      </c>
      <c r="JD32" s="15" t="n">
        <f aca="false">(JA32-JB32-JC32)*(1-Inputs!$B$19)</f>
        <v>0.00350293479727521</v>
      </c>
      <c r="JE32" s="15" t="n">
        <f aca="false">(IX32+IY32+IZ32+JB32+JC32+JD32)*(1+Inputs!$B$27)</f>
        <v>0.30382472326826</v>
      </c>
      <c r="JF32" s="15" t="n">
        <f aca="false">Inputs!$B$52/(1-JE32-G32)</f>
        <v>193809.643667212</v>
      </c>
      <c r="JG32" s="15" t="n">
        <f aca="false">JF32/Inputs!$B$34</f>
        <v>323.016072778687</v>
      </c>
      <c r="JH32" s="15" t="n">
        <f aca="false">B32^2/JG32</f>
        <v>12.6804835584957</v>
      </c>
      <c r="JI32" s="15" t="n">
        <f aca="false">Inputs!$B$54*H32/(Inputs!$B$35*F32+E32*H32^2/(PI()*JH32*Inputs!$B$36))</f>
        <v>20.0171860310705</v>
      </c>
      <c r="JJ32" s="15" t="n">
        <f aca="false">EXP(-Inputs!$B$11*Inputs!$B$14*Inputs!$B$17/(Inputs!$B$51*JI32*Inputs!$B$16))</f>
        <v>0.760951813225191</v>
      </c>
      <c r="JK32" s="15" t="n">
        <f aca="false">Inputs!$B$50*Inputs!$B$18*JJ32*Inputs!$B$19</f>
        <v>0.74354445410287</v>
      </c>
      <c r="JL32" s="15" t="n">
        <f aca="false">1-JK32</f>
        <v>0.25645554589713</v>
      </c>
      <c r="JM32" s="15" t="n">
        <f aca="false">Inputs!$B$20*JL32</f>
        <v>0.00769366637691389</v>
      </c>
      <c r="JN32" s="15" t="n">
        <f aca="false">0.8*(1-Inputs!$B$50)*(JK32-JM32)</f>
        <v>0.00177237609412304</v>
      </c>
      <c r="JO32" s="15" t="n">
        <f aca="false">JK32-JM32-JN32</f>
        <v>0.734078411631833</v>
      </c>
      <c r="JP32" s="15" t="n">
        <f aca="false">JO32*(1-Inputs!$B$18*EXP(-Inputs!$B$21*Inputs!$B$14*Inputs!$B$17/(Inputs!$B$22*Inputs!$B$23*Inputs!$B$24*JI32*Inputs!$B$16))*Inputs!$B$19)</f>
        <v>0.0261447945274094</v>
      </c>
      <c r="JQ32" s="15" t="n">
        <f aca="false">(JO32-JP32)*(1-EXP(-Inputs!$B$25*Inputs!$B$14*Inputs!$B$17*Inputs!$B$26/(JI32*Inputs!$B$16/0.866)))</f>
        <v>0.00734665756814497</v>
      </c>
      <c r="JR32" s="15" t="n">
        <f aca="false">(JO32-JP32-JQ32)*(1-Inputs!$B$19)</f>
        <v>0.0035029347976814</v>
      </c>
      <c r="JS32" s="15" t="n">
        <f aca="false">(JL32+JM32+JN32+JP32+JQ32+JR32)*(1+Inputs!$B$27)</f>
        <v>0.303824723187186</v>
      </c>
      <c r="JT32" s="15" t="n">
        <f aca="false">Inputs!$B$52/(1-JS32-G32)</f>
        <v>193809.643573869</v>
      </c>
      <c r="JU32" s="15" t="n">
        <f aca="false">JT32/Inputs!$B$34</f>
        <v>323.016072623115</v>
      </c>
      <c r="JV32" s="15" t="n">
        <f aca="false">B32^2/JU32</f>
        <v>12.6804835646029</v>
      </c>
      <c r="JW32" s="15" t="n">
        <f aca="false">Inputs!$B$54*H32/(Inputs!$B$35*F32+E32*H32^2/(PI()*JV32*Inputs!$B$36))</f>
        <v>20.0171860335895</v>
      </c>
      <c r="JX32" s="15" t="n">
        <f aca="false">EXP(-Inputs!$B$11*Inputs!$B$14*Inputs!$B$17/(Inputs!$B$51*JW32*Inputs!$B$16))</f>
        <v>0.760951813251351</v>
      </c>
      <c r="JY32" s="15" t="n">
        <f aca="false">Inputs!$B$50*Inputs!$B$18*JX32*Inputs!$B$19</f>
        <v>0.743544454128432</v>
      </c>
      <c r="JZ32" s="15" t="n">
        <f aca="false">1-JY32</f>
        <v>0.256455545871568</v>
      </c>
      <c r="KA32" s="15" t="n">
        <f aca="false">Inputs!$B$20*JZ32</f>
        <v>0.00769366637614703</v>
      </c>
      <c r="KB32" s="15" t="n">
        <f aca="false">0.8*(1-Inputs!$B$50)*(JY32-KA32)</f>
        <v>0.00177237609418646</v>
      </c>
      <c r="KC32" s="15" t="n">
        <f aca="false">JY32-KA32-KB32</f>
        <v>0.734078411658099</v>
      </c>
      <c r="KD32" s="15" t="n">
        <f aca="false">KC32*(1-Inputs!$B$18*EXP(-Inputs!$B$21*Inputs!$B$14*Inputs!$B$17/(Inputs!$B$22*Inputs!$B$23*Inputs!$B$24*JW32*Inputs!$B$16))*Inputs!$B$19)</f>
        <v>0.0261447945269071</v>
      </c>
      <c r="KE32" s="15" t="n">
        <f aca="false">(KC32-KD32)*(1-EXP(-Inputs!$B$25*Inputs!$B$14*Inputs!$B$17*Inputs!$B$26/(JW32*Inputs!$B$16/0.866)))</f>
        <v>0.00734665756750302</v>
      </c>
      <c r="KF32" s="15" t="n">
        <f aca="false">(KC32-KD32-KE32)*(1-Inputs!$B$19)</f>
        <v>0.00350293479781845</v>
      </c>
      <c r="KG32" s="15" t="n">
        <f aca="false">(JZ32+KA32+KB32+KD32+KE32+KF32)*(1+Inputs!$B$27)</f>
        <v>0.303824723159832</v>
      </c>
      <c r="KH32" s="15" t="n">
        <f aca="false">Inputs!$B$52/(1-KG32-G32)</f>
        <v>193809.643542375</v>
      </c>
      <c r="KI32" s="15" t="n">
        <f aca="false">KH32/Inputs!$B$34</f>
        <v>323.016072570625</v>
      </c>
      <c r="KJ32" s="15" t="n">
        <f aca="false">B32^2/KI32</f>
        <v>12.6804835666635</v>
      </c>
      <c r="KK32" s="15" t="n">
        <f aca="false">Inputs!$B$54*H32/(Inputs!$B$35*F32+E32*H32^2/(PI()*KJ32*Inputs!$B$36))</f>
        <v>20.0171860344394</v>
      </c>
      <c r="KL32" s="15" t="n">
        <f aca="false">EXP(-Inputs!$B$11*Inputs!$B$14*Inputs!$B$17/(Inputs!$B$51*KK32*Inputs!$B$16))</f>
        <v>0.760951813260178</v>
      </c>
      <c r="KM32" s="15" t="n">
        <f aca="false">Inputs!$B$50*Inputs!$B$18*KL32*Inputs!$B$19</f>
        <v>0.743544454137057</v>
      </c>
      <c r="KN32" s="15" t="n">
        <f aca="false">1-KM32</f>
        <v>0.256455545862943</v>
      </c>
      <c r="KO32" s="15" t="n">
        <f aca="false">Inputs!$B$20*KN32</f>
        <v>0.00769366637588829</v>
      </c>
      <c r="KP32" s="15" t="n">
        <f aca="false">0.8*(1-Inputs!$B$50)*(KM32-KO32)</f>
        <v>0.00177237609420785</v>
      </c>
      <c r="KQ32" s="15" t="n">
        <f aca="false">KM32-KO32-KP32</f>
        <v>0.734078411666961</v>
      </c>
      <c r="KR32" s="15" t="n">
        <f aca="false">KQ32*(1-Inputs!$B$18*EXP(-Inputs!$B$21*Inputs!$B$14*Inputs!$B$17/(Inputs!$B$22*Inputs!$B$23*Inputs!$B$24*KK32*Inputs!$B$16))*Inputs!$B$19)</f>
        <v>0.0261447945267376</v>
      </c>
      <c r="KS32" s="15" t="n">
        <f aca="false">(KQ32-KR32)*(1-EXP(-Inputs!$B$25*Inputs!$B$14*Inputs!$B$17*Inputs!$B$26/(KK32*Inputs!$B$16/0.866)))</f>
        <v>0.00734665756728645</v>
      </c>
      <c r="KT32" s="15" t="n">
        <f aca="false">(KQ32-KR32-KS32)*(1-Inputs!$B$19)</f>
        <v>0.00350293479786469</v>
      </c>
      <c r="KU32" s="15" t="n">
        <f aca="false">(KN32+KO32+KP32+KR32+KS32+KT32)*(1+Inputs!$B$27)</f>
        <v>0.303824723150603</v>
      </c>
      <c r="KV32" s="15" t="n">
        <f aca="false">Inputs!$B$52/(1-KU32-G32)</f>
        <v>193809.643531749</v>
      </c>
      <c r="KW32" s="15" t="n">
        <f aca="false">KV32/Inputs!$B$34</f>
        <v>323.016072552915</v>
      </c>
      <c r="KX32" s="15" t="n">
        <f aca="false">B32^2/KW32</f>
        <v>12.6804835673587</v>
      </c>
      <c r="KY32" s="15" t="n">
        <f aca="false">Inputs!$B$54*H32/(Inputs!$B$35*F32+E32*H32^2/(PI()*KX32*Inputs!$B$36))</f>
        <v>20.0171860347262</v>
      </c>
      <c r="KZ32" s="15" t="n">
        <f aca="false">EXP(-Inputs!$B$11*Inputs!$B$14*Inputs!$B$17/(Inputs!$B$51*KY32*Inputs!$B$16))</f>
        <v>0.760951813263156</v>
      </c>
      <c r="LA32" s="15" t="n">
        <f aca="false">Inputs!$B$50*Inputs!$B$18*KZ32*Inputs!$B$19</f>
        <v>0.743544454139967</v>
      </c>
      <c r="LB32" s="15" t="n">
        <f aca="false">1-LA32</f>
        <v>0.256455545860033</v>
      </c>
      <c r="LC32" s="15" t="n">
        <f aca="false">Inputs!$B$20*LB32</f>
        <v>0.00769366637580099</v>
      </c>
      <c r="LD32" s="15" t="n">
        <f aca="false">0.8*(1-Inputs!$B$50)*(LA32-LC32)</f>
        <v>0.00177237609421507</v>
      </c>
      <c r="LE32" s="15" t="n">
        <f aca="false">LA32-LC32-LD32</f>
        <v>0.734078411669951</v>
      </c>
      <c r="LF32" s="15" t="n">
        <f aca="false">LE32*(1-Inputs!$B$18*EXP(-Inputs!$B$21*Inputs!$B$14*Inputs!$B$17/(Inputs!$B$22*Inputs!$B$23*Inputs!$B$24*KY32*Inputs!$B$16))*Inputs!$B$19)</f>
        <v>0.0261447945266804</v>
      </c>
      <c r="LG32" s="15" t="n">
        <f aca="false">(LE32-LF32)*(1-EXP(-Inputs!$B$25*Inputs!$B$14*Inputs!$B$17*Inputs!$B$26/(KY32*Inputs!$B$16/0.866)))</f>
        <v>0.00734665756721338</v>
      </c>
      <c r="LH32" s="15" t="n">
        <f aca="false">(LE32-LF32-LG32)*(1-Inputs!$B$19)</f>
        <v>0.00350293479788029</v>
      </c>
      <c r="LI32" s="15" t="n">
        <f aca="false">(LB32+LC32+LD32+LF32+LG32+LH32)*(1+Inputs!$B$27)</f>
        <v>0.303824723147489</v>
      </c>
      <c r="LJ32" s="15" t="n">
        <f aca="false">Inputs!$B$52/(1-LI32-G32)</f>
        <v>193809.643528164</v>
      </c>
      <c r="LK32" s="15" t="n">
        <f aca="false">LJ32/Inputs!$B$34</f>
        <v>323.01607254694</v>
      </c>
      <c r="LL32" s="15" t="n">
        <f aca="false">B32^2/LK32</f>
        <v>12.6804835675933</v>
      </c>
      <c r="LM32" s="15" t="n">
        <f aca="false">Inputs!$B$54*H32/(Inputs!$B$35*F32+E32*H32^2/(PI()*LL32*Inputs!$B$36))</f>
        <v>20.0171860348229</v>
      </c>
      <c r="LN32" s="15" t="n">
        <f aca="false">EXP(-Inputs!$B$11*Inputs!$B$14*Inputs!$B$17/(Inputs!$B$51*LM32*Inputs!$B$16))</f>
        <v>0.76095181326416</v>
      </c>
      <c r="LO32" s="15" t="n">
        <f aca="false">Inputs!$B$50*Inputs!$B$18*LN32*Inputs!$B$19</f>
        <v>0.743544454140949</v>
      </c>
      <c r="LP32" s="15" t="n">
        <f aca="false">1-LO32</f>
        <v>0.256455545859051</v>
      </c>
      <c r="LQ32" s="15" t="n">
        <f aca="false">Inputs!$B$20*LP32</f>
        <v>0.00769366637577154</v>
      </c>
      <c r="LR32" s="15" t="n">
        <f aca="false">0.8*(1-Inputs!$B$50)*(LO32-LQ32)</f>
        <v>0.00177237609421751</v>
      </c>
      <c r="LS32" s="15" t="n">
        <f aca="false">LO32-LQ32-LR32</f>
        <v>0.73407841167096</v>
      </c>
      <c r="LT32" s="15" t="n">
        <f aca="false">LS32*(1-Inputs!$B$18*EXP(-Inputs!$B$21*Inputs!$B$14*Inputs!$B$17/(Inputs!$B$22*Inputs!$B$23*Inputs!$B$24*LM32*Inputs!$B$16))*Inputs!$B$19)</f>
        <v>0.0261447945266611</v>
      </c>
      <c r="LU32" s="15" t="n">
        <f aca="false">(LS32-LT32)*(1-EXP(-Inputs!$B$25*Inputs!$B$14*Inputs!$B$17*Inputs!$B$26/(LM32*Inputs!$B$16/0.866)))</f>
        <v>0.00734665756718876</v>
      </c>
      <c r="LV32" s="15" t="n">
        <f aca="false">(LS32-LT32-LU32)*(1-Inputs!$B$19)</f>
        <v>0.00350293479788555</v>
      </c>
      <c r="LW32" s="15" t="n">
        <f aca="false">(LP32+LQ32+LR32+LT32+LU32+LV32)*(1+Inputs!$B$27)</f>
        <v>0.303824723146438</v>
      </c>
      <c r="LX32" s="15" t="n">
        <f aca="false">Inputs!$B$52/(1-LW32-G32)</f>
        <v>193809.643526954</v>
      </c>
      <c r="LY32" s="15" t="n">
        <f aca="false">LX32/Inputs!$B$34</f>
        <v>323.016072544924</v>
      </c>
      <c r="LZ32" s="15" t="n">
        <f aca="false">B32^2/LY32</f>
        <v>12.6804835676725</v>
      </c>
      <c r="MA32" s="15" t="n">
        <f aca="false">Inputs!$B$54*H32/(Inputs!$B$35*F32+E32*H32^2/(PI()*LZ32*Inputs!$B$36))</f>
        <v>20.0171860348556</v>
      </c>
      <c r="MB32" s="15" t="n">
        <f aca="false">EXP(-Inputs!$B$11*Inputs!$B$14*Inputs!$B$17/(Inputs!$B$51*MA32*Inputs!$B$16))</f>
        <v>0.760951813264499</v>
      </c>
      <c r="MC32" s="15" t="n">
        <f aca="false">Inputs!$B$50*Inputs!$B$18*MB32*Inputs!$B$19</f>
        <v>0.74354445414128</v>
      </c>
      <c r="MD32" s="15" t="n">
        <f aca="false">1-MC32</f>
        <v>0.25645554585872</v>
      </c>
      <c r="ME32" s="15" t="n">
        <f aca="false">Inputs!$B$20*MD32</f>
        <v>0.00769366637576161</v>
      </c>
      <c r="MF32" s="15" t="n">
        <f aca="false">0.8*(1-Inputs!$B$50)*(MC32-ME32)</f>
        <v>0.00177237609421833</v>
      </c>
      <c r="MG32" s="15" t="n">
        <f aca="false">MC32-ME32-MF32</f>
        <v>0.7340784116713</v>
      </c>
      <c r="MH32" s="15" t="n">
        <f aca="false">MG32*(1-Inputs!$B$18*EXP(-Inputs!$B$21*Inputs!$B$14*Inputs!$B$17/(Inputs!$B$22*Inputs!$B$23*Inputs!$B$24*MA32*Inputs!$B$16))*Inputs!$B$19)</f>
        <v>0.0261447945266546</v>
      </c>
      <c r="MI32" s="15" t="n">
        <f aca="false">(MG32-MH32)*(1-EXP(-Inputs!$B$25*Inputs!$B$14*Inputs!$B$17*Inputs!$B$26/(MA32*Inputs!$B$16/0.866)))</f>
        <v>0.00734665756718041</v>
      </c>
      <c r="MJ32" s="15" t="n">
        <f aca="false">(MG32-MH32-MI32)*(1-Inputs!$B$19)</f>
        <v>0.00350293479788733</v>
      </c>
      <c r="MK32" s="15" t="n">
        <f aca="false">(MD32+ME32+MF32+MH32+MI32+MJ32)*(1+Inputs!$B$27)</f>
        <v>0.303824723146084</v>
      </c>
      <c r="ML32" s="15" t="n">
        <f aca="false">Inputs!$B$52/(1-MK32-G32)</f>
        <v>193809.643526546</v>
      </c>
      <c r="MM32" s="15" t="n">
        <f aca="false">ML32/Inputs!$B$34</f>
        <v>323.016072544244</v>
      </c>
      <c r="MN32" s="15" t="n">
        <f aca="false">B32^2/MM32</f>
        <v>12.6804835676991</v>
      </c>
      <c r="MO32" s="15" t="n">
        <f aca="false">Inputs!$B$54*H32/(Inputs!$B$35*F32+E32*H32^2/(PI()*MN32*Inputs!$B$36))</f>
        <v>20.0171860348666</v>
      </c>
      <c r="MP32" s="15" t="n">
        <f aca="false">EXP(-Inputs!$B$11*Inputs!$B$14*Inputs!$B$17/(Inputs!$B$51*MO32*Inputs!$B$16))</f>
        <v>0.760951813264614</v>
      </c>
      <c r="MQ32" s="15" t="n">
        <f aca="false">Inputs!$B$50*Inputs!$B$18*MP32*Inputs!$B$19</f>
        <v>0.743544454141392</v>
      </c>
      <c r="MR32" s="15" t="n">
        <f aca="false">1-MQ32</f>
        <v>0.256455545858608</v>
      </c>
      <c r="MS32" s="15" t="n">
        <f aca="false">Inputs!$B$20*MR32</f>
        <v>0.00769366637575825</v>
      </c>
      <c r="MT32" s="15" t="n">
        <f aca="false">0.8*(1-Inputs!$B$50)*(MQ32-MS32)</f>
        <v>0.00177237609421861</v>
      </c>
      <c r="MU32" s="15" t="n">
        <f aca="false">MQ32-MS32-MT32</f>
        <v>0.734078411671415</v>
      </c>
      <c r="MV32" s="15" t="n">
        <f aca="false">MU32*(1-Inputs!$B$18*EXP(-Inputs!$B$21*Inputs!$B$14*Inputs!$B$17/(Inputs!$B$22*Inputs!$B$23*Inputs!$B$24*MO32*Inputs!$B$16))*Inputs!$B$19)</f>
        <v>0.0261447945266524</v>
      </c>
      <c r="MW32" s="15" t="n">
        <f aca="false">(MU32-MV32)*(1-EXP(-Inputs!$B$25*Inputs!$B$14*Inputs!$B$17*Inputs!$B$26/(MO32*Inputs!$B$16/0.866)))</f>
        <v>0.00734665756717762</v>
      </c>
      <c r="MX32" s="15" t="n">
        <f aca="false">(MU32-MV32-MW32)*(1-Inputs!$B$19)</f>
        <v>0.00350293479788793</v>
      </c>
      <c r="MY32" s="15" t="n">
        <f aca="false">(MR32+MS32+MT32+MV32+MW32+MX32)*(1+Inputs!$B$27)</f>
        <v>0.303824723145964</v>
      </c>
      <c r="MZ32" s="15" t="n">
        <f aca="false">Inputs!$B$52/(1-MY32-G32)</f>
        <v>193809.643526409</v>
      </c>
      <c r="NA32" s="15" t="n">
        <f aca="false">MZ32/Inputs!$B$34</f>
        <v>323.016072544014</v>
      </c>
      <c r="NB32" s="15" t="n">
        <f aca="false">B32^2/NA32</f>
        <v>12.6804835677082</v>
      </c>
      <c r="NC32" s="15" t="n">
        <f aca="false">Inputs!$B$54*H32/(Inputs!$B$35*F32+E32*H32^2/(PI()*NB32*Inputs!$B$36))</f>
        <v>20.0171860348703</v>
      </c>
      <c r="ND32" s="15" t="n">
        <f aca="false">EXP(-Inputs!$B$11*Inputs!$B$14*Inputs!$B$17/(Inputs!$B$51*NC32*Inputs!$B$16))</f>
        <v>0.760951813264652</v>
      </c>
      <c r="NE32" s="15" t="n">
        <f aca="false">Inputs!$B$50*Inputs!$B$18*ND32*Inputs!$B$19</f>
        <v>0.743544454141429</v>
      </c>
      <c r="NF32" s="15" t="n">
        <f aca="false">1-NE32</f>
        <v>0.256455545858571</v>
      </c>
      <c r="NG32" s="15" t="n">
        <f aca="false">Inputs!$B$20*NF32</f>
        <v>0.00769366637575712</v>
      </c>
      <c r="NH32" s="15" t="n">
        <f aca="false">0.8*(1-Inputs!$B$50)*(NE32-NG32)</f>
        <v>0.0017723760942187</v>
      </c>
      <c r="NI32" s="15" t="n">
        <f aca="false">NE32-NG32-NH32</f>
        <v>0.734078411671454</v>
      </c>
      <c r="NJ32" s="15" t="n">
        <f aca="false">NI32*(1-Inputs!$B$18*EXP(-Inputs!$B$21*Inputs!$B$14*Inputs!$B$17/(Inputs!$B$22*Inputs!$B$23*Inputs!$B$24*NC32*Inputs!$B$16))*Inputs!$B$19)</f>
        <v>0.0261447945266517</v>
      </c>
      <c r="NK32" s="15" t="n">
        <f aca="false">(NI32-NJ32)*(1-EXP(-Inputs!$B$25*Inputs!$B$14*Inputs!$B$17*Inputs!$B$26/(NC32*Inputs!$B$16/0.866)))</f>
        <v>0.00734665756717669</v>
      </c>
      <c r="NL32" s="15" t="n">
        <f aca="false">(NI32-NJ32-NK32)*(1-Inputs!$B$19)</f>
        <v>0.00350293479788813</v>
      </c>
      <c r="NM32" s="15" t="n">
        <f aca="false">(NF32+NG32+NH32+NJ32+NK32+NL32)*(1+Inputs!$B$27)</f>
        <v>0.303824723145924</v>
      </c>
      <c r="NN32" s="15" t="n">
        <f aca="false">Inputs!$B$52/(1-NM32-G32)</f>
        <v>193809.643526362</v>
      </c>
    </row>
    <row r="33" customFormat="false" ht="15" hidden="false" customHeight="false" outlineLevel="0" collapsed="false">
      <c r="A33" s="21" t="s">
        <v>501</v>
      </c>
      <c r="B33" s="21" t="n">
        <v>64</v>
      </c>
      <c r="C33" s="22" t="n">
        <v>0.15</v>
      </c>
      <c r="D33" s="23" t="n">
        <f aca="false">B33*C33</f>
        <v>9.6</v>
      </c>
      <c r="E33" s="24" t="n">
        <f aca="false">IF(C33=0,1,(1+0.45*C33)/(1.04+2.81*C33))</f>
        <v>0.73041395826206</v>
      </c>
      <c r="F33" s="24" t="n">
        <f aca="false">1+Inputs!$B$42*D33</f>
        <v>1.048</v>
      </c>
      <c r="G33" s="25" t="n">
        <f aca="false">Inputs!$B$31+Inputs!$B$43*(B33/Inputs!$B$32-1)+Inputs!$B$44+Inputs!$B$45*D33</f>
        <v>0.52976</v>
      </c>
      <c r="H33" s="22" t="n">
        <f aca="false">Inputs!$B$38</f>
        <v>0.5</v>
      </c>
      <c r="I33" s="23" t="n">
        <f aca="false">Inputs!$B$40</f>
        <v>2.4</v>
      </c>
      <c r="J33" s="26" t="n">
        <f aca="false">NN33/Inputs!$B$34</f>
        <v>323.162230398667</v>
      </c>
      <c r="K33" s="23" t="n">
        <f aca="false">B33^2/J33</f>
        <v>12.6747485154654</v>
      </c>
      <c r="L33" s="23" t="n">
        <f aca="false">2*K33</f>
        <v>25.3494970309308</v>
      </c>
      <c r="M33" s="22" t="n">
        <f aca="false">NC33</f>
        <v>20.1882174050653</v>
      </c>
      <c r="N33" s="23" t="n">
        <f aca="false">B33/SQRT(E33)</f>
        <v>74.8851048120828</v>
      </c>
      <c r="O33" s="24" t="n">
        <f aca="false">NM33</f>
        <v>0.301980856804582</v>
      </c>
      <c r="P33" s="23" t="n">
        <f aca="false">NN33/1000</f>
        <v>193.8973382392</v>
      </c>
      <c r="Q33" s="23" t="n">
        <f aca="false">G33*NN33/1000</f>
        <v>102.719053905599</v>
      </c>
      <c r="R33" s="23" t="n">
        <f aca="false">NM33*NN33/1000</f>
        <v>58.5532843336016</v>
      </c>
      <c r="S33" s="23" t="n">
        <f aca="false">NM33*NN33/Inputs!$B$28/1000</f>
        <v>78.0710457781355</v>
      </c>
      <c r="T33" s="27" t="n">
        <f aca="false">R33/Sweep!$R$5-1</f>
        <v>-0.0630968058568006</v>
      </c>
      <c r="U33" s="27" t="n">
        <f aca="false">R33/SUMIFS(Sweep!$R:$R,Sweep!$A:$A,"Conventional",Sweep!$B:$B,B33)-1</f>
        <v>-0.0630968058571102</v>
      </c>
      <c r="V33" s="26" t="n">
        <f aca="false">2*0.54*(J33/2)^1.5/SQRT(L33)*Inputs!$B$46*Inputs!$B$47</f>
        <v>41.1942494774893</v>
      </c>
      <c r="W33" s="28" t="n">
        <f aca="false">MIN(1,V33/S33)</f>
        <v>0.527650796359975</v>
      </c>
      <c r="X33" s="26" t="n">
        <f aca="false">1.23*SQRT(2*Inputs!$B$41*NN33*Inputs!$B$49/(1.225*J33*I33))/0.5144</f>
        <v>133.62967568068</v>
      </c>
      <c r="Y33" s="29" t="n">
        <f aca="false">(11000+6341.6*LN(0.36392/(2*Inputs!$B$50*Inputs!$B$18*(1+ND33)/2*Inputs!$B$34*Inputs!$B$49/((Inputs!$B$12*295.07)^2*H33))))/0.3048</f>
        <v>38510.2145885701</v>
      </c>
      <c r="Z33" s="26" t="n">
        <f aca="false">NN33-MZ33</f>
        <v>-9.19681042432785E-009</v>
      </c>
      <c r="AA33" s="30" t="str">
        <f aca="false">IF(ABS(NN33-MZ33)&lt;10,"Yes","No")</f>
        <v>Yes</v>
      </c>
      <c r="AC33" s="15" t="n">
        <f aca="false">Inputs!$B$52/(1-0.3154-G33)/Inputs!$B$34</f>
        <v>351.168948592095</v>
      </c>
      <c r="AD33" s="15" t="n">
        <f aca="false">B33^2/AC33</f>
        <v>11.6639014252874</v>
      </c>
      <c r="AE33" s="15" t="n">
        <f aca="false">Inputs!$B$54*H33/(Inputs!$B$35*F33+E33*H33^2/(PI()*AD33*Inputs!$B$36))</f>
        <v>19.7711148464488</v>
      </c>
      <c r="AF33" s="15" t="n">
        <f aca="false">EXP(-Inputs!$B$11*Inputs!$B$14*Inputs!$B$17/(Inputs!$B$51*AE33*Inputs!$B$16))</f>
        <v>0.758368923354945</v>
      </c>
      <c r="AG33" s="15" t="n">
        <f aca="false">Inputs!$B$50*Inputs!$B$18*AF33*Inputs!$B$19</f>
        <v>0.7410206498288</v>
      </c>
      <c r="AH33" s="15" t="n">
        <f aca="false">1-AG33</f>
        <v>0.2589793501712</v>
      </c>
      <c r="AI33" s="15" t="n">
        <f aca="false">Inputs!$B$20*AH33</f>
        <v>0.00776938050513601</v>
      </c>
      <c r="AJ33" s="15" t="n">
        <f aca="false">0.8*(1-Inputs!$B$50)*(AG33-AI33)</f>
        <v>0.00176611487330313</v>
      </c>
      <c r="AK33" s="15" t="n">
        <f aca="false">AG33-AI33-AJ33</f>
        <v>0.731485154450361</v>
      </c>
      <c r="AL33" s="15" t="n">
        <f aca="false">AK33*(1-Inputs!$B$18*EXP(-Inputs!$B$21*Inputs!$B$14*Inputs!$B$17/(Inputs!$B$22*Inputs!$B$23*Inputs!$B$24*AE33*Inputs!$B$16))*Inputs!$B$19)</f>
        <v>0.0261941197432479</v>
      </c>
      <c r="AM33" s="15" t="n">
        <f aca="false">(AK33-AL33)*(1-EXP(-Inputs!$B$25*Inputs!$B$14*Inputs!$B$17*Inputs!$B$26/(AE33*Inputs!$B$16/0.866)))</f>
        <v>0.0074098488267727</v>
      </c>
      <c r="AN33" s="15" t="n">
        <f aca="false">(AK33-AL33-AM33)*(1-Inputs!$B$19)</f>
        <v>0.0034894059294017</v>
      </c>
      <c r="AO33" s="15" t="n">
        <f aca="false">(AH33+AI33+AJ33+AL33+AM33+AN33)*(1+Inputs!$B$27)</f>
        <v>0.306525044709209</v>
      </c>
      <c r="AP33" s="15" t="n">
        <f aca="false">Inputs!$B$52/(1-AO33-G33)</f>
        <v>199279.289677912</v>
      </c>
      <c r="AQ33" s="15" t="n">
        <f aca="false">AP33/Inputs!$B$34</f>
        <v>332.132149463187</v>
      </c>
      <c r="AR33" s="15" t="n">
        <f aca="false">B33^2/AQ33</f>
        <v>12.3324405861348</v>
      </c>
      <c r="AS33" s="15" t="n">
        <f aca="false">Inputs!$B$54*H33/(Inputs!$B$35*F33+E33*H33^2/(PI()*AR33*Inputs!$B$36))</f>
        <v>20.0527261018952</v>
      </c>
      <c r="AT33" s="15" t="n">
        <f aca="false">EXP(-Inputs!$B$11*Inputs!$B$14*Inputs!$B$17/(Inputs!$B$51*AS33*Inputs!$B$16))</f>
        <v>0.761320336058318</v>
      </c>
      <c r="AU33" s="15" t="n">
        <f aca="false">Inputs!$B$50*Inputs!$B$18*AT33*Inputs!$B$19</f>
        <v>0.743904546692203</v>
      </c>
      <c r="AV33" s="15" t="n">
        <f aca="false">1-AU33</f>
        <v>0.256095453307797</v>
      </c>
      <c r="AW33" s="15" t="n">
        <f aca="false">Inputs!$B$20*AV33</f>
        <v>0.0076828635992339</v>
      </c>
      <c r="AX33" s="15" t="n">
        <f aca="false">0.8*(1-Inputs!$B$50)*(AU33-AW33)</f>
        <v>0.00177326943567119</v>
      </c>
      <c r="AY33" s="15" t="n">
        <f aca="false">AU33-AW33-AX33</f>
        <v>0.734448413657298</v>
      </c>
      <c r="AZ33" s="15" t="n">
        <f aca="false">AY33*(1-Inputs!$B$18*EXP(-Inputs!$B$21*Inputs!$B$14*Inputs!$B$17/(Inputs!$B$22*Inputs!$B$23*Inputs!$B$24*AS33*Inputs!$B$16))*Inputs!$B$19)</f>
        <v>0.0261377120341494</v>
      </c>
      <c r="BA33" s="15" t="n">
        <f aca="false">(AY33-AZ33)*(1-EXP(-Inputs!$B$25*Inputs!$B$14*Inputs!$B$17*Inputs!$B$26/(AS33*Inputs!$B$16/0.866)))</f>
        <v>0.00733761087111273</v>
      </c>
      <c r="BB33" s="15" t="n">
        <f aca="false">(AY33-AZ33-BA33)*(1-Inputs!$B$19)</f>
        <v>0.00350486545376018</v>
      </c>
      <c r="BC33" s="15" t="n">
        <f aca="false">(AV33+AW33+AX33+AZ33+BA33+BB33)*(1+Inputs!$B$27)</f>
        <v>0.303439370025829</v>
      </c>
      <c r="BD33" s="15" t="n">
        <f aca="false">Inputs!$B$52/(1-BC33-G33)</f>
        <v>195592.786460411</v>
      </c>
      <c r="BE33" s="15" t="n">
        <f aca="false">BD33/Inputs!$B$34</f>
        <v>325.987977434018</v>
      </c>
      <c r="BF33" s="15" t="n">
        <f aca="false">B33^2/BE33</f>
        <v>12.564880558606</v>
      </c>
      <c r="BG33" s="15" t="n">
        <f aca="false">Inputs!$B$54*H33/(Inputs!$B$35*F33+E33*H33^2/(PI()*BF33*Inputs!$B$36))</f>
        <v>20.145337156474</v>
      </c>
      <c r="BH33" s="15" t="n">
        <f aca="false">EXP(-Inputs!$B$11*Inputs!$B$14*Inputs!$B$17/(Inputs!$B$51*BG33*Inputs!$B$16))</f>
        <v>0.762275361220966</v>
      </c>
      <c r="BI33" s="15" t="n">
        <f aca="false">Inputs!$B$50*Inputs!$B$18*BH33*Inputs!$B$19</f>
        <v>0.744837724918308</v>
      </c>
      <c r="BJ33" s="15" t="n">
        <f aca="false">1-BI33</f>
        <v>0.255162275081693</v>
      </c>
      <c r="BK33" s="15" t="n">
        <f aca="false">Inputs!$B$20*BJ33</f>
        <v>0.00765486825245078</v>
      </c>
      <c r="BL33" s="15" t="n">
        <f aca="false">0.8*(1-Inputs!$B$50)*(BI33-BK33)</f>
        <v>0.00177558452602824</v>
      </c>
      <c r="BM33" s="15" t="n">
        <f aca="false">BI33-BK33-BL33</f>
        <v>0.735407272139829</v>
      </c>
      <c r="BN33" s="15" t="n">
        <f aca="false">BM33*(1-Inputs!$B$18*EXP(-Inputs!$B$21*Inputs!$B$14*Inputs!$B$17/(Inputs!$B$22*Inputs!$B$23*Inputs!$B$24*BG33*Inputs!$B$16))*Inputs!$B$19)</f>
        <v>0.0261193057562358</v>
      </c>
      <c r="BO33" s="15" t="n">
        <f aca="false">(BM33-BN33)*(1-EXP(-Inputs!$B$25*Inputs!$B$14*Inputs!$B$17*Inputs!$B$26/(BG33*Inputs!$B$16/0.866)))</f>
        <v>0.00731413081683052</v>
      </c>
      <c r="BP33" s="15" t="n">
        <f aca="false">(BM33-BN33-BO33)*(1-Inputs!$B$19)</f>
        <v>0.00350986917783381</v>
      </c>
      <c r="BQ33" s="15" t="n">
        <f aca="false">(BJ33+BK33+BL33+BN33+BO33+BP33)*(1+Inputs!$B$27)</f>
        <v>0.302440641711905</v>
      </c>
      <c r="BR33" s="15" t="n">
        <f aca="false">Inputs!$B$52/(1-BQ33-G33)</f>
        <v>194428.633892545</v>
      </c>
      <c r="BS33" s="15" t="n">
        <f aca="false">BR33/Inputs!$B$34</f>
        <v>324.047723154241</v>
      </c>
      <c r="BT33" s="15" t="n">
        <f aca="false">B33^2/BS33</f>
        <v>12.640113499734</v>
      </c>
      <c r="BU33" s="15" t="n">
        <f aca="false">Inputs!$B$54*H33/(Inputs!$B$35*F33+E33*H33^2/(PI()*BT33*Inputs!$B$36))</f>
        <v>20.1747605716757</v>
      </c>
      <c r="BV33" s="15" t="n">
        <f aca="false">EXP(-Inputs!$B$11*Inputs!$B$14*Inputs!$B$17/(Inputs!$B$51*BU33*Inputs!$B$16))</f>
        <v>0.762577195293435</v>
      </c>
      <c r="BW33" s="15" t="n">
        <f aca="false">Inputs!$B$50*Inputs!$B$18*BV33*Inputs!$B$19</f>
        <v>0.745132654303773</v>
      </c>
      <c r="BX33" s="15" t="n">
        <f aca="false">1-BW33</f>
        <v>0.254867345696227</v>
      </c>
      <c r="BY33" s="15" t="n">
        <f aca="false">Inputs!$B$20*BX33</f>
        <v>0.00764602037088681</v>
      </c>
      <c r="BZ33" s="15" t="n">
        <f aca="false">0.8*(1-Inputs!$B$50)*(BW33-BY33)</f>
        <v>0.00177631620638382</v>
      </c>
      <c r="CA33" s="15" t="n">
        <f aca="false">BW33-BY33-BZ33</f>
        <v>0.735710317726502</v>
      </c>
      <c r="CB33" s="15" t="n">
        <f aca="false">CA33*(1-Inputs!$B$18*EXP(-Inputs!$B$21*Inputs!$B$14*Inputs!$B$17/(Inputs!$B$22*Inputs!$B$23*Inputs!$B$24*BU33*Inputs!$B$16))*Inputs!$B$19)</f>
        <v>0.0261134728787665</v>
      </c>
      <c r="CC33" s="15" t="n">
        <f aca="false">(CA33-CB33)*(1-EXP(-Inputs!$B$25*Inputs!$B$14*Inputs!$B$17*Inputs!$B$26/(BU33*Inputs!$B$16/0.866)))</f>
        <v>0.00730669931335625</v>
      </c>
      <c r="CD33" s="15" t="n">
        <f aca="false">(CA33-CB33-CC33)*(1-Inputs!$B$19)</f>
        <v>0.0035114507276719</v>
      </c>
      <c r="CE33" s="15" t="n">
        <f aca="false">(BX33+BY33+BZ33+CB33+CC33+CD33)*(1+Inputs!$B$27)</f>
        <v>0.302124969108872</v>
      </c>
      <c r="CF33" s="15" t="n">
        <f aca="false">Inputs!$B$52/(1-CE33-G33)</f>
        <v>194063.551766101</v>
      </c>
      <c r="CG33" s="15" t="n">
        <f aca="false">CF33/Inputs!$B$34</f>
        <v>323.439252943501</v>
      </c>
      <c r="CH33" s="15" t="n">
        <f aca="false">B33^2/CG33</f>
        <v>12.6638927177942</v>
      </c>
      <c r="CI33" s="15" t="n">
        <f aca="false">Inputs!$B$54*H33/(Inputs!$B$35*F33+E33*H33^2/(PI()*CH33*Inputs!$B$36))</f>
        <v>20.184005564284</v>
      </c>
      <c r="CJ33" s="15" t="n">
        <f aca="false">EXP(-Inputs!$B$11*Inputs!$B$14*Inputs!$B$17/(Inputs!$B$51*CI33*Inputs!$B$16))</f>
        <v>0.762671876079865</v>
      </c>
      <c r="CK33" s="15" t="n">
        <f aca="false">Inputs!$B$50*Inputs!$B$18*CJ33*Inputs!$B$19</f>
        <v>0.745225169194252</v>
      </c>
      <c r="CL33" s="15" t="n">
        <f aca="false">1-CK33</f>
        <v>0.254774830805748</v>
      </c>
      <c r="CM33" s="15" t="n">
        <f aca="false">Inputs!$B$20*CL33</f>
        <v>0.00764324492417244</v>
      </c>
      <c r="CN33" s="15" t="n">
        <f aca="false">0.8*(1-Inputs!$B$50)*(CK33-CM33)</f>
        <v>0.00177654572345231</v>
      </c>
      <c r="CO33" s="15" t="n">
        <f aca="false">CK33-CM33-CN33</f>
        <v>0.735805378546627</v>
      </c>
      <c r="CP33" s="15" t="n">
        <f aca="false">CO33*(1-Inputs!$B$18*EXP(-Inputs!$B$21*Inputs!$B$14*Inputs!$B$17/(Inputs!$B$22*Inputs!$B$23*Inputs!$B$24*CI33*Inputs!$B$16))*Inputs!$B$19)</f>
        <v>0.026111641649885</v>
      </c>
      <c r="CQ33" s="15" t="n">
        <f aca="false">(CO33-CP33)*(1-EXP(-Inputs!$B$25*Inputs!$B$14*Inputs!$B$17*Inputs!$B$26/(CI33*Inputs!$B$16/0.866)))</f>
        <v>0.00730436710742964</v>
      </c>
      <c r="CR33" s="15" t="n">
        <f aca="false">(CO33-CP33-CQ33)*(1-Inputs!$B$19)</f>
        <v>0.00351194684894657</v>
      </c>
      <c r="CS33" s="15" t="n">
        <f aca="false">(CL33+CM33+CN33+CP33+CQ33+CR33)*(1+Inputs!$B$27)</f>
        <v>0.302025944790813</v>
      </c>
      <c r="CT33" s="15" t="n">
        <f aca="false">Inputs!$B$52/(1-CS33-G33)</f>
        <v>193949.310355953</v>
      </c>
      <c r="CU33" s="15" t="n">
        <f aca="false">CT33/Inputs!$B$34</f>
        <v>323.248850593254</v>
      </c>
      <c r="CV33" s="15" t="n">
        <f aca="false">B33^2/CU33</f>
        <v>12.6713520944705</v>
      </c>
      <c r="CW33" s="15" t="n">
        <f aca="false">Inputs!$B$54*H33/(Inputs!$B$35*F33+E33*H33^2/(PI()*CV33*Inputs!$B$36))</f>
        <v>20.1869002458779</v>
      </c>
      <c r="CX33" s="15" t="n">
        <f aca="false">EXP(-Inputs!$B$11*Inputs!$B$14*Inputs!$B$17/(Inputs!$B$51*CW33*Inputs!$B$16))</f>
        <v>0.762701505983241</v>
      </c>
      <c r="CY33" s="15" t="n">
        <f aca="false">Inputs!$B$50*Inputs!$B$18*CX33*Inputs!$B$19</f>
        <v>0.745254121290755</v>
      </c>
      <c r="CZ33" s="15" t="n">
        <f aca="false">1-CY33</f>
        <v>0.254745878709245</v>
      </c>
      <c r="DA33" s="15" t="n">
        <f aca="false">Inputs!$B$20*CZ33</f>
        <v>0.00764237636127734</v>
      </c>
      <c r="DB33" s="15" t="n">
        <f aca="false">0.8*(1-Inputs!$B$50)*(CY33-DA33)</f>
        <v>0.0017766175497311</v>
      </c>
      <c r="DC33" s="15" t="n">
        <f aca="false">CY33-DA33-DB33</f>
        <v>0.735835127379747</v>
      </c>
      <c r="DD33" s="15" t="n">
        <f aca="false">DC33*(1-Inputs!$B$18*EXP(-Inputs!$B$21*Inputs!$B$14*Inputs!$B$17/(Inputs!$B$22*Inputs!$B$23*Inputs!$B$24*CW33*Inputs!$B$16))*Inputs!$B$19)</f>
        <v>0.0261110684240905</v>
      </c>
      <c r="DE33" s="15" t="n">
        <f aca="false">(DC33-DD33)*(1-EXP(-Inputs!$B$25*Inputs!$B$14*Inputs!$B$17*Inputs!$B$26/(CW33*Inputs!$B$16/0.866)))</f>
        <v>0.00730363715108822</v>
      </c>
      <c r="DF33" s="15" t="n">
        <f aca="false">(DC33-DD33-DE33)*(1-Inputs!$B$19)</f>
        <v>0.00351210210902284</v>
      </c>
      <c r="DG33" s="15" t="n">
        <f aca="false">(CZ33+DA33+DB33+DD33+DE33+DF33)*(1+Inputs!$B$27)</f>
        <v>0.301994955345368</v>
      </c>
      <c r="DH33" s="15" t="n">
        <f aca="false">Inputs!$B$52/(1-DG33-G33)</f>
        <v>193913.586382122</v>
      </c>
      <c r="DI33" s="15" t="n">
        <f aca="false">DH33/Inputs!$B$34</f>
        <v>323.189310636871</v>
      </c>
      <c r="DJ33" s="15" t="n">
        <f aca="false">B33^2/DI33</f>
        <v>12.6736864902137</v>
      </c>
      <c r="DK33" s="15" t="n">
        <f aca="false">Inputs!$B$54*H33/(Inputs!$B$35*F33+E33*H33^2/(PI()*DJ33*Inputs!$B$36))</f>
        <v>20.1878056005847</v>
      </c>
      <c r="DL33" s="15" t="n">
        <f aca="false">EXP(-Inputs!$B$11*Inputs!$B$14*Inputs!$B$17/(Inputs!$B$51*DK33*Inputs!$B$16))</f>
        <v>0.76271077166792</v>
      </c>
      <c r="DM33" s="15" t="n">
        <f aca="false">Inputs!$B$50*Inputs!$B$18*DL33*Inputs!$B$19</f>
        <v>0.745263175015756</v>
      </c>
      <c r="DN33" s="15" t="n">
        <f aca="false">1-DM33</f>
        <v>0.254736824984244</v>
      </c>
      <c r="DO33" s="15" t="n">
        <f aca="false">Inputs!$B$20*DN33</f>
        <v>0.00764210474952731</v>
      </c>
      <c r="DP33" s="15" t="n">
        <f aca="false">0.8*(1-Inputs!$B$50)*(DM33-DO33)</f>
        <v>0.0017766400108118</v>
      </c>
      <c r="DQ33" s="15" t="n">
        <f aca="false">DM33-DO33-DP33</f>
        <v>0.735844430255417</v>
      </c>
      <c r="DR33" s="15" t="n">
        <f aca="false">DQ33*(1-Inputs!$B$18*EXP(-Inputs!$B$21*Inputs!$B$14*Inputs!$B$17/(Inputs!$B$22*Inputs!$B$23*Inputs!$B$24*DK33*Inputs!$B$16))*Inputs!$B$19)</f>
        <v>0.026110889153565</v>
      </c>
      <c r="DS33" s="15" t="n">
        <f aca="false">(DQ33-DR33)*(1-EXP(-Inputs!$B$25*Inputs!$B$14*Inputs!$B$17*Inputs!$B$26/(DK33*Inputs!$B$16/0.866)))</f>
        <v>0.00730340887341234</v>
      </c>
      <c r="DT33" s="15" t="n">
        <f aca="false">(DQ33-DR33-DS33)*(1-Inputs!$B$19)</f>
        <v>0.0035121506611422</v>
      </c>
      <c r="DU33" s="15" t="n">
        <f aca="false">(DN33+DO33+DP33+DR33+DS33+DT33)*(1+Inputs!$B$27)</f>
        <v>0.301985264488</v>
      </c>
      <c r="DV33" s="15" t="n">
        <f aca="false">Inputs!$B$52/(1-DU33-G33)</f>
        <v>193902.417668793</v>
      </c>
      <c r="DW33" s="15" t="n">
        <f aca="false">DV33/Inputs!$B$34</f>
        <v>323.170696114655</v>
      </c>
      <c r="DX33" s="15" t="n">
        <f aca="false">B33^2/DW33</f>
        <v>12.6744164902464</v>
      </c>
      <c r="DY33" s="15" t="n">
        <f aca="false">Inputs!$B$54*H33/(Inputs!$B$35*F33+E33*H33^2/(PI()*DX33*Inputs!$B$36))</f>
        <v>20.1880886665872</v>
      </c>
      <c r="DZ33" s="15" t="n">
        <f aca="false">EXP(-Inputs!$B$11*Inputs!$B$14*Inputs!$B$17/(Inputs!$B$51*DY33*Inputs!$B$16))</f>
        <v>0.762713668506933</v>
      </c>
      <c r="EA33" s="15" t="n">
        <f aca="false">Inputs!$B$50*Inputs!$B$18*DZ33*Inputs!$B$19</f>
        <v>0.745266005587345</v>
      </c>
      <c r="EB33" s="15" t="n">
        <f aca="false">1-EA33</f>
        <v>0.254733994412655</v>
      </c>
      <c r="EC33" s="15" t="n">
        <f aca="false">Inputs!$B$20*EB33</f>
        <v>0.00764201983237966</v>
      </c>
      <c r="ED33" s="15" t="n">
        <f aca="false">0.8*(1-Inputs!$B$50)*(EA33-EC33)</f>
        <v>0.0017766470330813</v>
      </c>
      <c r="EE33" s="15" t="n">
        <f aca="false">EA33-EC33-ED33</f>
        <v>0.735847338721884</v>
      </c>
      <c r="EF33" s="15" t="n">
        <f aca="false">EE33*(1-Inputs!$B$18*EXP(-Inputs!$B$21*Inputs!$B$14*Inputs!$B$17/(Inputs!$B$22*Inputs!$B$23*Inputs!$B$24*DY33*Inputs!$B$16))*Inputs!$B$19)</f>
        <v>0.0261108331046826</v>
      </c>
      <c r="EG33" s="15" t="n">
        <f aca="false">(EE33-EF33)*(1-EXP(-Inputs!$B$25*Inputs!$B$14*Inputs!$B$17*Inputs!$B$26/(DY33*Inputs!$B$16/0.866)))</f>
        <v>0.00730333750331096</v>
      </c>
      <c r="EH33" s="15" t="n">
        <f aca="false">(EE33-EF33-EG33)*(1-Inputs!$B$19)</f>
        <v>0.00351216584056945</v>
      </c>
      <c r="EI33" s="15" t="n">
        <f aca="false">(EB33+EC33+ED33+EF33+EG33+EH33)*(1+Inputs!$B$27)</f>
        <v>0.301982234719859</v>
      </c>
      <c r="EJ33" s="15" t="n">
        <f aca="false">Inputs!$B$52/(1-EI33-G33)</f>
        <v>193898.926124931</v>
      </c>
      <c r="EK33" s="15" t="n">
        <f aca="false">EJ33/Inputs!$B$34</f>
        <v>323.164876874885</v>
      </c>
      <c r="EL33" s="15" t="n">
        <f aca="false">B33^2/EK33</f>
        <v>12.6746447188498</v>
      </c>
      <c r="EM33" s="15" t="n">
        <f aca="false">Inputs!$B$54*H33/(Inputs!$B$35*F33+E33*H33^2/(PI()*EL33*Inputs!$B$36))</f>
        <v>20.1881771598204</v>
      </c>
      <c r="EN33" s="15" t="n">
        <f aca="false">EXP(-Inputs!$B$11*Inputs!$B$14*Inputs!$B$17/(Inputs!$B$51*EM33*Inputs!$B$16))</f>
        <v>0.762714574113997</v>
      </c>
      <c r="EO33" s="15" t="n">
        <f aca="false">Inputs!$B$50*Inputs!$B$18*EN33*Inputs!$B$19</f>
        <v>0.745266890477949</v>
      </c>
      <c r="EP33" s="15" t="n">
        <f aca="false">1-EO33</f>
        <v>0.254733109522051</v>
      </c>
      <c r="EQ33" s="15" t="n">
        <f aca="false">Inputs!$B$20*EP33</f>
        <v>0.00764199328566153</v>
      </c>
      <c r="ER33" s="15" t="n">
        <f aca="false">0.8*(1-Inputs!$B$50)*(EO33-EQ33)</f>
        <v>0.00177664922837652</v>
      </c>
      <c r="ES33" s="15" t="n">
        <f aca="false">EO33-EQ33-ER33</f>
        <v>0.735848247963911</v>
      </c>
      <c r="ET33" s="15" t="n">
        <f aca="false">ES33*(1-Inputs!$B$18*EXP(-Inputs!$B$21*Inputs!$B$14*Inputs!$B$17/(Inputs!$B$22*Inputs!$B$23*Inputs!$B$24*EM33*Inputs!$B$16))*Inputs!$B$19)</f>
        <v>0.0261108155825927</v>
      </c>
      <c r="EU33" s="15" t="n">
        <f aca="false">(ES33-ET33)*(1-EXP(-Inputs!$B$25*Inputs!$B$14*Inputs!$B$17*Inputs!$B$26/(EM33*Inputs!$B$16/0.866)))</f>
        <v>0.00730331519156081</v>
      </c>
      <c r="EV33" s="15" t="n">
        <f aca="false">(ES33-ET33-EU33)*(1-Inputs!$B$19)</f>
        <v>0.00351217058594879</v>
      </c>
      <c r="EW33" s="15" t="n">
        <f aca="false">(EP33+EQ33+ER33+ET33+EU33+EV33)*(1+Inputs!$B$27)</f>
        <v>0.30198128755638</v>
      </c>
      <c r="EX33" s="15" t="n">
        <f aca="false">Inputs!$B$52/(1-EW33-G33)</f>
        <v>193897.834627327</v>
      </c>
      <c r="EY33" s="15" t="n">
        <f aca="false">EX33/Inputs!$B$34</f>
        <v>323.163057712211</v>
      </c>
      <c r="EZ33" s="15" t="n">
        <f aca="false">B33^2/EY33</f>
        <v>12.6747160674771</v>
      </c>
      <c r="FA33" s="15" t="n">
        <f aca="false">Inputs!$B$54*H33/(Inputs!$B$35*F33+E33*H33^2/(PI()*EZ33*Inputs!$B$36))</f>
        <v>20.1882048240033</v>
      </c>
      <c r="FB33" s="15" t="n">
        <f aca="false">EXP(-Inputs!$B$11*Inputs!$B$14*Inputs!$B$17/(Inputs!$B$51*FA33*Inputs!$B$16))</f>
        <v>0.762714857217618</v>
      </c>
      <c r="FC33" s="15" t="n">
        <f aca="false">Inputs!$B$50*Inputs!$B$18*FB33*Inputs!$B$19</f>
        <v>0.745267167105357</v>
      </c>
      <c r="FD33" s="15" t="n">
        <f aca="false">1-FC33</f>
        <v>0.254732832894643</v>
      </c>
      <c r="FE33" s="15" t="n">
        <f aca="false">Inputs!$B$20*FD33</f>
        <v>0.0076419849868393</v>
      </c>
      <c r="FF33" s="15" t="n">
        <f aca="false">0.8*(1-Inputs!$B$50)*(FC33-FE33)</f>
        <v>0.00177664991465212</v>
      </c>
      <c r="FG33" s="15" t="n">
        <f aca="false">FC33-FE33-FF33</f>
        <v>0.735848532203865</v>
      </c>
      <c r="FH33" s="15" t="n">
        <f aca="false">FG33*(1-Inputs!$B$18*EXP(-Inputs!$B$21*Inputs!$B$14*Inputs!$B$17/(Inputs!$B$22*Inputs!$B$23*Inputs!$B$24*FA33*Inputs!$B$16))*Inputs!$B$19)</f>
        <v>0.0261108101049636</v>
      </c>
      <c r="FI33" s="15" t="n">
        <f aca="false">(FG33-FH33)*(1-EXP(-Inputs!$B$25*Inputs!$B$14*Inputs!$B$17*Inputs!$B$26/(FA33*Inputs!$B$16/0.866)))</f>
        <v>0.00730330821663083</v>
      </c>
      <c r="FJ33" s="15" t="n">
        <f aca="false">(FG33-FH33-FI33)*(1-Inputs!$B$19)</f>
        <v>0.00351217206941136</v>
      </c>
      <c r="FK33" s="15" t="n">
        <f aca="false">(FD33+FE33+FF33+FH33+FI33+FJ33)*(1+Inputs!$B$27)</f>
        <v>0.301980991461702</v>
      </c>
      <c r="FL33" s="15" t="n">
        <f aca="false">Inputs!$B$52/(1-FK33-G33)</f>
        <v>193897.493414589</v>
      </c>
      <c r="FM33" s="15" t="n">
        <f aca="false">FL33/Inputs!$B$34</f>
        <v>323.162489024315</v>
      </c>
      <c r="FN33" s="15" t="n">
        <f aca="false">B33^2/FM33</f>
        <v>12.6747383719148</v>
      </c>
      <c r="FO33" s="15" t="n">
        <f aca="false">Inputs!$B$54*H33/(Inputs!$B$35*F33+E33*H33^2/(PI()*FN33*Inputs!$B$36))</f>
        <v>20.1882134721107</v>
      </c>
      <c r="FP33" s="15" t="n">
        <f aca="false">EXP(-Inputs!$B$11*Inputs!$B$14*Inputs!$B$17/(Inputs!$B$51*FO33*Inputs!$B$16))</f>
        <v>0.762714945718577</v>
      </c>
      <c r="FQ33" s="15" t="n">
        <f aca="false">Inputs!$B$50*Inputs!$B$18*FP33*Inputs!$B$19</f>
        <v>0.745267253581789</v>
      </c>
      <c r="FR33" s="15" t="n">
        <f aca="false">1-FQ33</f>
        <v>0.254732746418212</v>
      </c>
      <c r="FS33" s="15" t="n">
        <f aca="false">Inputs!$B$20*FR33</f>
        <v>0.00764198239254635</v>
      </c>
      <c r="FT33" s="15" t="n">
        <f aca="false">0.8*(1-Inputs!$B$50)*(FQ33-FS33)</f>
        <v>0.00177665012918858</v>
      </c>
      <c r="FU33" s="15" t="n">
        <f aca="false">FQ33-FS33-FT33</f>
        <v>0.735848621060054</v>
      </c>
      <c r="FV33" s="15" t="n">
        <f aca="false">FU33*(1-Inputs!$B$18*EXP(-Inputs!$B$21*Inputs!$B$14*Inputs!$B$17/(Inputs!$B$22*Inputs!$B$23*Inputs!$B$24*FO33*Inputs!$B$16))*Inputs!$B$19)</f>
        <v>0.0261108083926019</v>
      </c>
      <c r="FW33" s="15" t="n">
        <f aca="false">(FU33-FV33)*(1-EXP(-Inputs!$B$25*Inputs!$B$14*Inputs!$B$17*Inputs!$B$26/(FO33*Inputs!$B$16/0.866)))</f>
        <v>0.00730330603619865</v>
      </c>
      <c r="FX33" s="15" t="n">
        <f aca="false">(FU33-FV33-FW33)*(1-Inputs!$B$19)</f>
        <v>0.00351217253315627</v>
      </c>
      <c r="FY33" s="15" t="n">
        <f aca="false">(FR33+FS33+FT33+FV33+FW33+FX33)*(1+Inputs!$B$27)</f>
        <v>0.301980898899609</v>
      </c>
      <c r="FZ33" s="15" t="n">
        <f aca="false">Inputs!$B$52/(1-FY33-G33)</f>
        <v>193897.386748396</v>
      </c>
      <c r="GA33" s="15" t="n">
        <f aca="false">FZ33/Inputs!$B$34</f>
        <v>323.162311247327</v>
      </c>
      <c r="GB33" s="15" t="n">
        <f aca="false">B33^2/GA33</f>
        <v>12.6747453445003</v>
      </c>
      <c r="GC33" s="15" t="n">
        <f aca="false">Inputs!$B$54*H33/(Inputs!$B$35*F33+E33*H33^2/(PI()*GB33*Inputs!$B$36))</f>
        <v>20.188216175589</v>
      </c>
      <c r="GD33" s="15" t="n">
        <f aca="false">EXP(-Inputs!$B$11*Inputs!$B$14*Inputs!$B$17/(Inputs!$B$51*GC33*Inputs!$B$16))</f>
        <v>0.762714973384781</v>
      </c>
      <c r="GE33" s="15" t="n">
        <f aca="false">Inputs!$B$50*Inputs!$B$18*GD33*Inputs!$B$19</f>
        <v>0.745267280615107</v>
      </c>
      <c r="GF33" s="15" t="n">
        <f aca="false">1-GE33</f>
        <v>0.254732719384893</v>
      </c>
      <c r="GG33" s="15" t="n">
        <f aca="false">Inputs!$B$20*GF33</f>
        <v>0.0076419815815468</v>
      </c>
      <c r="GH33" s="15" t="n">
        <f aca="false">0.8*(1-Inputs!$B$50)*(GE33-GG33)</f>
        <v>0.00177665019625463</v>
      </c>
      <c r="GI33" s="15" t="n">
        <f aca="false">GE33-GG33-GH33</f>
        <v>0.735848648837305</v>
      </c>
      <c r="GJ33" s="15" t="n">
        <f aca="false">GI33*(1-Inputs!$B$18*EXP(-Inputs!$B$21*Inputs!$B$14*Inputs!$B$17/(Inputs!$B$22*Inputs!$B$23*Inputs!$B$24*GC33*Inputs!$B$16))*Inputs!$B$19)</f>
        <v>0.0261108078573018</v>
      </c>
      <c r="GK33" s="15" t="n">
        <f aca="false">(GI33-GJ33)*(1-EXP(-Inputs!$B$25*Inputs!$B$14*Inputs!$B$17*Inputs!$B$26/(GC33*Inputs!$B$16/0.866)))</f>
        <v>0.00730330535457561</v>
      </c>
      <c r="GL33" s="15" t="n">
        <f aca="false">(GI33-GJ33-GK33)*(1-Inputs!$B$19)</f>
        <v>0.00351217267812714</v>
      </c>
      <c r="GM33" s="15" t="n">
        <f aca="false">(GF33+GG33+GH33+GJ33+GK33+GL33)*(1+Inputs!$B$27)</f>
        <v>0.301980869963858</v>
      </c>
      <c r="GN33" s="15" t="n">
        <f aca="false">Inputs!$B$52/(1-GM33-G33)</f>
        <v>193897.353403599</v>
      </c>
      <c r="GO33" s="15" t="n">
        <f aca="false">GN33/Inputs!$B$34</f>
        <v>323.162255672665</v>
      </c>
      <c r="GP33" s="15" t="n">
        <f aca="false">B33^2/GO33</f>
        <v>12.6747475241938</v>
      </c>
      <c r="GQ33" s="15" t="n">
        <f aca="false">Inputs!$B$54*H33/(Inputs!$B$35*F33+E33*H33^2/(PI()*GP33*Inputs!$B$36))</f>
        <v>20.1882170207204</v>
      </c>
      <c r="GR33" s="15" t="n">
        <f aca="false">EXP(-Inputs!$B$11*Inputs!$B$14*Inputs!$B$17/(Inputs!$B$51*GQ33*Inputs!$B$16))</f>
        <v>0.762714982033482</v>
      </c>
      <c r="GS33" s="15" t="n">
        <f aca="false">Inputs!$B$50*Inputs!$B$18*GR33*Inputs!$B$19</f>
        <v>0.745267289065962</v>
      </c>
      <c r="GT33" s="15" t="n">
        <f aca="false">1-GS33</f>
        <v>0.254732710934038</v>
      </c>
      <c r="GU33" s="15" t="n">
        <f aca="false">Inputs!$B$20*GT33</f>
        <v>0.00764198132802115</v>
      </c>
      <c r="GV33" s="15" t="n">
        <f aca="false">0.8*(1-Inputs!$B$50)*(GS33-GU33)</f>
        <v>0.00177665021722007</v>
      </c>
      <c r="GW33" s="15" t="n">
        <f aca="false">GS33-GU33-GV33</f>
        <v>0.735848657520721</v>
      </c>
      <c r="GX33" s="15" t="n">
        <f aca="false">GW33*(1-Inputs!$B$18*EXP(-Inputs!$B$21*Inputs!$B$14*Inputs!$B$17/(Inputs!$B$22*Inputs!$B$23*Inputs!$B$24*GQ33*Inputs!$B$16))*Inputs!$B$19)</f>
        <v>0.0261108076899623</v>
      </c>
      <c r="GY33" s="15" t="n">
        <f aca="false">(GW33-GX33)*(1-EXP(-Inputs!$B$25*Inputs!$B$14*Inputs!$B$17*Inputs!$B$26/(GQ33*Inputs!$B$16/0.866)))</f>
        <v>0.00730330514149421</v>
      </c>
      <c r="GZ33" s="15" t="n">
        <f aca="false">(GW33-GX33-GY33)*(1-Inputs!$B$19)</f>
        <v>0.00351217272344632</v>
      </c>
      <c r="HA33" s="15" t="n">
        <f aca="false">(GT33+GU33+GV33+GX33+GY33+GZ33)*(1+Inputs!$B$27)</f>
        <v>0.301980860918285</v>
      </c>
      <c r="HB33" s="15" t="n">
        <f aca="false">Inputs!$B$52/(1-HA33-G33)</f>
        <v>193897.342979722</v>
      </c>
      <c r="HC33" s="15" t="n">
        <f aca="false">HB33/Inputs!$B$34</f>
        <v>323.162238299536</v>
      </c>
      <c r="HD33" s="15" t="n">
        <f aca="false">B33^2/HC33</f>
        <v>12.6747482055854</v>
      </c>
      <c r="HE33" s="15" t="n">
        <f aca="false">Inputs!$B$54*H33/(Inputs!$B$35*F33+E33*H33^2/(PI()*HD33*Inputs!$B$36))</f>
        <v>20.1882172849159</v>
      </c>
      <c r="HF33" s="15" t="n">
        <f aca="false">EXP(-Inputs!$B$11*Inputs!$B$14*Inputs!$B$17/(Inputs!$B$51*HE33*Inputs!$B$16))</f>
        <v>0.762714984737142</v>
      </c>
      <c r="HG33" s="15" t="n">
        <f aca="false">Inputs!$B$50*Inputs!$B$18*HF33*Inputs!$B$19</f>
        <v>0.745267291707773</v>
      </c>
      <c r="HH33" s="15" t="n">
        <f aca="false">1-HG33</f>
        <v>0.254732708292227</v>
      </c>
      <c r="HI33" s="15" t="n">
        <f aca="false">Inputs!$B$20*HH33</f>
        <v>0.0076419812487668</v>
      </c>
      <c r="HJ33" s="15" t="n">
        <f aca="false">0.8*(1-Inputs!$B$50)*(HG33-HI33)</f>
        <v>0.00177665022377405</v>
      </c>
      <c r="HK33" s="15" t="n">
        <f aca="false">HG33-HI33-HJ33</f>
        <v>0.735848660235232</v>
      </c>
      <c r="HL33" s="15" t="n">
        <f aca="false">HK33*(1-Inputs!$B$18*EXP(-Inputs!$B$21*Inputs!$B$14*Inputs!$B$17/(Inputs!$B$22*Inputs!$B$23*Inputs!$B$24*HE33*Inputs!$B$16))*Inputs!$B$19)</f>
        <v>0.0261108076376505</v>
      </c>
      <c r="HM33" s="15" t="n">
        <f aca="false">(HK33-HL33)*(1-EXP(-Inputs!$B$25*Inputs!$B$14*Inputs!$B$17*Inputs!$B$26/(HE33*Inputs!$B$16/0.866)))</f>
        <v>0.0073033050748831</v>
      </c>
      <c r="HN33" s="15" t="n">
        <f aca="false">(HK33-HL33-HM33)*(1-Inputs!$B$19)</f>
        <v>0.0035121727376135</v>
      </c>
      <c r="HO33" s="15" t="n">
        <f aca="false">(HH33+HI33+HJ33+HL33+HM33+HN33)*(1+Inputs!$B$27)</f>
        <v>0.301980858090559</v>
      </c>
      <c r="HP33" s="15" t="n">
        <f aca="false">Inputs!$B$52/(1-HO33-G33)</f>
        <v>193897.339721126</v>
      </c>
      <c r="HQ33" s="15" t="n">
        <f aca="false">HP33/Inputs!$B$34</f>
        <v>323.162232868544</v>
      </c>
      <c r="HR33" s="15" t="n">
        <f aca="false">B33^2/HQ33</f>
        <v>12.6747484185944</v>
      </c>
      <c r="HS33" s="15" t="n">
        <f aca="false">Inputs!$B$54*H33/(Inputs!$B$35*F33+E33*H33^2/(PI()*HR33*Inputs!$B$36))</f>
        <v>20.1882173675057</v>
      </c>
      <c r="HT33" s="15" t="n">
        <f aca="false">EXP(-Inputs!$B$11*Inputs!$B$14*Inputs!$B$17/(Inputs!$B$51*HS33*Inputs!$B$16))</f>
        <v>0.76271498558233</v>
      </c>
      <c r="HU33" s="15" t="n">
        <f aca="false">Inputs!$B$50*Inputs!$B$18*HT33*Inputs!$B$19</f>
        <v>0.745267292533627</v>
      </c>
      <c r="HV33" s="15" t="n">
        <f aca="false">1-HU33</f>
        <v>0.254732707466373</v>
      </c>
      <c r="HW33" s="15" t="n">
        <f aca="false">Inputs!$B$20*HV33</f>
        <v>0.0076419812239912</v>
      </c>
      <c r="HX33" s="15" t="n">
        <f aca="false">0.8*(1-Inputs!$B$50)*(HU33-HW33)</f>
        <v>0.00177665022582288</v>
      </c>
      <c r="HY33" s="15" t="n">
        <f aca="false">HU33-HW33-HX33</f>
        <v>0.735848661083813</v>
      </c>
      <c r="HZ33" s="15" t="n">
        <f aca="false">HY33*(1-Inputs!$B$18*EXP(-Inputs!$B$21*Inputs!$B$14*Inputs!$B$17/(Inputs!$B$22*Inputs!$B$23*Inputs!$B$24*HS33*Inputs!$B$16))*Inputs!$B$19)</f>
        <v>0.0261108076212973</v>
      </c>
      <c r="IA33" s="15" t="n">
        <f aca="false">(HY33-HZ33)*(1-EXP(-Inputs!$B$25*Inputs!$B$14*Inputs!$B$17*Inputs!$B$26/(HS33*Inputs!$B$16/0.866)))</f>
        <v>0.00730330505405993</v>
      </c>
      <c r="IB33" s="15" t="n">
        <f aca="false">(HY33-HZ33-IA33)*(1-Inputs!$B$19)</f>
        <v>0.00351217274204228</v>
      </c>
      <c r="IC33" s="15" t="n">
        <f aca="false">(HV33+HW33+HX33+HZ33+IA33+IB33)*(1+Inputs!$B$27)</f>
        <v>0.301980857206588</v>
      </c>
      <c r="ID33" s="15" t="n">
        <f aca="false">Inputs!$B$52/(1-IC33-G33)</f>
        <v>193897.338702461</v>
      </c>
      <c r="IE33" s="15" t="n">
        <f aca="false">ID33/Inputs!$B$34</f>
        <v>323.162231170768</v>
      </c>
      <c r="IF33" s="15" t="n">
        <f aca="false">B33^2/IE33</f>
        <v>12.6747484851828</v>
      </c>
      <c r="IG33" s="15" t="n">
        <f aca="false">Inputs!$B$54*H33/(Inputs!$B$35*F33+E33*H33^2/(PI()*IF33*Inputs!$B$36))</f>
        <v>20.1882173933241</v>
      </c>
      <c r="IH33" s="15" t="n">
        <f aca="false">EXP(-Inputs!$B$11*Inputs!$B$14*Inputs!$B$17/(Inputs!$B$51*IG33*Inputs!$B$16))</f>
        <v>0.762714985846543</v>
      </c>
      <c r="II33" s="15" t="n">
        <f aca="false">Inputs!$B$50*Inputs!$B$18*IH33*Inputs!$B$19</f>
        <v>0.745267292791796</v>
      </c>
      <c r="IJ33" s="15" t="n">
        <f aca="false">1-II33</f>
        <v>0.254732707208204</v>
      </c>
      <c r="IK33" s="15" t="n">
        <f aca="false">Inputs!$B$20*IJ33</f>
        <v>0.00764198121624613</v>
      </c>
      <c r="IL33" s="15" t="n">
        <f aca="false">0.8*(1-Inputs!$B$50)*(II33-IK33)</f>
        <v>0.00177665022646336</v>
      </c>
      <c r="IM33" s="15" t="n">
        <f aca="false">II33-IK33-IL33</f>
        <v>0.735848661349086</v>
      </c>
      <c r="IN33" s="15" t="n">
        <f aca="false">IM33*(1-Inputs!$B$18*EXP(-Inputs!$B$21*Inputs!$B$14*Inputs!$B$17/(Inputs!$B$22*Inputs!$B$23*Inputs!$B$24*IG33*Inputs!$B$16))*Inputs!$B$19)</f>
        <v>0.0261108076161853</v>
      </c>
      <c r="IO33" s="15" t="n">
        <f aca="false">(IM33-IN33)*(1-EXP(-Inputs!$B$25*Inputs!$B$14*Inputs!$B$17*Inputs!$B$26/(IG33*Inputs!$B$16/0.866)))</f>
        <v>0.00730330504755037</v>
      </c>
      <c r="IP33" s="15" t="n">
        <f aca="false">(IM33-IN33-IO33)*(1-Inputs!$B$19)</f>
        <v>0.00351217274342676</v>
      </c>
      <c r="IQ33" s="15" t="n">
        <f aca="false">(IJ33+IK33+IL33+IN33+IO33+IP33)*(1+Inputs!$B$27)</f>
        <v>0.30198085693025</v>
      </c>
      <c r="IR33" s="15" t="n">
        <f aca="false">Inputs!$B$52/(1-IQ33-G33)</f>
        <v>193897.338384017</v>
      </c>
      <c r="IS33" s="15" t="n">
        <f aca="false">IR33/Inputs!$B$34</f>
        <v>323.162230640029</v>
      </c>
      <c r="IT33" s="15" t="n">
        <f aca="false">B33^2/IS33</f>
        <v>12.674748505999</v>
      </c>
      <c r="IU33" s="15" t="n">
        <f aca="false">Inputs!$B$54*H33/(Inputs!$B$35*F33+E33*H33^2/(PI()*IT33*Inputs!$B$36))</f>
        <v>20.1882174013951</v>
      </c>
      <c r="IV33" s="15" t="n">
        <f aca="false">EXP(-Inputs!$B$11*Inputs!$B$14*Inputs!$B$17/(Inputs!$B$51*IU33*Inputs!$B$16))</f>
        <v>0.762714985929138</v>
      </c>
      <c r="IW33" s="15" t="n">
        <f aca="false">Inputs!$B$50*Inputs!$B$18*IV33*Inputs!$B$19</f>
        <v>0.745267292872502</v>
      </c>
      <c r="IX33" s="15" t="n">
        <f aca="false">1-IW33</f>
        <v>0.254732707127498</v>
      </c>
      <c r="IY33" s="15" t="n">
        <f aca="false">Inputs!$B$20*IX33</f>
        <v>0.00764198121382495</v>
      </c>
      <c r="IZ33" s="15" t="n">
        <f aca="false">0.8*(1-Inputs!$B$50)*(IW33-IY33)</f>
        <v>0.00177665022666358</v>
      </c>
      <c r="JA33" s="15" t="n">
        <f aca="false">IW33-IY33-IZ33</f>
        <v>0.735848661432013</v>
      </c>
      <c r="JB33" s="15" t="n">
        <f aca="false">JA33*(1-Inputs!$B$18*EXP(-Inputs!$B$21*Inputs!$B$14*Inputs!$B$17/(Inputs!$B$22*Inputs!$B$23*Inputs!$B$24*IU33*Inputs!$B$16))*Inputs!$B$19)</f>
        <v>0.0261108076145871</v>
      </c>
      <c r="JC33" s="15" t="n">
        <f aca="false">(JA33-JB33)*(1-EXP(-Inputs!$B$25*Inputs!$B$14*Inputs!$B$17*Inputs!$B$26/(IU33*Inputs!$B$16/0.866)))</f>
        <v>0.00730330504551546</v>
      </c>
      <c r="JD33" s="15" t="n">
        <f aca="false">(JA33-JB33-JC33)*(1-Inputs!$B$19)</f>
        <v>0.00351217274385956</v>
      </c>
      <c r="JE33" s="15" t="n">
        <f aca="false">(IX33+IY33+IZ33+JB33+JC33+JD33)*(1+Inputs!$B$27)</f>
        <v>0.301980856843865</v>
      </c>
      <c r="JF33" s="15" t="n">
        <f aca="false">Inputs!$B$52/(1-JE33-G33)</f>
        <v>193897.338284468</v>
      </c>
      <c r="JG33" s="15" t="n">
        <f aca="false">JF33/Inputs!$B$34</f>
        <v>323.162230474114</v>
      </c>
      <c r="JH33" s="15" t="n">
        <f aca="false">B33^2/JG33</f>
        <v>12.6747485125063</v>
      </c>
      <c r="JI33" s="15" t="n">
        <f aca="false">Inputs!$B$54*H33/(Inputs!$B$35*F33+E33*H33^2/(PI()*JH33*Inputs!$B$36))</f>
        <v>20.1882174039182</v>
      </c>
      <c r="JJ33" s="15" t="n">
        <f aca="false">EXP(-Inputs!$B$11*Inputs!$B$14*Inputs!$B$17/(Inputs!$B$51*JI33*Inputs!$B$16))</f>
        <v>0.762714985954958</v>
      </c>
      <c r="JK33" s="15" t="n">
        <f aca="false">Inputs!$B$50*Inputs!$B$18*JJ33*Inputs!$B$19</f>
        <v>0.745267292897731</v>
      </c>
      <c r="JL33" s="15" t="n">
        <f aca="false">1-JK33</f>
        <v>0.254732707102269</v>
      </c>
      <c r="JM33" s="15" t="n">
        <f aca="false">Inputs!$B$20*JL33</f>
        <v>0.00764198121306806</v>
      </c>
      <c r="JN33" s="15" t="n">
        <f aca="false">0.8*(1-Inputs!$B$50)*(JK33-JM33)</f>
        <v>0.00177665022672617</v>
      </c>
      <c r="JO33" s="15" t="n">
        <f aca="false">JK33-JM33-JN33</f>
        <v>0.735848661457937</v>
      </c>
      <c r="JP33" s="15" t="n">
        <f aca="false">JO33*(1-Inputs!$B$18*EXP(-Inputs!$B$21*Inputs!$B$14*Inputs!$B$17/(Inputs!$B$22*Inputs!$B$23*Inputs!$B$24*JI33*Inputs!$B$16))*Inputs!$B$19)</f>
        <v>0.0261108076140875</v>
      </c>
      <c r="JQ33" s="15" t="n">
        <f aca="false">(JO33-JP33)*(1-EXP(-Inputs!$B$25*Inputs!$B$14*Inputs!$B$17*Inputs!$B$26/(JI33*Inputs!$B$16/0.866)))</f>
        <v>0.00730330504487931</v>
      </c>
      <c r="JR33" s="15" t="n">
        <f aca="false">(JO33-JP33-JQ33)*(1-Inputs!$B$19)</f>
        <v>0.00351217274399486</v>
      </c>
      <c r="JS33" s="15" t="n">
        <f aca="false">(JL33+JM33+JN33+JP33+JQ33+JR33)*(1+Inputs!$B$27)</f>
        <v>0.30198085681686</v>
      </c>
      <c r="JT33" s="15" t="n">
        <f aca="false">Inputs!$B$52/(1-JS33-G33)</f>
        <v>193897.338253349</v>
      </c>
      <c r="JU33" s="15" t="n">
        <f aca="false">JT33/Inputs!$B$34</f>
        <v>323.162230422248</v>
      </c>
      <c r="JV33" s="15" t="n">
        <f aca="false">B33^2/JU33</f>
        <v>12.6747485145406</v>
      </c>
      <c r="JW33" s="15" t="n">
        <f aca="false">Inputs!$B$54*H33/(Inputs!$B$35*F33+E33*H33^2/(PI()*JV33*Inputs!$B$36))</f>
        <v>20.1882174047069</v>
      </c>
      <c r="JX33" s="15" t="n">
        <f aca="false">EXP(-Inputs!$B$11*Inputs!$B$14*Inputs!$B$17/(Inputs!$B$51*JW33*Inputs!$B$16))</f>
        <v>0.76271498596303</v>
      </c>
      <c r="JY33" s="15" t="n">
        <f aca="false">Inputs!$B$50*Inputs!$B$18*JX33*Inputs!$B$19</f>
        <v>0.745267292905618</v>
      </c>
      <c r="JZ33" s="15" t="n">
        <f aca="false">1-JY33</f>
        <v>0.254732707094382</v>
      </c>
      <c r="KA33" s="15" t="n">
        <f aca="false">Inputs!$B$20*JZ33</f>
        <v>0.00764198121283145</v>
      </c>
      <c r="KB33" s="15" t="n">
        <f aca="false">0.8*(1-Inputs!$B$50)*(JY33-KA33)</f>
        <v>0.00177665022674574</v>
      </c>
      <c r="KC33" s="15" t="n">
        <f aca="false">JY33-KA33-KB33</f>
        <v>0.735848661466041</v>
      </c>
      <c r="KD33" s="15" t="n">
        <f aca="false">KC33*(1-Inputs!$B$18*EXP(-Inputs!$B$21*Inputs!$B$14*Inputs!$B$17/(Inputs!$B$22*Inputs!$B$23*Inputs!$B$24*JW33*Inputs!$B$16))*Inputs!$B$19)</f>
        <v>0.0261108076139314</v>
      </c>
      <c r="KE33" s="15" t="n">
        <f aca="false">(KC33-KD33)*(1-EXP(-Inputs!$B$25*Inputs!$B$14*Inputs!$B$17*Inputs!$B$26/(JW33*Inputs!$B$16/0.866)))</f>
        <v>0.0073033050446804</v>
      </c>
      <c r="KF33" s="15" t="n">
        <f aca="false">(KC33-KD33-KE33)*(1-Inputs!$B$19)</f>
        <v>0.00351217274403715</v>
      </c>
      <c r="KG33" s="15" t="n">
        <f aca="false">(JZ33+KA33+KB33+KD33+KE33+KF33)*(1+Inputs!$B$27)</f>
        <v>0.301980856808418</v>
      </c>
      <c r="KH33" s="15" t="n">
        <f aca="false">Inputs!$B$52/(1-KG33-G33)</f>
        <v>193897.33824362</v>
      </c>
      <c r="KI33" s="15" t="n">
        <f aca="false">KH33/Inputs!$B$34</f>
        <v>323.162230406034</v>
      </c>
      <c r="KJ33" s="15" t="n">
        <f aca="false">B33^2/KI33</f>
        <v>12.6747485151765</v>
      </c>
      <c r="KK33" s="15" t="n">
        <f aca="false">Inputs!$B$54*H33/(Inputs!$B$35*F33+E33*H33^2/(PI()*KJ33*Inputs!$B$36))</f>
        <v>20.1882174049535</v>
      </c>
      <c r="KL33" s="15" t="n">
        <f aca="false">EXP(-Inputs!$B$11*Inputs!$B$14*Inputs!$B$17/(Inputs!$B$51*KK33*Inputs!$B$16))</f>
        <v>0.762714985965553</v>
      </c>
      <c r="KM33" s="15" t="n">
        <f aca="false">Inputs!$B$50*Inputs!$B$18*KL33*Inputs!$B$19</f>
        <v>0.745267292908084</v>
      </c>
      <c r="KN33" s="15" t="n">
        <f aca="false">1-KM33</f>
        <v>0.254732707091916</v>
      </c>
      <c r="KO33" s="15" t="n">
        <f aca="false">Inputs!$B$20*KN33</f>
        <v>0.00764198121275749</v>
      </c>
      <c r="KP33" s="15" t="n">
        <f aca="false">0.8*(1-Inputs!$B$50)*(KM33-KO33)</f>
        <v>0.00177665022675186</v>
      </c>
      <c r="KQ33" s="15" t="n">
        <f aca="false">KM33-KO33-KP33</f>
        <v>0.735848661468574</v>
      </c>
      <c r="KR33" s="15" t="n">
        <f aca="false">KQ33*(1-Inputs!$B$18*EXP(-Inputs!$B$21*Inputs!$B$14*Inputs!$B$17/(Inputs!$B$22*Inputs!$B$23*Inputs!$B$24*KK33*Inputs!$B$16))*Inputs!$B$19)</f>
        <v>0.0261108076138826</v>
      </c>
      <c r="KS33" s="15" t="n">
        <f aca="false">(KQ33-KR33)*(1-EXP(-Inputs!$B$25*Inputs!$B$14*Inputs!$B$17*Inputs!$B$26/(KK33*Inputs!$B$16/0.866)))</f>
        <v>0.00730330504461824</v>
      </c>
      <c r="KT33" s="15" t="n">
        <f aca="false">(KQ33-KR33-KS33)*(1-Inputs!$B$19)</f>
        <v>0.00351217274405037</v>
      </c>
      <c r="KU33" s="15" t="n">
        <f aca="false">(KN33+KO33+KP33+KR33+KS33+KT33)*(1+Inputs!$B$27)</f>
        <v>0.301980856805779</v>
      </c>
      <c r="KV33" s="15" t="n">
        <f aca="false">Inputs!$B$52/(1-KU33-G33)</f>
        <v>193897.338240579</v>
      </c>
      <c r="KW33" s="15" t="n">
        <f aca="false">KV33/Inputs!$B$34</f>
        <v>323.162230400966</v>
      </c>
      <c r="KX33" s="15" t="n">
        <f aca="false">B33^2/KW33</f>
        <v>12.6747485153753</v>
      </c>
      <c r="KY33" s="15" t="n">
        <f aca="false">Inputs!$B$54*H33/(Inputs!$B$35*F33+E33*H33^2/(PI()*KX33*Inputs!$B$36))</f>
        <v>20.1882174050305</v>
      </c>
      <c r="KZ33" s="15" t="n">
        <f aca="false">EXP(-Inputs!$B$11*Inputs!$B$14*Inputs!$B$17/(Inputs!$B$51*KY33*Inputs!$B$16))</f>
        <v>0.762714985966342</v>
      </c>
      <c r="LA33" s="15" t="n">
        <f aca="false">Inputs!$B$50*Inputs!$B$18*KZ33*Inputs!$B$19</f>
        <v>0.745267292908855</v>
      </c>
      <c r="LB33" s="15" t="n">
        <f aca="false">1-LA33</f>
        <v>0.254732707091146</v>
      </c>
      <c r="LC33" s="15" t="n">
        <f aca="false">Inputs!$B$20*LB33</f>
        <v>0.00764198121273436</v>
      </c>
      <c r="LD33" s="15" t="n">
        <f aca="false">0.8*(1-Inputs!$B$50)*(LA33-LC33)</f>
        <v>0.00177665022675377</v>
      </c>
      <c r="LE33" s="15" t="n">
        <f aca="false">LA33-LC33-LD33</f>
        <v>0.735848661469366</v>
      </c>
      <c r="LF33" s="15" t="n">
        <f aca="false">LE33*(1-Inputs!$B$18*EXP(-Inputs!$B$21*Inputs!$B$14*Inputs!$B$17/(Inputs!$B$22*Inputs!$B$23*Inputs!$B$24*KY33*Inputs!$B$16))*Inputs!$B$19)</f>
        <v>0.0261108076138673</v>
      </c>
      <c r="LG33" s="15" t="n">
        <f aca="false">(LE33-LF33)*(1-EXP(-Inputs!$B$25*Inputs!$B$14*Inputs!$B$17*Inputs!$B$26/(KY33*Inputs!$B$16/0.866)))</f>
        <v>0.00730330504459881</v>
      </c>
      <c r="LH33" s="15" t="n">
        <f aca="false">(LE33-LF33-LG33)*(1-Inputs!$B$19)</f>
        <v>0.0035121727440545</v>
      </c>
      <c r="LI33" s="15" t="n">
        <f aca="false">(LB33+LC33+LD33+LF33+LG33+LH33)*(1+Inputs!$B$27)</f>
        <v>0.301980856804954</v>
      </c>
      <c r="LJ33" s="15" t="n">
        <f aca="false">Inputs!$B$52/(1-LI33-G33)</f>
        <v>193897.338239629</v>
      </c>
      <c r="LK33" s="15" t="n">
        <f aca="false">LJ33/Inputs!$B$34</f>
        <v>323.162230399381</v>
      </c>
      <c r="LL33" s="15" t="n">
        <f aca="false">B33^2/LK33</f>
        <v>12.6747485154374</v>
      </c>
      <c r="LM33" s="15" t="n">
        <f aca="false">Inputs!$B$54*H33/(Inputs!$B$35*F33+E33*H33^2/(PI()*LL33*Inputs!$B$36))</f>
        <v>20.1882174050546</v>
      </c>
      <c r="LN33" s="15" t="n">
        <f aca="false">EXP(-Inputs!$B$11*Inputs!$B$14*Inputs!$B$17/(Inputs!$B$51*LM33*Inputs!$B$16))</f>
        <v>0.762714985966588</v>
      </c>
      <c r="LO33" s="15" t="n">
        <f aca="false">Inputs!$B$50*Inputs!$B$18*LN33*Inputs!$B$19</f>
        <v>0.745267292909095</v>
      </c>
      <c r="LP33" s="15" t="n">
        <f aca="false">1-LO33</f>
        <v>0.254732707090905</v>
      </c>
      <c r="LQ33" s="15" t="n">
        <f aca="false">Inputs!$B$20*LP33</f>
        <v>0.00764198121272714</v>
      </c>
      <c r="LR33" s="15" t="n">
        <f aca="false">0.8*(1-Inputs!$B$50)*(LO33-LQ33)</f>
        <v>0.00177665022675437</v>
      </c>
      <c r="LS33" s="15" t="n">
        <f aca="false">LO33-LQ33-LR33</f>
        <v>0.735848661469614</v>
      </c>
      <c r="LT33" s="15" t="n">
        <f aca="false">LS33*(1-Inputs!$B$18*EXP(-Inputs!$B$21*Inputs!$B$14*Inputs!$B$17/(Inputs!$B$22*Inputs!$B$23*Inputs!$B$24*LM33*Inputs!$B$16))*Inputs!$B$19)</f>
        <v>0.0261108076138626</v>
      </c>
      <c r="LU33" s="15" t="n">
        <f aca="false">(LS33-LT33)*(1-EXP(-Inputs!$B$25*Inputs!$B$14*Inputs!$B$17*Inputs!$B$26/(LM33*Inputs!$B$16/0.866)))</f>
        <v>0.00730330504459274</v>
      </c>
      <c r="LV33" s="15" t="n">
        <f aca="false">(LS33-LT33-LU33)*(1-Inputs!$B$19)</f>
        <v>0.0035121727440558</v>
      </c>
      <c r="LW33" s="15" t="n">
        <f aca="false">(LP33+LQ33+LR33+LT33+LU33+LV33)*(1+Inputs!$B$27)</f>
        <v>0.301980856804696</v>
      </c>
      <c r="LX33" s="15" t="n">
        <f aca="false">Inputs!$B$52/(1-LW33-G33)</f>
        <v>193897.338239332</v>
      </c>
      <c r="LY33" s="15" t="n">
        <f aca="false">LX33/Inputs!$B$34</f>
        <v>323.162230398886</v>
      </c>
      <c r="LZ33" s="15" t="n">
        <f aca="false">B33^2/LY33</f>
        <v>12.6747485154568</v>
      </c>
      <c r="MA33" s="15" t="n">
        <f aca="false">Inputs!$B$54*H33/(Inputs!$B$35*F33+E33*H33^2/(PI()*LZ33*Inputs!$B$36))</f>
        <v>20.1882174050622</v>
      </c>
      <c r="MB33" s="15" t="n">
        <f aca="false">EXP(-Inputs!$B$11*Inputs!$B$14*Inputs!$B$17/(Inputs!$B$51*MA33*Inputs!$B$16))</f>
        <v>0.762714985966665</v>
      </c>
      <c r="MC33" s="15" t="n">
        <f aca="false">Inputs!$B$50*Inputs!$B$18*MB33*Inputs!$B$19</f>
        <v>0.745267292909171</v>
      </c>
      <c r="MD33" s="15" t="n">
        <f aca="false">1-MC33</f>
        <v>0.254732707090829</v>
      </c>
      <c r="ME33" s="15" t="n">
        <f aca="false">Inputs!$B$20*MD33</f>
        <v>0.00764198121272488</v>
      </c>
      <c r="MF33" s="15" t="n">
        <f aca="false">0.8*(1-Inputs!$B$50)*(MC33-ME33)</f>
        <v>0.00177665022675455</v>
      </c>
      <c r="MG33" s="15" t="n">
        <f aca="false">MC33-ME33-MF33</f>
        <v>0.735848661469691</v>
      </c>
      <c r="MH33" s="15" t="n">
        <f aca="false">MG33*(1-Inputs!$B$18*EXP(-Inputs!$B$21*Inputs!$B$14*Inputs!$B$17/(Inputs!$B$22*Inputs!$B$23*Inputs!$B$24*MA33*Inputs!$B$16))*Inputs!$B$19)</f>
        <v>0.0261108076138611</v>
      </c>
      <c r="MI33" s="15" t="n">
        <f aca="false">(MG33-MH33)*(1-EXP(-Inputs!$B$25*Inputs!$B$14*Inputs!$B$17*Inputs!$B$26/(MA33*Inputs!$B$16/0.866)))</f>
        <v>0.00730330504459088</v>
      </c>
      <c r="MJ33" s="15" t="n">
        <f aca="false">(MG33-MH33-MI33)*(1-Inputs!$B$19)</f>
        <v>0.0035121727440562</v>
      </c>
      <c r="MK33" s="15" t="n">
        <f aca="false">(MD33+ME33+MF33+MH33+MI33+MJ33)*(1+Inputs!$B$27)</f>
        <v>0.301980856804615</v>
      </c>
      <c r="ML33" s="15" t="n">
        <f aca="false">Inputs!$B$52/(1-MK33-G33)</f>
        <v>193897.338239239</v>
      </c>
      <c r="MM33" s="15" t="n">
        <f aca="false">ML33/Inputs!$B$34</f>
        <v>323.162230398731</v>
      </c>
      <c r="MN33" s="15" t="n">
        <f aca="false">B33^2/MM33</f>
        <v>12.6747485154629</v>
      </c>
      <c r="MO33" s="15" t="n">
        <f aca="false">Inputs!$B$54*H33/(Inputs!$B$35*F33+E33*H33^2/(PI()*MN33*Inputs!$B$36))</f>
        <v>20.1882174050645</v>
      </c>
      <c r="MP33" s="15" t="n">
        <f aca="false">EXP(-Inputs!$B$11*Inputs!$B$14*Inputs!$B$17/(Inputs!$B$51*MO33*Inputs!$B$16))</f>
        <v>0.762714985966689</v>
      </c>
      <c r="MQ33" s="15" t="n">
        <f aca="false">Inputs!$B$50*Inputs!$B$18*MP33*Inputs!$B$19</f>
        <v>0.745267292909194</v>
      </c>
      <c r="MR33" s="15" t="n">
        <f aca="false">1-MQ33</f>
        <v>0.254732707090806</v>
      </c>
      <c r="MS33" s="15" t="n">
        <f aca="false">Inputs!$B$20*MR33</f>
        <v>0.00764198121272418</v>
      </c>
      <c r="MT33" s="15" t="n">
        <f aca="false">0.8*(1-Inputs!$B$50)*(MQ33-MS33)</f>
        <v>0.00177665022675461</v>
      </c>
      <c r="MU33" s="15" t="n">
        <f aca="false">MQ33-MS33-MT33</f>
        <v>0.735848661469715</v>
      </c>
      <c r="MV33" s="15" t="n">
        <f aca="false">MU33*(1-Inputs!$B$18*EXP(-Inputs!$B$21*Inputs!$B$14*Inputs!$B$17/(Inputs!$B$22*Inputs!$B$23*Inputs!$B$24*MO33*Inputs!$B$16))*Inputs!$B$19)</f>
        <v>0.0261108076138605</v>
      </c>
      <c r="MW33" s="15" t="n">
        <f aca="false">(MU33-MV33)*(1-EXP(-Inputs!$B$25*Inputs!$B$14*Inputs!$B$17*Inputs!$B$26/(MO33*Inputs!$B$16/0.866)))</f>
        <v>0.00730330504459026</v>
      </c>
      <c r="MX33" s="15" t="n">
        <f aca="false">(MU33-MV33-MW33)*(1-Inputs!$B$19)</f>
        <v>0.00351217274405633</v>
      </c>
      <c r="MY33" s="15" t="n">
        <f aca="false">(MR33+MS33+MT33+MV33+MW33+MX33)*(1+Inputs!$B$27)</f>
        <v>0.30198085680459</v>
      </c>
      <c r="MZ33" s="15" t="n">
        <f aca="false">Inputs!$B$52/(1-MY33-G33)</f>
        <v>193897.33823921</v>
      </c>
      <c r="NA33" s="15" t="n">
        <f aca="false">MZ33/Inputs!$B$34</f>
        <v>323.162230398683</v>
      </c>
      <c r="NB33" s="15" t="n">
        <f aca="false">B33^2/NA33</f>
        <v>12.6747485154648</v>
      </c>
      <c r="NC33" s="15" t="n">
        <f aca="false">Inputs!$B$54*H33/(Inputs!$B$35*F33+E33*H33^2/(PI()*NB33*Inputs!$B$36))</f>
        <v>20.1882174050653</v>
      </c>
      <c r="ND33" s="15" t="n">
        <f aca="false">EXP(-Inputs!$B$11*Inputs!$B$14*Inputs!$B$17/(Inputs!$B$51*NC33*Inputs!$B$16))</f>
        <v>0.762714985966697</v>
      </c>
      <c r="NE33" s="15" t="n">
        <f aca="false">Inputs!$B$50*Inputs!$B$18*ND33*Inputs!$B$19</f>
        <v>0.745267292909202</v>
      </c>
      <c r="NF33" s="15" t="n">
        <f aca="false">1-NE33</f>
        <v>0.254732707090798</v>
      </c>
      <c r="NG33" s="15" t="n">
        <f aca="false">Inputs!$B$20*NF33</f>
        <v>0.00764198121272395</v>
      </c>
      <c r="NH33" s="15" t="n">
        <f aca="false">0.8*(1-Inputs!$B$50)*(NE33-NG33)</f>
        <v>0.00177665022675463</v>
      </c>
      <c r="NI33" s="15" t="n">
        <f aca="false">NE33-NG33-NH33</f>
        <v>0.735848661469723</v>
      </c>
      <c r="NJ33" s="15" t="n">
        <f aca="false">NI33*(1-Inputs!$B$18*EXP(-Inputs!$B$21*Inputs!$B$14*Inputs!$B$17/(Inputs!$B$22*Inputs!$B$23*Inputs!$B$24*NC33*Inputs!$B$16))*Inputs!$B$19)</f>
        <v>0.0261108076138604</v>
      </c>
      <c r="NK33" s="15" t="n">
        <f aca="false">(NI33-NJ33)*(1-EXP(-Inputs!$B$25*Inputs!$B$14*Inputs!$B$17*Inputs!$B$26/(NC33*Inputs!$B$16/0.866)))</f>
        <v>0.0073033050445901</v>
      </c>
      <c r="NL33" s="15" t="n">
        <f aca="false">(NI33-NJ33-NK33)*(1-Inputs!$B$19)</f>
        <v>0.00351217274405637</v>
      </c>
      <c r="NM33" s="15" t="n">
        <f aca="false">(NF33+NG33+NH33+NJ33+NK33+NL33)*(1+Inputs!$B$27)</f>
        <v>0.301980856804582</v>
      </c>
      <c r="NN33" s="15" t="n">
        <f aca="false">Inputs!$B$52/(1-NM33-G33)</f>
        <v>193897.3382392</v>
      </c>
    </row>
    <row r="34" customFormat="false" ht="15" hidden="false" customHeight="false" outlineLevel="0" collapsed="false">
      <c r="A34" s="21" t="s">
        <v>501</v>
      </c>
      <c r="B34" s="21" t="n">
        <v>64</v>
      </c>
      <c r="C34" s="22" t="n">
        <v>0.2</v>
      </c>
      <c r="D34" s="23" t="n">
        <f aca="false">B34*C34</f>
        <v>12.8</v>
      </c>
      <c r="E34" s="24" t="n">
        <f aca="false">IF(C34=0,1,(1+0.45*C34)/(1.04+2.81*C34))</f>
        <v>0.68039950062422</v>
      </c>
      <c r="F34" s="24" t="n">
        <f aca="false">1+Inputs!$B$42*D34</f>
        <v>1.064</v>
      </c>
      <c r="G34" s="25" t="n">
        <f aca="false">Inputs!$B$31+Inputs!$B$43*(B34/Inputs!$B$32-1)+Inputs!$B$44+Inputs!$B$45*D34</f>
        <v>0.53168</v>
      </c>
      <c r="H34" s="22" t="n">
        <f aca="false">Inputs!$B$38</f>
        <v>0.5</v>
      </c>
      <c r="I34" s="23" t="n">
        <f aca="false">Inputs!$B$40</f>
        <v>2.4</v>
      </c>
      <c r="J34" s="26" t="n">
        <f aca="false">NN34/Inputs!$B$34</f>
        <v>325.388751244249</v>
      </c>
      <c r="K34" s="23" t="n">
        <f aca="false">B34^2/J34</f>
        <v>12.5880196667444</v>
      </c>
      <c r="L34" s="23" t="n">
        <f aca="false">2*K34</f>
        <v>25.1760393334887</v>
      </c>
      <c r="M34" s="22" t="n">
        <f aca="false">NC34</f>
        <v>20.2602518439833</v>
      </c>
      <c r="N34" s="23" t="n">
        <f aca="false">B34/SQRT(E34)</f>
        <v>77.5886116678889</v>
      </c>
      <c r="O34" s="24" t="n">
        <f aca="false">NM34</f>
        <v>0.301212194975775</v>
      </c>
      <c r="P34" s="23" t="n">
        <f aca="false">NN34/1000</f>
        <v>195.23325074655</v>
      </c>
      <c r="Q34" s="23" t="n">
        <f aca="false">G34*NN34/1000</f>
        <v>103.801614756925</v>
      </c>
      <c r="R34" s="23" t="n">
        <f aca="false">NM34*NN34/1000</f>
        <v>58.8066359896241</v>
      </c>
      <c r="S34" s="23" t="n">
        <f aca="false">NM34*NN34/Inputs!$B$28/1000</f>
        <v>78.4088479861654</v>
      </c>
      <c r="T34" s="27" t="n">
        <f aca="false">R34/Sweep!$R$5-1</f>
        <v>-0.0590429602276374</v>
      </c>
      <c r="U34" s="27" t="n">
        <f aca="false">R34/SUMIFS(Sweep!$R:$R,Sweep!$A:$A,"Conventional",Sweep!$B:$B,B34)-1</f>
        <v>-0.0590429602279484</v>
      </c>
      <c r="V34" s="26" t="n">
        <f aca="false">2*0.54*(J34/2)^1.5/SQRT(L34)*Inputs!$B$46*Inputs!$B$47</f>
        <v>41.7638446338936</v>
      </c>
      <c r="W34" s="28" t="n">
        <f aca="false">MIN(1,V34/S34)</f>
        <v>0.532641987563221</v>
      </c>
      <c r="X34" s="26" t="n">
        <f aca="false">1.23*SQRT(2*Inputs!$B$41*NN34*Inputs!$B$49/(1.225*J34*I34))/0.5144</f>
        <v>133.62967568068</v>
      </c>
      <c r="Y34" s="29" t="n">
        <f aca="false">(11000+6341.6*LN(0.36392/(2*Inputs!$B$50*Inputs!$B$18*(1+ND34)/2*Inputs!$B$34*Inputs!$B$49/((Inputs!$B$12*295.07)^2*H34))))/0.3048</f>
        <v>38501.542168196</v>
      </c>
      <c r="Z34" s="26" t="n">
        <f aca="false">NN34-MZ34</f>
        <v>-2.5902409106493E-009</v>
      </c>
      <c r="AA34" s="30" t="str">
        <f aca="false">IF(ABS(NN34-MZ34)&lt;10,"Yes","No")</f>
        <v>Yes</v>
      </c>
      <c r="AC34" s="15" t="n">
        <f aca="false">Inputs!$B$52/(1-0.3154-G34)/Inputs!$B$34</f>
        <v>355.578080041852</v>
      </c>
      <c r="AD34" s="15" t="n">
        <f aca="false">B34^2/AC34</f>
        <v>11.5192702528736</v>
      </c>
      <c r="AE34" s="15" t="n">
        <f aca="false">Inputs!$B$54*H34/(Inputs!$B$35*F34+E34*H34^2/(PI()*AD34*Inputs!$B$36))</f>
        <v>19.8385032696826</v>
      </c>
      <c r="AF34" s="15" t="n">
        <f aca="false">EXP(-Inputs!$B$11*Inputs!$B$14*Inputs!$B$17/(Inputs!$B$51*AE34*Inputs!$B$16))</f>
        <v>0.759081760057188</v>
      </c>
      <c r="AG34" s="15" t="n">
        <f aca="false">Inputs!$B$50*Inputs!$B$18*AF34*Inputs!$B$19</f>
        <v>0.741717179842162</v>
      </c>
      <c r="AH34" s="15" t="n">
        <f aca="false">1-AG34</f>
        <v>0.258282820157839</v>
      </c>
      <c r="AI34" s="15" t="n">
        <f aca="false">Inputs!$B$20*AH34</f>
        <v>0.00774848460473516</v>
      </c>
      <c r="AJ34" s="15" t="n">
        <f aca="false">0.8*(1-Inputs!$B$50)*(AG34-AI34)</f>
        <v>0.00176784287109843</v>
      </c>
      <c r="AK34" s="15" t="n">
        <f aca="false">AG34-AI34-AJ34</f>
        <v>0.732200852366328</v>
      </c>
      <c r="AL34" s="15" t="n">
        <f aca="false">AK34*(1-Inputs!$B$18*EXP(-Inputs!$B$21*Inputs!$B$14*Inputs!$B$17/(Inputs!$B$22*Inputs!$B$23*Inputs!$B$24*AE34*Inputs!$B$16))*Inputs!$B$19)</f>
        <v>0.0261805617805462</v>
      </c>
      <c r="AM34" s="15" t="n">
        <f aca="false">(AK34-AL34)*(1-EXP(-Inputs!$B$25*Inputs!$B$14*Inputs!$B$17*Inputs!$B$26/(AE34*Inputs!$B$16/0.866)))</f>
        <v>0.00739244665363151</v>
      </c>
      <c r="AN34" s="15" t="n">
        <f aca="false">(AK34-AL34-AM34)*(1-Inputs!$B$19)</f>
        <v>0.00349313921966075</v>
      </c>
      <c r="AO34" s="15" t="n">
        <f aca="false">(AH34+AI34+AJ34+AL34+AM34+AN34)*(1+Inputs!$B$27)</f>
        <v>0.305779891173373</v>
      </c>
      <c r="AP34" s="15" t="n">
        <f aca="false">Inputs!$B$52/(1-AO34-G34)</f>
        <v>200719.688423486</v>
      </c>
      <c r="AQ34" s="15" t="n">
        <f aca="false">AP34/Inputs!$B$34</f>
        <v>334.532814039143</v>
      </c>
      <c r="AR34" s="15" t="n">
        <f aca="false">B34^2/AQ34</f>
        <v>12.2439408874274</v>
      </c>
      <c r="AS34" s="15" t="n">
        <f aca="false">Inputs!$B$54*H34/(Inputs!$B$35*F34+E34*H34^2/(PI()*AR34*Inputs!$B$36))</f>
        <v>20.1306271431298</v>
      </c>
      <c r="AT34" s="15" t="n">
        <f aca="false">EXP(-Inputs!$B$11*Inputs!$B$14*Inputs!$B$17/(Inputs!$B$51*AS34*Inputs!$B$16))</f>
        <v>0.762124175667396</v>
      </c>
      <c r="AU34" s="15" t="n">
        <f aca="false">Inputs!$B$50*Inputs!$B$18*AT34*Inputs!$B$19</f>
        <v>0.74468999785078</v>
      </c>
      <c r="AV34" s="15" t="n">
        <f aca="false">1-AU34</f>
        <v>0.25531000214922</v>
      </c>
      <c r="AW34" s="15" t="n">
        <f aca="false">Inputs!$B$20*AV34</f>
        <v>0.00765930006447661</v>
      </c>
      <c r="AX34" s="15" t="n">
        <f aca="false">0.8*(1-Inputs!$B$50)*(AU34-AW34)</f>
        <v>0.00177521803493367</v>
      </c>
      <c r="AY34" s="15" t="n">
        <f aca="false">AU34-AW34-AX34</f>
        <v>0.73525547975137</v>
      </c>
      <c r="AZ34" s="15" t="n">
        <f aca="false">AY34*(1-Inputs!$B$18*EXP(-Inputs!$B$21*Inputs!$B$14*Inputs!$B$17/(Inputs!$B$22*Inputs!$B$23*Inputs!$B$24*AS34*Inputs!$B$16))*Inputs!$B$19)</f>
        <v>0.026122224567699</v>
      </c>
      <c r="BA34" s="15" t="n">
        <f aca="false">(AY34-AZ34)*(1-EXP(-Inputs!$B$25*Inputs!$B$14*Inputs!$B$17*Inputs!$B$26/(AS34*Inputs!$B$16/0.866)))</f>
        <v>0.00731785125357691</v>
      </c>
      <c r="BB34" s="15" t="n">
        <f aca="false">(AY34-AZ34-BA34)*(1-Inputs!$B$19)</f>
        <v>0.00350907701965047</v>
      </c>
      <c r="BC34" s="15" t="n">
        <f aca="false">(AV34+AW34+AX34+AZ34+BA34+BB34)*(1+Inputs!$B$27)</f>
        <v>0.302598754108826</v>
      </c>
      <c r="BD34" s="15" t="n">
        <f aca="false">Inputs!$B$52/(1-BC34-G34)</f>
        <v>196866.73138714</v>
      </c>
      <c r="BE34" s="15" t="n">
        <f aca="false">BD34/Inputs!$B$34</f>
        <v>328.111218978567</v>
      </c>
      <c r="BF34" s="15" t="n">
        <f aca="false">B34^2/BE34</f>
        <v>12.4835719203724</v>
      </c>
      <c r="BG34" s="15" t="n">
        <f aca="false">Inputs!$B$54*H34/(Inputs!$B$35*F34+E34*H34^2/(PI()*BF34*Inputs!$B$36))</f>
        <v>20.2214844117259</v>
      </c>
      <c r="BH34" s="15" t="n">
        <f aca="false">EXP(-Inputs!$B$11*Inputs!$B$14*Inputs!$B$17/(Inputs!$B$51*BG34*Inputs!$B$16))</f>
        <v>0.763054941433185</v>
      </c>
      <c r="BI34" s="15" t="n">
        <f aca="false">Inputs!$B$50*Inputs!$B$18*BH34*Inputs!$B$19</f>
        <v>0.745599471632422</v>
      </c>
      <c r="BJ34" s="15" t="n">
        <f aca="false">1-BI34</f>
        <v>0.254400528367578</v>
      </c>
      <c r="BK34" s="15" t="n">
        <f aca="false">Inputs!$B$20*BJ34</f>
        <v>0.00763201585102735</v>
      </c>
      <c r="BL34" s="15" t="n">
        <f aca="false">0.8*(1-Inputs!$B$50)*(BI34-BK34)</f>
        <v>0.00177747431773471</v>
      </c>
      <c r="BM34" s="15" t="n">
        <f aca="false">BI34-BK34-BL34</f>
        <v>0.73618998146366</v>
      </c>
      <c r="BN34" s="15" t="n">
        <f aca="false">BM34*(1-Inputs!$B$18*EXP(-Inputs!$B$21*Inputs!$B$14*Inputs!$B$17/(Inputs!$B$22*Inputs!$B$23*Inputs!$B$24*BG34*Inputs!$B$16))*Inputs!$B$19)</f>
        <v>0.026104225230328</v>
      </c>
      <c r="BO34" s="15" t="n">
        <f aca="false">(BM34-BN34)*(1-EXP(-Inputs!$B$25*Inputs!$B$14*Inputs!$B$17*Inputs!$B$26/(BG34*Inputs!$B$16/0.866)))</f>
        <v>0.00729492618088116</v>
      </c>
      <c r="BP34" s="15" t="n">
        <f aca="false">(BM34-BN34-BO34)*(1-Inputs!$B$19)</f>
        <v>0.00351395415026226</v>
      </c>
      <c r="BQ34" s="15" t="n">
        <f aca="false">(BJ34+BK34+BL34+BN34+BO34+BP34)*(1+Inputs!$B$27)</f>
        <v>0.301625293470105</v>
      </c>
      <c r="BR34" s="15" t="n">
        <f aca="false">Inputs!$B$52/(1-BQ34-G34)</f>
        <v>195717.072720297</v>
      </c>
      <c r="BS34" s="15" t="n">
        <f aca="false">BR34/Inputs!$B$34</f>
        <v>326.195121200495</v>
      </c>
      <c r="BT34" s="15" t="n">
        <f aca="false">B34^2/BS34</f>
        <v>12.5569014794749</v>
      </c>
      <c r="BU34" s="15" t="n">
        <f aca="false">Inputs!$B$54*H34/(Inputs!$B$35*F34+E34*H34^2/(PI()*BT34*Inputs!$B$36))</f>
        <v>20.2487538017172</v>
      </c>
      <c r="BV34" s="15" t="n">
        <f aca="false">EXP(-Inputs!$B$11*Inputs!$B$14*Inputs!$B$17/(Inputs!$B$51*BU34*Inputs!$B$16))</f>
        <v>0.763332886676259</v>
      </c>
      <c r="BW34" s="15" t="n">
        <f aca="false">Inputs!$B$50*Inputs!$B$18*BV34*Inputs!$B$19</f>
        <v>0.745871058663874</v>
      </c>
      <c r="BX34" s="15" t="n">
        <f aca="false">1-BW34</f>
        <v>0.254128941336126</v>
      </c>
      <c r="BY34" s="15" t="n">
        <f aca="false">Inputs!$B$20*BX34</f>
        <v>0.00762386824008379</v>
      </c>
      <c r="BZ34" s="15" t="n">
        <f aca="false">0.8*(1-Inputs!$B$50)*(BW34-BY34)</f>
        <v>0.00177814808883227</v>
      </c>
      <c r="CA34" s="15" t="n">
        <f aca="false">BW34-BY34-BZ34</f>
        <v>0.736469042334958</v>
      </c>
      <c r="CB34" s="15" t="n">
        <f aca="false">CA34*(1-Inputs!$B$18*EXP(-Inputs!$B$21*Inputs!$B$14*Inputs!$B$17/(Inputs!$B$22*Inputs!$B$23*Inputs!$B$24*BU34*Inputs!$B$16))*Inputs!$B$19)</f>
        <v>0.0260988364633191</v>
      </c>
      <c r="CC34" s="15" t="n">
        <f aca="false">(CA34-CB34)*(1-EXP(-Inputs!$B$25*Inputs!$B$14*Inputs!$B$17*Inputs!$B$26/(BU34*Inputs!$B$16/0.866)))</f>
        <v>0.00728807085361754</v>
      </c>
      <c r="CD34" s="15" t="n">
        <f aca="false">(CA34-CB34-CC34)*(1-Inputs!$B$19)</f>
        <v>0.00351541067509011</v>
      </c>
      <c r="CE34" s="15" t="n">
        <f aca="false">(BX34+BY34+BZ34+CB34+CC34+CD34)*(1+Inputs!$B$27)</f>
        <v>0.30133457548404</v>
      </c>
      <c r="CF34" s="15" t="n">
        <f aca="false">Inputs!$B$52/(1-CE34-G34)</f>
        <v>195376.333560669</v>
      </c>
      <c r="CG34" s="15" t="n">
        <f aca="false">CF34/Inputs!$B$34</f>
        <v>325.627222601114</v>
      </c>
      <c r="CH34" s="15" t="n">
        <f aca="false">B34^2/CG34</f>
        <v>12.5788008977907</v>
      </c>
      <c r="CI34" s="15" t="n">
        <f aca="false">Inputs!$B$54*H34/(Inputs!$B$35*F34+E34*H34^2/(PI()*CH34*Inputs!$B$36))</f>
        <v>20.2568501174317</v>
      </c>
      <c r="CJ34" s="15" t="n">
        <f aca="false">EXP(-Inputs!$B$11*Inputs!$B$14*Inputs!$B$17/(Inputs!$B$51*CI34*Inputs!$B$16))</f>
        <v>0.763415284339327</v>
      </c>
      <c r="CK34" s="15" t="n">
        <f aca="false">Inputs!$B$50*Inputs!$B$18*CJ34*Inputs!$B$19</f>
        <v>0.745951571416903</v>
      </c>
      <c r="CL34" s="15" t="n">
        <f aca="false">1-CK34</f>
        <v>0.254048428583098</v>
      </c>
      <c r="CM34" s="15" t="n">
        <f aca="false">Inputs!$B$20*CL34</f>
        <v>0.00762145285749293</v>
      </c>
      <c r="CN34" s="15" t="n">
        <f aca="false">0.8*(1-Inputs!$B$50)*(CK34-CM34)</f>
        <v>0.00177834783020314</v>
      </c>
      <c r="CO34" s="15" t="n">
        <f aca="false">CK34-CM34-CN34</f>
        <v>0.736551770729206</v>
      </c>
      <c r="CP34" s="15" t="n">
        <f aca="false">CO34*(1-Inputs!$B$18*EXP(-Inputs!$B$21*Inputs!$B$14*Inputs!$B$17/(Inputs!$B$22*Inputs!$B$23*Inputs!$B$24*CI34*Inputs!$B$16))*Inputs!$B$19)</f>
        <v>0.0260972377284686</v>
      </c>
      <c r="CQ34" s="15" t="n">
        <f aca="false">(CO34-CP34)*(1-EXP(-Inputs!$B$25*Inputs!$B$14*Inputs!$B$17*Inputs!$B$26/(CI34*Inputs!$B$16/0.866)))</f>
        <v>0.00728603773809044</v>
      </c>
      <c r="CR34" s="15" t="n">
        <f aca="false">(CO34-CP34-CQ34)*(1-Inputs!$B$19)</f>
        <v>0.00351584247631324</v>
      </c>
      <c r="CS34" s="15" t="n">
        <f aca="false">(CL34+CM34+CN34+CP34+CQ34+CR34)*(1+Inputs!$B$27)</f>
        <v>0.301248389255307</v>
      </c>
      <c r="CT34" s="15" t="n">
        <f aca="false">Inputs!$B$52/(1-CS34-G34)</f>
        <v>195275.545944518</v>
      </c>
      <c r="CU34" s="15" t="n">
        <f aca="false">CT34/Inputs!$B$34</f>
        <v>325.459243240864</v>
      </c>
      <c r="CV34" s="15" t="n">
        <f aca="false">B34^2/CU34</f>
        <v>12.5852931974301</v>
      </c>
      <c r="CW34" s="15" t="n">
        <f aca="false">Inputs!$B$54*H34/(Inputs!$B$35*F34+E34*H34^2/(PI()*CV34*Inputs!$B$36))</f>
        <v>20.2592461766213</v>
      </c>
      <c r="CX34" s="15" t="n">
        <f aca="false">EXP(-Inputs!$B$11*Inputs!$B$14*Inputs!$B$17/(Inputs!$B$51*CW34*Inputs!$B$16))</f>
        <v>0.763439658540499</v>
      </c>
      <c r="CY34" s="15" t="n">
        <f aca="false">Inputs!$B$50*Inputs!$B$18*CX34*Inputs!$B$19</f>
        <v>0.74597538803944</v>
      </c>
      <c r="CZ34" s="15" t="n">
        <f aca="false">1-CY34</f>
        <v>0.25402461196056</v>
      </c>
      <c r="DA34" s="15" t="n">
        <f aca="false">Inputs!$B$20*CZ34</f>
        <v>0.0076207383588168</v>
      </c>
      <c r="DB34" s="15" t="n">
        <f aca="false">0.8*(1-Inputs!$B$50)*(CY34-DA34)</f>
        <v>0.00177840691605795</v>
      </c>
      <c r="DC34" s="15" t="n">
        <f aca="false">CY34-DA34-DB34</f>
        <v>0.736576242764565</v>
      </c>
      <c r="DD34" s="15" t="n">
        <f aca="false">DC34*(1-Inputs!$B$18*EXP(-Inputs!$B$21*Inputs!$B$14*Inputs!$B$17/(Inputs!$B$22*Inputs!$B$23*Inputs!$B$24*CW34*Inputs!$B$16))*Inputs!$B$19)</f>
        <v>0.0260967646969644</v>
      </c>
      <c r="DE34" s="15" t="n">
        <f aca="false">(DC34-DD34)*(1-EXP(-Inputs!$B$25*Inputs!$B$14*Inputs!$B$17*Inputs!$B$26/(CW34*Inputs!$B$16/0.866)))</f>
        <v>0.00728543624542144</v>
      </c>
      <c r="DF34" s="15" t="n">
        <f aca="false">(DC34-DD34-DE34)*(1-Inputs!$B$19)</f>
        <v>0.0035159702091109</v>
      </c>
      <c r="DG34" s="15" t="n">
        <f aca="false">(CZ34+DA34+DB34+DD34+DE34+DF34)*(1+Inputs!$B$27)</f>
        <v>0.301222894172092</v>
      </c>
      <c r="DH34" s="15" t="n">
        <f aca="false">Inputs!$B$52/(1-DG34-G34)</f>
        <v>195245.751494944</v>
      </c>
      <c r="DI34" s="15" t="n">
        <f aca="false">DH34/Inputs!$B$34</f>
        <v>325.409585824906</v>
      </c>
      <c r="DJ34" s="15" t="n">
        <f aca="false">B34^2/DI34</f>
        <v>12.5872137098135</v>
      </c>
      <c r="DK34" s="15" t="n">
        <f aca="false">Inputs!$B$54*H34/(Inputs!$B$35*F34+E34*H34^2/(PI()*DJ34*Inputs!$B$36))</f>
        <v>20.2599545990273</v>
      </c>
      <c r="DL34" s="15" t="n">
        <f aca="false">EXP(-Inputs!$B$11*Inputs!$B$14*Inputs!$B$17/(Inputs!$B$51*DK34*Inputs!$B$16))</f>
        <v>0.763446864097647</v>
      </c>
      <c r="DM34" s="15" t="n">
        <f aca="false">Inputs!$B$50*Inputs!$B$18*DL34*Inputs!$B$19</f>
        <v>0.745982428763916</v>
      </c>
      <c r="DN34" s="15" t="n">
        <f aca="false">1-DM34</f>
        <v>0.254017571236084</v>
      </c>
      <c r="DO34" s="15" t="n">
        <f aca="false">Inputs!$B$20*DN34</f>
        <v>0.00762052713708252</v>
      </c>
      <c r="DP34" s="15" t="n">
        <f aca="false">0.8*(1-Inputs!$B$50)*(DM34-DO34)</f>
        <v>0.00177842438315361</v>
      </c>
      <c r="DQ34" s="15" t="n">
        <f aca="false">DM34-DO34-DP34</f>
        <v>0.73658347724368</v>
      </c>
      <c r="DR34" s="15" t="n">
        <f aca="false">DQ34*(1-Inputs!$B$18*EXP(-Inputs!$B$21*Inputs!$B$14*Inputs!$B$17/(Inputs!$B$22*Inputs!$B$23*Inputs!$B$24*DK34*Inputs!$B$16))*Inputs!$B$19)</f>
        <v>0.0260966248489646</v>
      </c>
      <c r="DS34" s="15" t="n">
        <f aca="false">(DQ34-DR34)*(1-EXP(-Inputs!$B$25*Inputs!$B$14*Inputs!$B$17*Inputs!$B$26/(DK34*Inputs!$B$16/0.866)))</f>
        <v>0.00728525842439022</v>
      </c>
      <c r="DT34" s="15" t="n">
        <f aca="false">(DQ34-DR34-DS34)*(1-Inputs!$B$19)</f>
        <v>0.00351600796985163</v>
      </c>
      <c r="DU34" s="15" t="n">
        <f aca="false">(DN34+DO34+DP34+DR34+DS34+DT34)*(1+Inputs!$B$27)</f>
        <v>0.301215357241525</v>
      </c>
      <c r="DV34" s="15" t="n">
        <f aca="false">Inputs!$B$52/(1-DU34-G34)</f>
        <v>195236.945314288</v>
      </c>
      <c r="DW34" s="15" t="n">
        <f aca="false">DV34/Inputs!$B$34</f>
        <v>325.394908857147</v>
      </c>
      <c r="DX34" s="15" t="n">
        <f aca="false">B34^2/DW34</f>
        <v>12.5877814572637</v>
      </c>
      <c r="DY34" s="15" t="n">
        <f aca="false">Inputs!$B$54*H34/(Inputs!$B$35*F34+E34*H34^2/(PI()*DX34*Inputs!$B$36))</f>
        <v>20.2601639930051</v>
      </c>
      <c r="DZ34" s="15" t="n">
        <f aca="false">EXP(-Inputs!$B$11*Inputs!$B$14*Inputs!$B$17/(Inputs!$B$51*DY34*Inputs!$B$16))</f>
        <v>0.763448993817338</v>
      </c>
      <c r="EA34" s="15" t="n">
        <f aca="false">Inputs!$B$50*Inputs!$B$18*DZ34*Inputs!$B$19</f>
        <v>0.745984509764628</v>
      </c>
      <c r="EB34" s="15" t="n">
        <f aca="false">1-EA34</f>
        <v>0.254015490235372</v>
      </c>
      <c r="EC34" s="15" t="n">
        <f aca="false">Inputs!$B$20*EB34</f>
        <v>0.00762046470706117</v>
      </c>
      <c r="ED34" s="15" t="n">
        <f aca="false">0.8*(1-Inputs!$B$50)*(EA34-EC34)</f>
        <v>0.00177842954583802</v>
      </c>
      <c r="EE34" s="15" t="n">
        <f aca="false">EA34-EC34-ED34</f>
        <v>0.736585615511728</v>
      </c>
      <c r="EF34" s="15" t="n">
        <f aca="false">EE34*(1-Inputs!$B$18*EXP(-Inputs!$B$21*Inputs!$B$14*Inputs!$B$17/(Inputs!$B$22*Inputs!$B$23*Inputs!$B$24*DY34*Inputs!$B$16))*Inputs!$B$19)</f>
        <v>0.0260965835137958</v>
      </c>
      <c r="EG34" s="15" t="n">
        <f aca="false">(EE34-EF34)*(1-EXP(-Inputs!$B$25*Inputs!$B$14*Inputs!$B$17*Inputs!$B$26/(DY34*Inputs!$B$16/0.866)))</f>
        <v>0.00728520586593191</v>
      </c>
      <c r="EH34" s="15" t="n">
        <f aca="false">(EE34-EF34-EG34)*(1-Inputs!$B$19)</f>
        <v>0.00351601913066001</v>
      </c>
      <c r="EI34" s="15" t="n">
        <f aca="false">(EB34+EC34+ED34+EF34+EG34+EH34)*(1+Inputs!$B$27)</f>
        <v>0.301213129577655</v>
      </c>
      <c r="EJ34" s="15" t="n">
        <f aca="false">Inputs!$B$52/(1-EI34-G34)</f>
        <v>195234.342654756</v>
      </c>
      <c r="EK34" s="15" t="n">
        <f aca="false">EJ34/Inputs!$B$34</f>
        <v>325.39057109126</v>
      </c>
      <c r="EL34" s="15" t="n">
        <f aca="false">B34^2/EK34</f>
        <v>12.5879492643664</v>
      </c>
      <c r="EM34" s="15" t="n">
        <f aca="false">Inputs!$B$54*H34/(Inputs!$B$35*F34+E34*H34^2/(PI()*EL34*Inputs!$B$36))</f>
        <v>20.2602258800536</v>
      </c>
      <c r="EN34" s="15" t="n">
        <f aca="false">EXP(-Inputs!$B$11*Inputs!$B$14*Inputs!$B$17/(Inputs!$B$51*EM34*Inputs!$B$16))</f>
        <v>0.763449623255398</v>
      </c>
      <c r="EO34" s="15" t="n">
        <f aca="false">Inputs!$B$50*Inputs!$B$18*EN34*Inputs!$B$19</f>
        <v>0.745985124803807</v>
      </c>
      <c r="EP34" s="15" t="n">
        <f aca="false">1-EO34</f>
        <v>0.254014875196193</v>
      </c>
      <c r="EQ34" s="15" t="n">
        <f aca="false">Inputs!$B$20*EP34</f>
        <v>0.00762044625588579</v>
      </c>
      <c r="ER34" s="15" t="n">
        <f aca="false">0.8*(1-Inputs!$B$50)*(EO34-EQ34)</f>
        <v>0.00177843107166795</v>
      </c>
      <c r="ES34" s="15" t="n">
        <f aca="false">EO34-EQ34-ER34</f>
        <v>0.736586247476253</v>
      </c>
      <c r="ET34" s="15" t="n">
        <f aca="false">ES34*(1-Inputs!$B$18*EXP(-Inputs!$B$21*Inputs!$B$14*Inputs!$B$17/(Inputs!$B$22*Inputs!$B$23*Inputs!$B$24*EM34*Inputs!$B$16))*Inputs!$B$19)</f>
        <v>0.0260965712971268</v>
      </c>
      <c r="EU34" s="15" t="n">
        <f aca="false">(ES34-ET34)*(1-EXP(-Inputs!$B$25*Inputs!$B$14*Inputs!$B$17*Inputs!$B$26/(EM34*Inputs!$B$16/0.866)))</f>
        <v>0.00728519033224544</v>
      </c>
      <c r="EV34" s="15" t="n">
        <f aca="false">(ES34-ET34-EU34)*(1-Inputs!$B$19)</f>
        <v>0.00351602242923441</v>
      </c>
      <c r="EW34" s="15" t="n">
        <f aca="false">(EP34+EQ34+ER34+ET34+EU34+EV34)*(1+Inputs!$B$27)</f>
        <v>0.301212471192101</v>
      </c>
      <c r="EX34" s="15" t="n">
        <f aca="false">Inputs!$B$52/(1-EW34-G34)</f>
        <v>195233.573452603</v>
      </c>
      <c r="EY34" s="15" t="n">
        <f aca="false">EX34/Inputs!$B$34</f>
        <v>325.389289087672</v>
      </c>
      <c r="EZ34" s="15" t="n">
        <f aca="false">B34^2/EY34</f>
        <v>12.5879988597178</v>
      </c>
      <c r="FA34" s="15" t="n">
        <f aca="false">Inputs!$B$54*H34/(Inputs!$B$35*F34+E34*H34^2/(PI()*EZ34*Inputs!$B$36))</f>
        <v>20.2602441705134</v>
      </c>
      <c r="FB34" s="15" t="n">
        <f aca="false">EXP(-Inputs!$B$11*Inputs!$B$14*Inputs!$B$17/(Inputs!$B$51*FA34*Inputs!$B$16))</f>
        <v>0.763449809282561</v>
      </c>
      <c r="FC34" s="15" t="n">
        <f aca="false">Inputs!$B$50*Inputs!$B$18*FB34*Inputs!$B$19</f>
        <v>0.745985306575456</v>
      </c>
      <c r="FD34" s="15" t="n">
        <f aca="false">1-FC34</f>
        <v>0.254014693424544</v>
      </c>
      <c r="FE34" s="15" t="n">
        <f aca="false">Inputs!$B$20*FD34</f>
        <v>0.00762044080273633</v>
      </c>
      <c r="FF34" s="15" t="n">
        <f aca="false">0.8*(1-Inputs!$B$50)*(FC34-FE34)</f>
        <v>0.0017784315226191</v>
      </c>
      <c r="FG34" s="15" t="n">
        <f aca="false">FC34-FE34-FF34</f>
        <v>0.7365864342501</v>
      </c>
      <c r="FH34" s="15" t="n">
        <f aca="false">FG34*(1-Inputs!$B$18*EXP(-Inputs!$B$21*Inputs!$B$14*Inputs!$B$17/(Inputs!$B$22*Inputs!$B$23*Inputs!$B$24*FA34*Inputs!$B$16))*Inputs!$B$19)</f>
        <v>0.0260965676865473</v>
      </c>
      <c r="FI34" s="15" t="n">
        <f aca="false">(FG34-FH34)*(1-EXP(-Inputs!$B$25*Inputs!$B$14*Inputs!$B$17*Inputs!$B$26/(FA34*Inputs!$B$16/0.866)))</f>
        <v>0.00728518574134042</v>
      </c>
      <c r="FJ34" s="15" t="n">
        <f aca="false">(FG34-FH34-FI34)*(1-Inputs!$B$19)</f>
        <v>0.00351602340411107</v>
      </c>
      <c r="FK34" s="15" t="n">
        <f aca="false">(FD34+FE34+FF34+FH34+FI34+FJ34)*(1+Inputs!$B$27)</f>
        <v>0.301212276609644</v>
      </c>
      <c r="FL34" s="15" t="n">
        <f aca="false">Inputs!$B$52/(1-FK34-G34)</f>
        <v>195233.346120033</v>
      </c>
      <c r="FM34" s="15" t="n">
        <f aca="false">FL34/Inputs!$B$34</f>
        <v>325.388910200054</v>
      </c>
      <c r="FN34" s="15" t="n">
        <f aca="false">B34^2/FM34</f>
        <v>12.5880135173682</v>
      </c>
      <c r="FO34" s="15" t="n">
        <f aca="false">Inputs!$B$54*H34/(Inputs!$B$35*F34+E34*H34^2/(PI()*FN34*Inputs!$B$36))</f>
        <v>20.2602495761432</v>
      </c>
      <c r="FP34" s="15" t="n">
        <f aca="false">EXP(-Inputs!$B$11*Inputs!$B$14*Inputs!$B$17/(Inputs!$B$51*FO34*Inputs!$B$16))</f>
        <v>0.763449864261658</v>
      </c>
      <c r="FQ34" s="15" t="n">
        <f aca="false">Inputs!$B$50*Inputs!$B$18*FP34*Inputs!$B$19</f>
        <v>0.745985360296863</v>
      </c>
      <c r="FR34" s="15" t="n">
        <f aca="false">1-FQ34</f>
        <v>0.254014639703137</v>
      </c>
      <c r="FS34" s="15" t="n">
        <f aca="false">Inputs!$B$20*FR34</f>
        <v>0.0076204391910941</v>
      </c>
      <c r="FT34" s="15" t="n">
        <f aca="false">0.8*(1-Inputs!$B$50)*(FQ34-FS34)</f>
        <v>0.00177843165589473</v>
      </c>
      <c r="FU34" s="15" t="n">
        <f aca="false">FQ34-FS34-FT34</f>
        <v>0.736586489449875</v>
      </c>
      <c r="FV34" s="15" t="n">
        <f aca="false">FU34*(1-Inputs!$B$18*EXP(-Inputs!$B$21*Inputs!$B$14*Inputs!$B$17/(Inputs!$B$22*Inputs!$B$23*Inputs!$B$24*FO34*Inputs!$B$16))*Inputs!$B$19)</f>
        <v>0.0260965666194638</v>
      </c>
      <c r="FW34" s="15" t="n">
        <f aca="false">(FU34-FV34)*(1-EXP(-Inputs!$B$25*Inputs!$B$14*Inputs!$B$17*Inputs!$B$26/(FO34*Inputs!$B$16/0.866)))</f>
        <v>0.00728518438452851</v>
      </c>
      <c r="FX34" s="15" t="n">
        <f aca="false">(FU34-FV34-FW34)*(1-Inputs!$B$19)</f>
        <v>0.00351602369222941</v>
      </c>
      <c r="FY34" s="15" t="n">
        <f aca="false">(FR34+FS34+FT34+FV34+FW34+FX34)*(1+Inputs!$B$27)</f>
        <v>0.301212219102086</v>
      </c>
      <c r="FZ34" s="15" t="n">
        <f aca="false">Inputs!$B$52/(1-FY34-G34)</f>
        <v>195233.278933497</v>
      </c>
      <c r="GA34" s="15" t="n">
        <f aca="false">FZ34/Inputs!$B$34</f>
        <v>325.388798222494</v>
      </c>
      <c r="GB34" s="15" t="n">
        <f aca="false">B34^2/GA34</f>
        <v>12.5880178493399</v>
      </c>
      <c r="GC34" s="15" t="n">
        <f aca="false">Inputs!$B$54*H34/(Inputs!$B$35*F34+E34*H34^2/(PI()*GB34*Inputs!$B$36))</f>
        <v>20.2602511737394</v>
      </c>
      <c r="GD34" s="15" t="n">
        <f aca="false">EXP(-Inputs!$B$11*Inputs!$B$14*Inputs!$B$17/(Inputs!$B$51*GC34*Inputs!$B$16))</f>
        <v>0.763449880510343</v>
      </c>
      <c r="GE34" s="15" t="n">
        <f aca="false">Inputs!$B$50*Inputs!$B$18*GD34*Inputs!$B$19</f>
        <v>0.745985376173847</v>
      </c>
      <c r="GF34" s="15" t="n">
        <f aca="false">1-GE34</f>
        <v>0.254014623826153</v>
      </c>
      <c r="GG34" s="15" t="n">
        <f aca="false">Inputs!$B$20*GF34</f>
        <v>0.00762043871478459</v>
      </c>
      <c r="GH34" s="15" t="n">
        <f aca="false">0.8*(1-Inputs!$B$50)*(GE34-GG34)</f>
        <v>0.0017784316952834</v>
      </c>
      <c r="GI34" s="15" t="n">
        <f aca="false">GE34-GG34-GH34</f>
        <v>0.736586505763779</v>
      </c>
      <c r="GJ34" s="15" t="n">
        <f aca="false">GI34*(1-Inputs!$B$18*EXP(-Inputs!$B$21*Inputs!$B$14*Inputs!$B$17/(Inputs!$B$22*Inputs!$B$23*Inputs!$B$24*GC34*Inputs!$B$16))*Inputs!$B$19)</f>
        <v>0.0260965663040948</v>
      </c>
      <c r="GK34" s="15" t="n">
        <f aca="false">(GI34-GJ34)*(1-EXP(-Inputs!$B$25*Inputs!$B$14*Inputs!$B$17*Inputs!$B$26/(GC34*Inputs!$B$16/0.866)))</f>
        <v>0.00728518398353225</v>
      </c>
      <c r="GL34" s="15" t="n">
        <f aca="false">(GI34-GJ34-GK34)*(1-Inputs!$B$19)</f>
        <v>0.00351602377738076</v>
      </c>
      <c r="GM34" s="15" t="n">
        <f aca="false">(GF34+GG34+GH34+GJ34+GK34+GL34)*(1+Inputs!$B$27)</f>
        <v>0.301212202106132</v>
      </c>
      <c r="GN34" s="15" t="n">
        <f aca="false">Inputs!$B$52/(1-GM34-G34)</f>
        <v>195233.259076998</v>
      </c>
      <c r="GO34" s="15" t="n">
        <f aca="false">GN34/Inputs!$B$34</f>
        <v>325.388765128329</v>
      </c>
      <c r="GP34" s="15" t="n">
        <f aca="false">B34^2/GO34</f>
        <v>12.5880191296236</v>
      </c>
      <c r="GQ34" s="15" t="n">
        <f aca="false">Inputs!$B$54*H34/(Inputs!$B$35*F34+E34*H34^2/(PI()*GP34*Inputs!$B$36))</f>
        <v>20.2602516458976</v>
      </c>
      <c r="GR34" s="15" t="n">
        <f aca="false">EXP(-Inputs!$B$11*Inputs!$B$14*Inputs!$B$17/(Inputs!$B$51*GQ34*Inputs!$B$16))</f>
        <v>0.763449885312526</v>
      </c>
      <c r="GS34" s="15" t="n">
        <f aca="false">Inputs!$B$50*Inputs!$B$18*GR34*Inputs!$B$19</f>
        <v>0.745985380866176</v>
      </c>
      <c r="GT34" s="15" t="n">
        <f aca="false">1-GS34</f>
        <v>0.254014619133824</v>
      </c>
      <c r="GU34" s="15" t="n">
        <f aca="false">Inputs!$B$20*GT34</f>
        <v>0.00762043857401473</v>
      </c>
      <c r="GV34" s="15" t="n">
        <f aca="false">0.8*(1-Inputs!$B$50)*(GS34-GU34)</f>
        <v>0.00177843170692444</v>
      </c>
      <c r="GW34" s="15" t="n">
        <f aca="false">GS34-GU34-GV34</f>
        <v>0.736586510585237</v>
      </c>
      <c r="GX34" s="15" t="n">
        <f aca="false">GW34*(1-Inputs!$B$18*EXP(-Inputs!$B$21*Inputs!$B$14*Inputs!$B$17/(Inputs!$B$22*Inputs!$B$23*Inputs!$B$24*GQ34*Inputs!$B$16))*Inputs!$B$19)</f>
        <v>0.0260965662108898</v>
      </c>
      <c r="GY34" s="15" t="n">
        <f aca="false">(GW34-GX34)*(1-EXP(-Inputs!$B$25*Inputs!$B$14*Inputs!$B$17*Inputs!$B$26/(GQ34*Inputs!$B$16/0.866)))</f>
        <v>0.00728518386502066</v>
      </c>
      <c r="GZ34" s="15" t="n">
        <f aca="false">(GW34-GX34-GY34)*(1-Inputs!$B$19)</f>
        <v>0.00351602380254663</v>
      </c>
      <c r="HA34" s="15" t="n">
        <f aca="false">(GT34+GU34+GV34+GX34+GY34+GZ34)*(1+Inputs!$B$27)</f>
        <v>0.3012121970831</v>
      </c>
      <c r="HB34" s="15" t="n">
        <f aca="false">Inputs!$B$52/(1-HA34-G34)</f>
        <v>195233.253208553</v>
      </c>
      <c r="HC34" s="15" t="n">
        <f aca="false">HB34/Inputs!$B$34</f>
        <v>325.388755347588</v>
      </c>
      <c r="HD34" s="15" t="n">
        <f aca="false">B34^2/HC34</f>
        <v>12.5880195080022</v>
      </c>
      <c r="HE34" s="15" t="n">
        <f aca="false">Inputs!$B$54*H34/(Inputs!$B$35*F34+E34*H34^2/(PI()*HD34*Inputs!$B$36))</f>
        <v>20.2602517854406</v>
      </c>
      <c r="HF34" s="15" t="n">
        <f aca="false">EXP(-Inputs!$B$11*Inputs!$B$14*Inputs!$B$17/(Inputs!$B$51*HE34*Inputs!$B$16))</f>
        <v>0.763449886731776</v>
      </c>
      <c r="HG34" s="15" t="n">
        <f aca="false">Inputs!$B$50*Inputs!$B$18*HF34*Inputs!$B$19</f>
        <v>0.74598538225296</v>
      </c>
      <c r="HH34" s="15" t="n">
        <f aca="false">1-HG34</f>
        <v>0.25401461774704</v>
      </c>
      <c r="HI34" s="15" t="n">
        <f aca="false">Inputs!$B$20*HH34</f>
        <v>0.00762043853241121</v>
      </c>
      <c r="HJ34" s="15" t="n">
        <f aca="false">0.8*(1-Inputs!$B$50)*(HG34-HI34)</f>
        <v>0.00177843171036486</v>
      </c>
      <c r="HK34" s="15" t="n">
        <f aca="false">HG34-HI34-HJ34</f>
        <v>0.736586512010184</v>
      </c>
      <c r="HL34" s="15" t="n">
        <f aca="false">HK34*(1-Inputs!$B$18*EXP(-Inputs!$B$21*Inputs!$B$14*Inputs!$B$17/(Inputs!$B$22*Inputs!$B$23*Inputs!$B$24*HE34*Inputs!$B$16))*Inputs!$B$19)</f>
        <v>0.0260965661833437</v>
      </c>
      <c r="HM34" s="15" t="n">
        <f aca="false">(HK34-HL34)*(1-EXP(-Inputs!$B$25*Inputs!$B$14*Inputs!$B$17*Inputs!$B$26/(HE34*Inputs!$B$16/0.866)))</f>
        <v>0.00728518382999544</v>
      </c>
      <c r="HN34" s="15" t="n">
        <f aca="false">(HK34-HL34-HM34)*(1-Inputs!$B$19)</f>
        <v>0.00351602380998423</v>
      </c>
      <c r="HO34" s="15" t="n">
        <f aca="false">(HH34+HI34+HJ34+HL34+HM34+HN34)*(1+Inputs!$B$27)</f>
        <v>0.301212195598579</v>
      </c>
      <c r="HP34" s="15" t="n">
        <f aca="false">Inputs!$B$52/(1-HO34-G34)</f>
        <v>195233.251474176</v>
      </c>
      <c r="HQ34" s="15" t="n">
        <f aca="false">HP34/Inputs!$B$34</f>
        <v>325.38875245696</v>
      </c>
      <c r="HR34" s="15" t="n">
        <f aca="false">B34^2/HQ34</f>
        <v>12.5880196198293</v>
      </c>
      <c r="HS34" s="15" t="n">
        <f aca="false">Inputs!$B$54*H34/(Inputs!$B$35*F34+E34*H34^2/(PI()*HR34*Inputs!$B$36))</f>
        <v>20.2602518266815</v>
      </c>
      <c r="HT34" s="15" t="n">
        <f aca="false">EXP(-Inputs!$B$11*Inputs!$B$14*Inputs!$B$17/(Inputs!$B$51*HS34*Inputs!$B$16))</f>
        <v>0.763449887151225</v>
      </c>
      <c r="HU34" s="15" t="n">
        <f aca="false">Inputs!$B$50*Inputs!$B$18*HT34*Inputs!$B$19</f>
        <v>0.745985382662814</v>
      </c>
      <c r="HV34" s="15" t="n">
        <f aca="false">1-HU34</f>
        <v>0.254014617337186</v>
      </c>
      <c r="HW34" s="15" t="n">
        <f aca="false">Inputs!$B$20*HV34</f>
        <v>0.00762043852011559</v>
      </c>
      <c r="HX34" s="15" t="n">
        <f aca="false">0.8*(1-Inputs!$B$50)*(HU34-HW34)</f>
        <v>0.00177843171138166</v>
      </c>
      <c r="HY34" s="15" t="n">
        <f aca="false">HU34-HW34-HX34</f>
        <v>0.736586512431316</v>
      </c>
      <c r="HZ34" s="15" t="n">
        <f aca="false">HY34*(1-Inputs!$B$18*EXP(-Inputs!$B$21*Inputs!$B$14*Inputs!$B$17/(Inputs!$B$22*Inputs!$B$23*Inputs!$B$24*HS34*Inputs!$B$16))*Inputs!$B$19)</f>
        <v>0.0260965661752026</v>
      </c>
      <c r="IA34" s="15" t="n">
        <f aca="false">(HY34-HZ34)*(1-EXP(-Inputs!$B$25*Inputs!$B$14*Inputs!$B$17*Inputs!$B$26/(HS34*Inputs!$B$16/0.866)))</f>
        <v>0.00728518381964397</v>
      </c>
      <c r="IB34" s="15" t="n">
        <f aca="false">(HY34-HZ34-IA34)*(1-Inputs!$B$19)</f>
        <v>0.00351602381218235</v>
      </c>
      <c r="IC34" s="15" t="n">
        <f aca="false">(HV34+HW34+HX34+HZ34+IA34+IB34)*(1+Inputs!$B$27)</f>
        <v>0.30121219515984</v>
      </c>
      <c r="ID34" s="15" t="n">
        <f aca="false">Inputs!$B$52/(1-IC34-G34)</f>
        <v>195233.250961593</v>
      </c>
      <c r="IE34" s="15" t="n">
        <f aca="false">ID34/Inputs!$B$34</f>
        <v>325.388751602656</v>
      </c>
      <c r="IF34" s="15" t="n">
        <f aca="false">B34^2/IE34</f>
        <v>12.588019652879</v>
      </c>
      <c r="IG34" s="15" t="n">
        <f aca="false">Inputs!$B$54*H34/(Inputs!$B$35*F34+E34*H34^2/(PI()*IF34*Inputs!$B$36))</f>
        <v>20.2602518388699</v>
      </c>
      <c r="IH34" s="15" t="n">
        <f aca="false">EXP(-Inputs!$B$11*Inputs!$B$14*Inputs!$B$17/(Inputs!$B$51*IG34*Inputs!$B$16))</f>
        <v>0.76344988727519</v>
      </c>
      <c r="II34" s="15" t="n">
        <f aca="false">Inputs!$B$50*Inputs!$B$18*IH34*Inputs!$B$19</f>
        <v>0.745985382783943</v>
      </c>
      <c r="IJ34" s="15" t="n">
        <f aca="false">1-II34</f>
        <v>0.254014617216057</v>
      </c>
      <c r="IK34" s="15" t="n">
        <f aca="false">Inputs!$B$20*IJ34</f>
        <v>0.00762043851648171</v>
      </c>
      <c r="IL34" s="15" t="n">
        <f aca="false">0.8*(1-Inputs!$B$50)*(II34-IK34)</f>
        <v>0.00177843171168216</v>
      </c>
      <c r="IM34" s="15" t="n">
        <f aca="false">II34-IK34-IL34</f>
        <v>0.736586512555779</v>
      </c>
      <c r="IN34" s="15" t="n">
        <f aca="false">IM34*(1-Inputs!$B$18*EXP(-Inputs!$B$21*Inputs!$B$14*Inputs!$B$17/(Inputs!$B$22*Inputs!$B$23*Inputs!$B$24*IG34*Inputs!$B$16))*Inputs!$B$19)</f>
        <v>0.0260965661727967</v>
      </c>
      <c r="IO34" s="15" t="n">
        <f aca="false">(IM34-IN34)*(1-EXP(-Inputs!$B$25*Inputs!$B$14*Inputs!$B$17*Inputs!$B$26/(IG34*Inputs!$B$16/0.866)))</f>
        <v>0.00728518381658467</v>
      </c>
      <c r="IP34" s="15" t="n">
        <f aca="false">(IM34-IN34-IO34)*(1-Inputs!$B$19)</f>
        <v>0.00351602381283199</v>
      </c>
      <c r="IQ34" s="15" t="n">
        <f aca="false">(IJ34+IK34+IL34+IN34+IO34+IP34)*(1+Inputs!$B$27)</f>
        <v>0.301212195030174</v>
      </c>
      <c r="IR34" s="15" t="n">
        <f aca="false">Inputs!$B$52/(1-IQ34-G34)</f>
        <v>195233.250810104</v>
      </c>
      <c r="IS34" s="15" t="n">
        <f aca="false">IR34/Inputs!$B$34</f>
        <v>325.388751350173</v>
      </c>
      <c r="IT34" s="15" t="n">
        <f aca="false">B34^2/IS34</f>
        <v>12.5880196626466</v>
      </c>
      <c r="IU34" s="15" t="n">
        <f aca="false">Inputs!$B$54*H34/(Inputs!$B$35*F34+E34*H34^2/(PI()*IT34*Inputs!$B$36))</f>
        <v>20.2602518424721</v>
      </c>
      <c r="IV34" s="15" t="n">
        <f aca="false">EXP(-Inputs!$B$11*Inputs!$B$14*Inputs!$B$17/(Inputs!$B$51*IU34*Inputs!$B$16))</f>
        <v>0.763449887311827</v>
      </c>
      <c r="IW34" s="15" t="n">
        <f aca="false">Inputs!$B$50*Inputs!$B$18*IV34*Inputs!$B$19</f>
        <v>0.745985382819742</v>
      </c>
      <c r="IX34" s="15" t="n">
        <f aca="false">1-IW34</f>
        <v>0.254014617180258</v>
      </c>
      <c r="IY34" s="15" t="n">
        <f aca="false">Inputs!$B$20*IX34</f>
        <v>0.00762043851540775</v>
      </c>
      <c r="IZ34" s="15" t="n">
        <f aca="false">0.8*(1-Inputs!$B$50)*(IW34-IY34)</f>
        <v>0.00177843171177097</v>
      </c>
      <c r="JA34" s="15" t="n">
        <f aca="false">IW34-IY34-IZ34</f>
        <v>0.736586512592563</v>
      </c>
      <c r="JB34" s="15" t="n">
        <f aca="false">JA34*(1-Inputs!$B$18*EXP(-Inputs!$B$21*Inputs!$B$14*Inputs!$B$17/(Inputs!$B$22*Inputs!$B$23*Inputs!$B$24*IU34*Inputs!$B$16))*Inputs!$B$19)</f>
        <v>0.0260965661720855</v>
      </c>
      <c r="JC34" s="15" t="n">
        <f aca="false">(JA34-JB34)*(1-EXP(-Inputs!$B$25*Inputs!$B$14*Inputs!$B$17*Inputs!$B$26/(IU34*Inputs!$B$16/0.866)))</f>
        <v>0.00728518381568055</v>
      </c>
      <c r="JD34" s="15" t="n">
        <f aca="false">(JA34-JB34-JC34)*(1-Inputs!$B$19)</f>
        <v>0.00351602381302399</v>
      </c>
      <c r="JE34" s="15" t="n">
        <f aca="false">(IX34+IY34+IZ34+JB34+JC34+JD34)*(1+Inputs!$B$27)</f>
        <v>0.301212194991852</v>
      </c>
      <c r="JF34" s="15" t="n">
        <f aca="false">Inputs!$B$52/(1-JE34-G34)</f>
        <v>195233.250765332</v>
      </c>
      <c r="JG34" s="15" t="n">
        <f aca="false">JF34/Inputs!$B$34</f>
        <v>325.388751275553</v>
      </c>
      <c r="JH34" s="15" t="n">
        <f aca="false">B34^2/JG34</f>
        <v>12.5880196655333</v>
      </c>
      <c r="JI34" s="15" t="n">
        <f aca="false">Inputs!$B$54*H34/(Inputs!$B$35*F34+E34*H34^2/(PI()*JH34*Inputs!$B$36))</f>
        <v>20.2602518435367</v>
      </c>
      <c r="JJ34" s="15" t="n">
        <f aca="false">EXP(-Inputs!$B$11*Inputs!$B$14*Inputs!$B$17/(Inputs!$B$51*JI34*Inputs!$B$16))</f>
        <v>0.763449887322655</v>
      </c>
      <c r="JK34" s="15" t="n">
        <f aca="false">Inputs!$B$50*Inputs!$B$18*JJ34*Inputs!$B$19</f>
        <v>0.745985382830322</v>
      </c>
      <c r="JL34" s="15" t="n">
        <f aca="false">1-JK34</f>
        <v>0.254014617169678</v>
      </c>
      <c r="JM34" s="15" t="n">
        <f aca="false">Inputs!$B$20*JL34</f>
        <v>0.00762043851509034</v>
      </c>
      <c r="JN34" s="15" t="n">
        <f aca="false">0.8*(1-Inputs!$B$50)*(JK34-JM34)</f>
        <v>0.00177843171179722</v>
      </c>
      <c r="JO34" s="15" t="n">
        <f aca="false">JK34-JM34-JN34</f>
        <v>0.736586512603434</v>
      </c>
      <c r="JP34" s="15" t="n">
        <f aca="false">JO34*(1-Inputs!$B$18*EXP(-Inputs!$B$21*Inputs!$B$14*Inputs!$B$17/(Inputs!$B$22*Inputs!$B$23*Inputs!$B$24*JI34*Inputs!$B$16))*Inputs!$B$19)</f>
        <v>0.0260965661718754</v>
      </c>
      <c r="JQ34" s="15" t="n">
        <f aca="false">(JO34-JP34)*(1-EXP(-Inputs!$B$25*Inputs!$B$14*Inputs!$B$17*Inputs!$B$26/(JI34*Inputs!$B$16/0.866)))</f>
        <v>0.00728518381541334</v>
      </c>
      <c r="JR34" s="15" t="n">
        <f aca="false">(JO34-JP34-JQ34)*(1-Inputs!$B$19)</f>
        <v>0.00351602381308073</v>
      </c>
      <c r="JS34" s="15" t="n">
        <f aca="false">(JL34+JM34+JN34+JP34+JQ34+JR34)*(1+Inputs!$B$27)</f>
        <v>0.301212194980526</v>
      </c>
      <c r="JT34" s="15" t="n">
        <f aca="false">Inputs!$B$52/(1-JS34-G34)</f>
        <v>195233.2507521</v>
      </c>
      <c r="JU34" s="15" t="n">
        <f aca="false">JT34/Inputs!$B$34</f>
        <v>325.3887512535</v>
      </c>
      <c r="JV34" s="15" t="n">
        <f aca="false">B34^2/JU34</f>
        <v>12.5880196663865</v>
      </c>
      <c r="JW34" s="15" t="n">
        <f aca="false">Inputs!$B$54*H34/(Inputs!$B$35*F34+E34*H34^2/(PI()*JV34*Inputs!$B$36))</f>
        <v>20.2602518438514</v>
      </c>
      <c r="JX34" s="15" t="n">
        <f aca="false">EXP(-Inputs!$B$11*Inputs!$B$14*Inputs!$B$17/(Inputs!$B$51*JW34*Inputs!$B$16))</f>
        <v>0.763449887325855</v>
      </c>
      <c r="JY34" s="15" t="n">
        <f aca="false">Inputs!$B$50*Inputs!$B$18*JX34*Inputs!$B$19</f>
        <v>0.745985382833449</v>
      </c>
      <c r="JZ34" s="15" t="n">
        <f aca="false">1-JY34</f>
        <v>0.254014617166551</v>
      </c>
      <c r="KA34" s="15" t="n">
        <f aca="false">Inputs!$B$20*JZ34</f>
        <v>0.00762043851499653</v>
      </c>
      <c r="KB34" s="15" t="n">
        <f aca="false">0.8*(1-Inputs!$B$50)*(JY34-KA34)</f>
        <v>0.00177843171180498</v>
      </c>
      <c r="KC34" s="15" t="n">
        <f aca="false">JY34-KA34-KB34</f>
        <v>0.736586512606647</v>
      </c>
      <c r="KD34" s="15" t="n">
        <f aca="false">KC34*(1-Inputs!$B$18*EXP(-Inputs!$B$21*Inputs!$B$14*Inputs!$B$17/(Inputs!$B$22*Inputs!$B$23*Inputs!$B$24*JW34*Inputs!$B$16))*Inputs!$B$19)</f>
        <v>0.0260965661718133</v>
      </c>
      <c r="KE34" s="15" t="n">
        <f aca="false">(KC34-KD34)*(1-EXP(-Inputs!$B$25*Inputs!$B$14*Inputs!$B$17*Inputs!$B$26/(JW34*Inputs!$B$16/0.866)))</f>
        <v>0.00728518381533436</v>
      </c>
      <c r="KF34" s="15" t="n">
        <f aca="false">(KC34-KD34-KE34)*(1-Inputs!$B$19)</f>
        <v>0.0035160238130975</v>
      </c>
      <c r="KG34" s="15" t="n">
        <f aca="false">(JZ34+KA34+KB34+KD34+KE34+KF34)*(1+Inputs!$B$27)</f>
        <v>0.301212194977179</v>
      </c>
      <c r="KH34" s="15" t="n">
        <f aca="false">Inputs!$B$52/(1-KG34-G34)</f>
        <v>195233.250748189</v>
      </c>
      <c r="KI34" s="15" t="n">
        <f aca="false">KH34/Inputs!$B$34</f>
        <v>325.388751246982</v>
      </c>
      <c r="KJ34" s="15" t="n">
        <f aca="false">B34^2/KI34</f>
        <v>12.5880196666386</v>
      </c>
      <c r="KK34" s="15" t="n">
        <f aca="false">Inputs!$B$54*H34/(Inputs!$B$35*F34+E34*H34^2/(PI()*KJ34*Inputs!$B$36))</f>
        <v>20.2602518439444</v>
      </c>
      <c r="KL34" s="15" t="n">
        <f aca="false">EXP(-Inputs!$B$11*Inputs!$B$14*Inputs!$B$17/(Inputs!$B$51*KK34*Inputs!$B$16))</f>
        <v>0.763449887326801</v>
      </c>
      <c r="KM34" s="15" t="n">
        <f aca="false">Inputs!$B$50*Inputs!$B$18*KL34*Inputs!$B$19</f>
        <v>0.745985382834373</v>
      </c>
      <c r="KN34" s="15" t="n">
        <f aca="false">1-KM34</f>
        <v>0.254014617165627</v>
      </c>
      <c r="KO34" s="15" t="n">
        <f aca="false">Inputs!$B$20*KN34</f>
        <v>0.00762043851496881</v>
      </c>
      <c r="KP34" s="15" t="n">
        <f aca="false">0.8*(1-Inputs!$B$50)*(KM34-KO34)</f>
        <v>0.00177843171180727</v>
      </c>
      <c r="KQ34" s="15" t="n">
        <f aca="false">KM34-KO34-KP34</f>
        <v>0.736586512607597</v>
      </c>
      <c r="KR34" s="15" t="n">
        <f aca="false">KQ34*(1-Inputs!$B$18*EXP(-Inputs!$B$21*Inputs!$B$14*Inputs!$B$17/(Inputs!$B$22*Inputs!$B$23*Inputs!$B$24*KK34*Inputs!$B$16))*Inputs!$B$19)</f>
        <v>0.0260965661717949</v>
      </c>
      <c r="KS34" s="15" t="n">
        <f aca="false">(KQ34-KR34)*(1-EXP(-Inputs!$B$25*Inputs!$B$14*Inputs!$B$17*Inputs!$B$26/(KK34*Inputs!$B$16/0.866)))</f>
        <v>0.007285183815311</v>
      </c>
      <c r="KT34" s="15" t="n">
        <f aca="false">(KQ34-KR34-KS34)*(1-Inputs!$B$19)</f>
        <v>0.00351602381310246</v>
      </c>
      <c r="KU34" s="15" t="n">
        <f aca="false">(KN34+KO34+KP34+KR34+KS34+KT34)*(1+Inputs!$B$27)</f>
        <v>0.301212194976189</v>
      </c>
      <c r="KV34" s="15" t="n">
        <f aca="false">Inputs!$B$52/(1-KU34-G34)</f>
        <v>195233.250747033</v>
      </c>
      <c r="KW34" s="15" t="n">
        <f aca="false">KV34/Inputs!$B$34</f>
        <v>325.388751245056</v>
      </c>
      <c r="KX34" s="15" t="n">
        <f aca="false">B34^2/KW34</f>
        <v>12.5880196667132</v>
      </c>
      <c r="KY34" s="15" t="n">
        <f aca="false">Inputs!$B$54*H34/(Inputs!$B$35*F34+E34*H34^2/(PI()*KX34*Inputs!$B$36))</f>
        <v>20.2602518439719</v>
      </c>
      <c r="KZ34" s="15" t="n">
        <f aca="false">EXP(-Inputs!$B$11*Inputs!$B$14*Inputs!$B$17/(Inputs!$B$51*KY34*Inputs!$B$16))</f>
        <v>0.76344988732708</v>
      </c>
      <c r="LA34" s="15" t="n">
        <f aca="false">Inputs!$B$50*Inputs!$B$18*KZ34*Inputs!$B$19</f>
        <v>0.745985382834646</v>
      </c>
      <c r="LB34" s="15" t="n">
        <f aca="false">1-LA34</f>
        <v>0.254014617165354</v>
      </c>
      <c r="LC34" s="15" t="n">
        <f aca="false">Inputs!$B$20*LB34</f>
        <v>0.00762043851496062</v>
      </c>
      <c r="LD34" s="15" t="n">
        <f aca="false">0.8*(1-Inputs!$B$50)*(LA34-LC34)</f>
        <v>0.00177843171180795</v>
      </c>
      <c r="LE34" s="15" t="n">
        <f aca="false">LA34-LC34-LD34</f>
        <v>0.736586512607878</v>
      </c>
      <c r="LF34" s="15" t="n">
        <f aca="false">LE34*(1-Inputs!$B$18*EXP(-Inputs!$B$21*Inputs!$B$14*Inputs!$B$17/(Inputs!$B$22*Inputs!$B$23*Inputs!$B$24*KY34*Inputs!$B$16))*Inputs!$B$19)</f>
        <v>0.0260965661717895</v>
      </c>
      <c r="LG34" s="15" t="n">
        <f aca="false">(LE34-LF34)*(1-EXP(-Inputs!$B$25*Inputs!$B$14*Inputs!$B$17*Inputs!$B$26/(KY34*Inputs!$B$16/0.866)))</f>
        <v>0.00728518381530407</v>
      </c>
      <c r="LH34" s="15" t="n">
        <f aca="false">(LE34-LF34-LG34)*(1-Inputs!$B$19)</f>
        <v>0.00351602381310392</v>
      </c>
      <c r="LI34" s="15" t="n">
        <f aca="false">(LB34+LC34+LD34+LF34+LG34+LH34)*(1+Inputs!$B$27)</f>
        <v>0.301212194975897</v>
      </c>
      <c r="LJ34" s="15" t="n">
        <f aca="false">Inputs!$B$52/(1-LI34-G34)</f>
        <v>195233.250746692</v>
      </c>
      <c r="LK34" s="15" t="n">
        <f aca="false">LJ34/Inputs!$B$34</f>
        <v>325.388751244486</v>
      </c>
      <c r="LL34" s="15" t="n">
        <f aca="false">B34^2/LK34</f>
        <v>12.5880196667352</v>
      </c>
      <c r="LM34" s="15" t="n">
        <f aca="false">Inputs!$B$54*H34/(Inputs!$B$35*F34+E34*H34^2/(PI()*LL34*Inputs!$B$36))</f>
        <v>20.26025184398</v>
      </c>
      <c r="LN34" s="15" t="n">
        <f aca="false">EXP(-Inputs!$B$11*Inputs!$B$14*Inputs!$B$17/(Inputs!$B$51*LM34*Inputs!$B$16))</f>
        <v>0.763449887327163</v>
      </c>
      <c r="LO34" s="15" t="n">
        <f aca="false">Inputs!$B$50*Inputs!$B$18*LN34*Inputs!$B$19</f>
        <v>0.745985382834727</v>
      </c>
      <c r="LP34" s="15" t="n">
        <f aca="false">1-LO34</f>
        <v>0.254014617165273</v>
      </c>
      <c r="LQ34" s="15" t="n">
        <f aca="false">Inputs!$B$20*LP34</f>
        <v>0.0076204385149582</v>
      </c>
      <c r="LR34" s="15" t="n">
        <f aca="false">0.8*(1-Inputs!$B$50)*(LO34-LQ34)</f>
        <v>0.00177843171180815</v>
      </c>
      <c r="LS34" s="15" t="n">
        <f aca="false">LO34-LQ34-LR34</f>
        <v>0.736586512607961</v>
      </c>
      <c r="LT34" s="15" t="n">
        <f aca="false">LS34*(1-Inputs!$B$18*EXP(-Inputs!$B$21*Inputs!$B$14*Inputs!$B$17/(Inputs!$B$22*Inputs!$B$23*Inputs!$B$24*LM34*Inputs!$B$16))*Inputs!$B$19)</f>
        <v>0.0260965661717878</v>
      </c>
      <c r="LU34" s="15" t="n">
        <f aca="false">(LS34-LT34)*(1-EXP(-Inputs!$B$25*Inputs!$B$14*Inputs!$B$17*Inputs!$B$26/(LM34*Inputs!$B$16/0.866)))</f>
        <v>0.0072851838153021</v>
      </c>
      <c r="LV34" s="15" t="n">
        <f aca="false">(LS34-LT34-LU34)*(1-Inputs!$B$19)</f>
        <v>0.00351602381310436</v>
      </c>
      <c r="LW34" s="15" t="n">
        <f aca="false">(LP34+LQ34+LR34+LT34+LU34+LV34)*(1+Inputs!$B$27)</f>
        <v>0.301212194975811</v>
      </c>
      <c r="LX34" s="15" t="n">
        <f aca="false">Inputs!$B$52/(1-LW34-G34)</f>
        <v>195233.250746591</v>
      </c>
      <c r="LY34" s="15" t="n">
        <f aca="false">LX34/Inputs!$B$34</f>
        <v>325.388751244318</v>
      </c>
      <c r="LZ34" s="15" t="n">
        <f aca="false">B34^2/LY34</f>
        <v>12.5880196667417</v>
      </c>
      <c r="MA34" s="15" t="n">
        <f aca="false">Inputs!$B$54*H34/(Inputs!$B$35*F34+E34*H34^2/(PI()*LZ34*Inputs!$B$36))</f>
        <v>20.2602518439824</v>
      </c>
      <c r="MB34" s="15" t="n">
        <f aca="false">EXP(-Inputs!$B$11*Inputs!$B$14*Inputs!$B$17/(Inputs!$B$51*MA34*Inputs!$B$16))</f>
        <v>0.763449887327187</v>
      </c>
      <c r="MC34" s="15" t="n">
        <f aca="false">Inputs!$B$50*Inputs!$B$18*MB34*Inputs!$B$19</f>
        <v>0.745985382834751</v>
      </c>
      <c r="MD34" s="15" t="n">
        <f aca="false">1-MC34</f>
        <v>0.254014617165249</v>
      </c>
      <c r="ME34" s="15" t="n">
        <f aca="false">Inputs!$B$20*MD34</f>
        <v>0.00762043851495748</v>
      </c>
      <c r="MF34" s="15" t="n">
        <f aca="false">0.8*(1-Inputs!$B$50)*(MC34-ME34)</f>
        <v>0.00177843171180821</v>
      </c>
      <c r="MG34" s="15" t="n">
        <f aca="false">MC34-ME34-MF34</f>
        <v>0.736586512607985</v>
      </c>
      <c r="MH34" s="15" t="n">
        <f aca="false">MG34*(1-Inputs!$B$18*EXP(-Inputs!$B$21*Inputs!$B$14*Inputs!$B$17/(Inputs!$B$22*Inputs!$B$23*Inputs!$B$24*MA34*Inputs!$B$16))*Inputs!$B$19)</f>
        <v>0.0260965661717874</v>
      </c>
      <c r="MI34" s="15" t="n">
        <f aca="false">(MG34-MH34)*(1-EXP(-Inputs!$B$25*Inputs!$B$14*Inputs!$B$17*Inputs!$B$26/(MA34*Inputs!$B$16/0.866)))</f>
        <v>0.00728518381530149</v>
      </c>
      <c r="MJ34" s="15" t="n">
        <f aca="false">(MG34-MH34-MI34)*(1-Inputs!$B$19)</f>
        <v>0.00351602381310448</v>
      </c>
      <c r="MK34" s="15" t="n">
        <f aca="false">(MD34+ME34+MF34+MH34+MI34+MJ34)*(1+Inputs!$B$27)</f>
        <v>0.301212194975785</v>
      </c>
      <c r="ML34" s="15" t="n">
        <f aca="false">Inputs!$B$52/(1-MK34-G34)</f>
        <v>195233.250746561</v>
      </c>
      <c r="MM34" s="15" t="n">
        <f aca="false">ML34/Inputs!$B$34</f>
        <v>325.388751244268</v>
      </c>
      <c r="MN34" s="15" t="n">
        <f aca="false">B34^2/MM34</f>
        <v>12.5880196667436</v>
      </c>
      <c r="MO34" s="15" t="n">
        <f aca="false">Inputs!$B$54*H34/(Inputs!$B$35*F34+E34*H34^2/(PI()*MN34*Inputs!$B$36))</f>
        <v>20.2602518439831</v>
      </c>
      <c r="MP34" s="15" t="n">
        <f aca="false">EXP(-Inputs!$B$11*Inputs!$B$14*Inputs!$B$17/(Inputs!$B$51*MO34*Inputs!$B$16))</f>
        <v>0.763449887327195</v>
      </c>
      <c r="MQ34" s="15" t="n">
        <f aca="false">Inputs!$B$50*Inputs!$B$18*MP34*Inputs!$B$19</f>
        <v>0.745985382834758</v>
      </c>
      <c r="MR34" s="15" t="n">
        <f aca="false">1-MQ34</f>
        <v>0.254014617165242</v>
      </c>
      <c r="MS34" s="15" t="n">
        <f aca="false">Inputs!$B$20*MR34</f>
        <v>0.00762043851495727</v>
      </c>
      <c r="MT34" s="15" t="n">
        <f aca="false">0.8*(1-Inputs!$B$50)*(MQ34-MS34)</f>
        <v>0.00177843171180823</v>
      </c>
      <c r="MU34" s="15" t="n">
        <f aca="false">MQ34-MS34-MT34</f>
        <v>0.736586512607992</v>
      </c>
      <c r="MV34" s="15" t="n">
        <f aca="false">MU34*(1-Inputs!$B$18*EXP(-Inputs!$B$21*Inputs!$B$14*Inputs!$B$17/(Inputs!$B$22*Inputs!$B$23*Inputs!$B$24*MO34*Inputs!$B$16))*Inputs!$B$19)</f>
        <v>0.0260965661717872</v>
      </c>
      <c r="MW34" s="15" t="n">
        <f aca="false">(MU34-MV34)*(1-EXP(-Inputs!$B$25*Inputs!$B$14*Inputs!$B$17*Inputs!$B$26/(MO34*Inputs!$B$16/0.866)))</f>
        <v>0.00728518381530125</v>
      </c>
      <c r="MX34" s="15" t="n">
        <f aca="false">(MU34-MV34-MW34)*(1-Inputs!$B$19)</f>
        <v>0.00351602381310452</v>
      </c>
      <c r="MY34" s="15" t="n">
        <f aca="false">(MR34+MS34+MT34+MV34+MW34+MX34)*(1+Inputs!$B$27)</f>
        <v>0.301212194975777</v>
      </c>
      <c r="MZ34" s="15" t="n">
        <f aca="false">Inputs!$B$52/(1-MY34-G34)</f>
        <v>195233.250746552</v>
      </c>
      <c r="NA34" s="15" t="n">
        <f aca="false">MZ34/Inputs!$B$34</f>
        <v>325.388751244254</v>
      </c>
      <c r="NB34" s="15" t="n">
        <f aca="false">B34^2/NA34</f>
        <v>12.5880196667442</v>
      </c>
      <c r="NC34" s="15" t="n">
        <f aca="false">Inputs!$B$54*H34/(Inputs!$B$35*F34+E34*H34^2/(PI()*NB34*Inputs!$B$36))</f>
        <v>20.2602518439833</v>
      </c>
      <c r="ND34" s="15" t="n">
        <f aca="false">EXP(-Inputs!$B$11*Inputs!$B$14*Inputs!$B$17/(Inputs!$B$51*NC34*Inputs!$B$16))</f>
        <v>0.763449887327197</v>
      </c>
      <c r="NE34" s="15" t="n">
        <f aca="false">Inputs!$B$50*Inputs!$B$18*ND34*Inputs!$B$19</f>
        <v>0.74598538283476</v>
      </c>
      <c r="NF34" s="15" t="n">
        <f aca="false">1-NE34</f>
        <v>0.25401461716524</v>
      </c>
      <c r="NG34" s="15" t="n">
        <f aca="false">Inputs!$B$20*NF34</f>
        <v>0.00762043851495721</v>
      </c>
      <c r="NH34" s="15" t="n">
        <f aca="false">0.8*(1-Inputs!$B$50)*(NE34-NG34)</f>
        <v>0.00177843171180823</v>
      </c>
      <c r="NI34" s="15" t="n">
        <f aca="false">NE34-NG34-NH34</f>
        <v>0.736586512607994</v>
      </c>
      <c r="NJ34" s="15" t="n">
        <f aca="false">NI34*(1-Inputs!$B$18*EXP(-Inputs!$B$21*Inputs!$B$14*Inputs!$B$17/(Inputs!$B$22*Inputs!$B$23*Inputs!$B$24*NC34*Inputs!$B$16))*Inputs!$B$19)</f>
        <v>0.0260965661717872</v>
      </c>
      <c r="NK34" s="15" t="n">
        <f aca="false">(NI34-NJ34)*(1-EXP(-Inputs!$B$25*Inputs!$B$14*Inputs!$B$17*Inputs!$B$26/(NC34*Inputs!$B$16/0.866)))</f>
        <v>0.00728518381530119</v>
      </c>
      <c r="NL34" s="15" t="n">
        <f aca="false">(NI34-NJ34-NK34)*(1-Inputs!$B$19)</f>
        <v>0.00351602381310453</v>
      </c>
      <c r="NM34" s="15" t="n">
        <f aca="false">(NF34+NG34+NH34+NJ34+NK34+NL34)*(1+Inputs!$B$27)</f>
        <v>0.301212194975775</v>
      </c>
      <c r="NN34" s="15" t="n">
        <f aca="false">Inputs!$B$52/(1-NM34-G34)</f>
        <v>195233.25074655</v>
      </c>
    </row>
    <row r="35" customFormat="false" ht="15" hidden="false" customHeight="false" outlineLevel="0" collapsed="false">
      <c r="A35" s="21" t="s">
        <v>501</v>
      </c>
      <c r="B35" s="21" t="n">
        <v>64</v>
      </c>
      <c r="C35" s="22" t="n">
        <v>0.25</v>
      </c>
      <c r="D35" s="23" t="n">
        <f aca="false">B35*C35</f>
        <v>16</v>
      </c>
      <c r="E35" s="24" t="n">
        <f aca="false">IF(C35=0,1,(1+0.45*C35)/(1.04+2.81*C35))</f>
        <v>0.63845050215208</v>
      </c>
      <c r="F35" s="24" t="n">
        <f aca="false">1+Inputs!$B$42*D35</f>
        <v>1.08</v>
      </c>
      <c r="G35" s="25" t="n">
        <f aca="false">Inputs!$B$31+Inputs!$B$43*(B35/Inputs!$B$32-1)+Inputs!$B$44+Inputs!$B$45*D35</f>
        <v>0.5336</v>
      </c>
      <c r="H35" s="22" t="n">
        <f aca="false">Inputs!$B$38</f>
        <v>0.5</v>
      </c>
      <c r="I35" s="23" t="n">
        <f aca="false">Inputs!$B$40</f>
        <v>2.4</v>
      </c>
      <c r="J35" s="26" t="n">
        <f aca="false">NN35/Inputs!$B$34</f>
        <v>329.149182373857</v>
      </c>
      <c r="K35" s="23" t="n">
        <f aca="false">B35^2/J35</f>
        <v>12.4442053006459</v>
      </c>
      <c r="L35" s="23" t="n">
        <f aca="false">2*K35</f>
        <v>24.8884106012917</v>
      </c>
      <c r="M35" s="22" t="n">
        <f aca="false">NC35</f>
        <v>20.2612711358689</v>
      </c>
      <c r="N35" s="23" t="n">
        <f aca="false">B35/SQRT(E35)</f>
        <v>80.0970198213995</v>
      </c>
      <c r="O35" s="24" t="n">
        <f aca="false">NM35</f>
        <v>0.30120135175229</v>
      </c>
      <c r="P35" s="23" t="n">
        <f aca="false">NN35/1000</f>
        <v>197.489509424314</v>
      </c>
      <c r="Q35" s="23" t="n">
        <f aca="false">G35*NN35/1000</f>
        <v>105.380402228814</v>
      </c>
      <c r="R35" s="23" t="n">
        <f aca="false">NM35*NN35/1000</f>
        <v>59.4841071955</v>
      </c>
      <c r="S35" s="23" t="n">
        <f aca="false">NM35*NN35/Inputs!$B$28/1000</f>
        <v>79.3121429273334</v>
      </c>
      <c r="T35" s="27" t="n">
        <f aca="false">R35/Sweep!$R$5-1</f>
        <v>-0.0482028349648264</v>
      </c>
      <c r="U35" s="27" t="n">
        <f aca="false">R35/SUMIFS(Sweep!$R:$R,Sweep!$A:$A,"Conventional",Sweep!$B:$B,B35)-1</f>
        <v>-0.048202834965141</v>
      </c>
      <c r="V35" s="26" t="n">
        <f aca="false">2*0.54*(J35/2)^1.5/SQRT(L35)*Inputs!$B$46*Inputs!$B$47</f>
        <v>42.7347297902737</v>
      </c>
      <c r="W35" s="28" t="n">
        <f aca="false">MIN(1,V35/S35)</f>
        <v>0.538816985810454</v>
      </c>
      <c r="X35" s="26" t="n">
        <f aca="false">1.23*SQRT(2*Inputs!$B$41*NN35*Inputs!$B$49/(1.225*J35*I35))/0.5144</f>
        <v>133.62967568068</v>
      </c>
      <c r="Y35" s="29" t="n">
        <f aca="false">(11000+6341.6*LN(0.36392/(2*Inputs!$B$50*Inputs!$B$18*(1+ND35)/2*Inputs!$B$34*Inputs!$B$49/((Inputs!$B$12*295.07)^2*H35))))/0.3048</f>
        <v>38501.4198614905</v>
      </c>
      <c r="Z35" s="26" t="n">
        <f aca="false">NN35-MZ35</f>
        <v>-1.07684172689915E-009</v>
      </c>
      <c r="AA35" s="30" t="str">
        <f aca="false">IF(ABS(NN35-MZ35)&lt;10,"Yes","No")</f>
        <v>Yes</v>
      </c>
      <c r="AC35" s="15" t="n">
        <f aca="false">Inputs!$B$52/(1-0.3154-G35)/Inputs!$B$34</f>
        <v>360.099337748345</v>
      </c>
      <c r="AD35" s="15" t="n">
        <f aca="false">B35^2/AC35</f>
        <v>11.3746390804598</v>
      </c>
      <c r="AE35" s="15" t="n">
        <f aca="false">Inputs!$B$54*H35/(Inputs!$B$35*F35+E35*H35^2/(PI()*AD35*Inputs!$B$36))</f>
        <v>19.8551896119448</v>
      </c>
      <c r="AF35" s="15" t="n">
        <f aca="false">EXP(-Inputs!$B$11*Inputs!$B$14*Inputs!$B$17/(Inputs!$B$51*AE35*Inputs!$B$16))</f>
        <v>0.75925762421102</v>
      </c>
      <c r="AG35" s="15" t="n">
        <f aca="false">Inputs!$B$50*Inputs!$B$18*AF35*Inputs!$B$19</f>
        <v>0.741889020967953</v>
      </c>
      <c r="AH35" s="15" t="n">
        <f aca="false">1-AG35</f>
        <v>0.258110979032047</v>
      </c>
      <c r="AI35" s="15" t="n">
        <f aca="false">Inputs!$B$20*AH35</f>
        <v>0.00774332937096142</v>
      </c>
      <c r="AJ35" s="15" t="n">
        <f aca="false">0.8*(1-Inputs!$B$50)*(AG35-AI35)</f>
        <v>0.00176826918594605</v>
      </c>
      <c r="AK35" s="15" t="n">
        <f aca="false">AG35-AI35-AJ35</f>
        <v>0.732377422411045</v>
      </c>
      <c r="AL35" s="15" t="n">
        <f aca="false">AK35*(1-Inputs!$B$18*EXP(-Inputs!$B$21*Inputs!$B$14*Inputs!$B$17/(Inputs!$B$22*Inputs!$B$23*Inputs!$B$24*AE35*Inputs!$B$16))*Inputs!$B$19)</f>
        <v>0.0261772104366359</v>
      </c>
      <c r="AM35" s="15" t="n">
        <f aca="false">(AK35-AL35)*(1-EXP(-Inputs!$B$25*Inputs!$B$14*Inputs!$B$17*Inputs!$B$26/(AE35*Inputs!$B$16/0.866)))</f>
        <v>0.00738814894552888</v>
      </c>
      <c r="AN35" s="15" t="n">
        <f aca="false">(AK35-AL35-AM35)*(1-Inputs!$B$19)</f>
        <v>0.00349406031514441</v>
      </c>
      <c r="AO35" s="15" t="n">
        <f aca="false">(AH35+AI35+AJ35+AL35+AM35+AN35)*(1+Inputs!$B$27)</f>
        <v>0.305596043278123</v>
      </c>
      <c r="AP35" s="15" t="n">
        <f aca="false">Inputs!$B$52/(1-AO35-G35)</f>
        <v>202886.798714956</v>
      </c>
      <c r="AQ35" s="15" t="n">
        <f aca="false">AP35/Inputs!$B$34</f>
        <v>338.144664524927</v>
      </c>
      <c r="AR35" s="15" t="n">
        <f aca="false">B35^2/AQ35</f>
        <v>12.1131587445114</v>
      </c>
      <c r="AS35" s="15" t="n">
        <f aca="false">Inputs!$B$54*H35/(Inputs!$B$35*F35+E35*H35^2/(PI()*AR35*Inputs!$B$36))</f>
        <v>20.1415437341628</v>
      </c>
      <c r="AT35" s="15" t="n">
        <f aca="false">EXP(-Inputs!$B$11*Inputs!$B$14*Inputs!$B$17/(Inputs!$B$51*AS35*Inputs!$B$16))</f>
        <v>0.762236391711129</v>
      </c>
      <c r="AU35" s="15" t="n">
        <f aca="false">Inputs!$B$50*Inputs!$B$18*AT35*Inputs!$B$19</f>
        <v>0.744799646866038</v>
      </c>
      <c r="AV35" s="15" t="n">
        <f aca="false">1-AU35</f>
        <v>0.255200353133963</v>
      </c>
      <c r="AW35" s="15" t="n">
        <f aca="false">Inputs!$B$20*AV35</f>
        <v>0.00765601059401887</v>
      </c>
      <c r="AX35" s="15" t="n">
        <f aca="false">0.8*(1-Inputs!$B$50)*(AU35-AW35)</f>
        <v>0.00177549005947388</v>
      </c>
      <c r="AY35" s="15" t="n">
        <f aca="false">AU35-AW35-AX35</f>
        <v>0.735368146212545</v>
      </c>
      <c r="AZ35" s="15" t="n">
        <f aca="false">AY35*(1-Inputs!$B$18*EXP(-Inputs!$B$21*Inputs!$B$14*Inputs!$B$17/(Inputs!$B$22*Inputs!$B$23*Inputs!$B$24*AS35*Inputs!$B$16))*Inputs!$B$19)</f>
        <v>0.026120058287408</v>
      </c>
      <c r="BA35" s="15" t="n">
        <f aca="false">(AY35-AZ35)*(1-EXP(-Inputs!$B$25*Inputs!$B$14*Inputs!$B$17*Inputs!$B$26/(AS35*Inputs!$B$16/0.866)))</f>
        <v>0.00731508991767708</v>
      </c>
      <c r="BB35" s="15" t="n">
        <f aca="false">(AY35-AZ35-BA35)*(1-Inputs!$B$19)</f>
        <v>0.0035096649900373</v>
      </c>
      <c r="BC35" s="15" t="n">
        <f aca="false">(AV35+AW35+AX35+AZ35+BA35+BB35)*(1+Inputs!$B$27)</f>
        <v>0.302481396983525</v>
      </c>
      <c r="BD35" s="15" t="n">
        <f aca="false">Inputs!$B$52/(1-BC35-G35)</f>
        <v>199031.710859084</v>
      </c>
      <c r="BE35" s="15" t="n">
        <f aca="false">BD35/Inputs!$B$34</f>
        <v>331.719518098474</v>
      </c>
      <c r="BF35" s="15" t="n">
        <f aca="false">B35^2/BE35</f>
        <v>12.3477811118249</v>
      </c>
      <c r="BG35" s="15" t="n">
        <f aca="false">Inputs!$B$54*H35/(Inputs!$B$35*F35+E35*H35^2/(PI()*BF35*Inputs!$B$36))</f>
        <v>20.2269156674725</v>
      </c>
      <c r="BH35" s="15" t="n">
        <f aca="false">EXP(-Inputs!$B$11*Inputs!$B$14*Inputs!$B$17/(Inputs!$B$51*BG35*Inputs!$B$16))</f>
        <v>0.763110351592074</v>
      </c>
      <c r="BI35" s="15" t="n">
        <f aca="false">Inputs!$B$50*Inputs!$B$18*BH35*Inputs!$B$19</f>
        <v>0.745653614241227</v>
      </c>
      <c r="BJ35" s="15" t="n">
        <f aca="false">1-BI35</f>
        <v>0.254346385758773</v>
      </c>
      <c r="BK35" s="15" t="n">
        <f aca="false">Inputs!$B$20*BJ35</f>
        <v>0.00763039157276319</v>
      </c>
      <c r="BL35" s="15" t="n">
        <f aca="false">0.8*(1-Inputs!$B$50)*(BI35-BK35)</f>
        <v>0.00177760863830504</v>
      </c>
      <c r="BM35" s="15" t="n">
        <f aca="false">BI35-BK35-BL35</f>
        <v>0.736245614030159</v>
      </c>
      <c r="BN35" s="15" t="n">
        <f aca="false">BM35*(1-Inputs!$B$18*EXP(-Inputs!$B$21*Inputs!$B$14*Inputs!$B$17/(Inputs!$B$22*Inputs!$B$23*Inputs!$B$24*BG35*Inputs!$B$16))*Inputs!$B$19)</f>
        <v>0.026103151451712</v>
      </c>
      <c r="BO35" s="15" t="n">
        <f aca="false">(BM35-BN35)*(1-EXP(-Inputs!$B$25*Inputs!$B$14*Inputs!$B$17*Inputs!$B$26/(BG35*Inputs!$B$16/0.866)))</f>
        <v>0.00729355987407169</v>
      </c>
      <c r="BP35" s="15" t="n">
        <f aca="false">(BM35-BN35-BO35)*(1-Inputs!$B$19)</f>
        <v>0.00351424451352188</v>
      </c>
      <c r="BQ35" s="15" t="n">
        <f aca="false">(BJ35+BK35+BL35+BN35+BO35+BP35)*(1+Inputs!$B$27)</f>
        <v>0.301567337834574</v>
      </c>
      <c r="BR35" s="15" t="n">
        <f aca="false">Inputs!$B$52/(1-BQ35-G35)</f>
        <v>197928.005113802</v>
      </c>
      <c r="BS35" s="15" t="n">
        <f aca="false">BR35/Inputs!$B$34</f>
        <v>329.880008523004</v>
      </c>
      <c r="BT35" s="15" t="n">
        <f aca="false">B35^2/BS35</f>
        <v>12.4166360318084</v>
      </c>
      <c r="BU35" s="15" t="n">
        <f aca="false">Inputs!$B$54*H35/(Inputs!$B$35*F35+E35*H35^2/(PI()*BT35*Inputs!$B$36))</f>
        <v>20.2514909425787</v>
      </c>
      <c r="BV35" s="15" t="n">
        <f aca="false">EXP(-Inputs!$B$11*Inputs!$B$14*Inputs!$B$17/(Inputs!$B$51*BU35*Inputs!$B$16))</f>
        <v>0.763360749428135</v>
      </c>
      <c r="BW35" s="15" t="n">
        <f aca="false">Inputs!$B$50*Inputs!$B$18*BV35*Inputs!$B$19</f>
        <v>0.745898284033829</v>
      </c>
      <c r="BX35" s="15" t="n">
        <f aca="false">1-BW35</f>
        <v>0.254101715966171</v>
      </c>
      <c r="BY35" s="15" t="n">
        <f aca="false">Inputs!$B$20*BX35</f>
        <v>0.00762305147898513</v>
      </c>
      <c r="BZ35" s="15" t="n">
        <f aca="false">0.8*(1-Inputs!$B$50)*(BW35-BY35)</f>
        <v>0.00177821563133346</v>
      </c>
      <c r="CA35" s="15" t="n">
        <f aca="false">BW35-BY35-BZ35</f>
        <v>0.73649701692351</v>
      </c>
      <c r="CB35" s="15" t="n">
        <f aca="false">CA35*(1-Inputs!$B$18*EXP(-Inputs!$B$21*Inputs!$B$14*Inputs!$B$17/(Inputs!$B$22*Inputs!$B$23*Inputs!$B$24*BU35*Inputs!$B$16))*Inputs!$B$19)</f>
        <v>0.0260982959138749</v>
      </c>
      <c r="CC35" s="15" t="n">
        <f aca="false">(CA35-CB35)*(1-EXP(-Inputs!$B$25*Inputs!$B$14*Inputs!$B$17*Inputs!$B$26/(BU35*Inputs!$B$16/0.866)))</f>
        <v>0.00728738339872625</v>
      </c>
      <c r="CD35" s="15" t="n">
        <f aca="false">(CA35-CB35-CC35)*(1-Inputs!$B$19)</f>
        <v>0.00351555668805455</v>
      </c>
      <c r="CE35" s="15" t="n">
        <f aca="false">(BX35+BY35+BZ35+CB35+CC35+CD35)*(1+Inputs!$B$27)</f>
        <v>0.301305431734377</v>
      </c>
      <c r="CF35" s="15" t="n">
        <f aca="false">Inputs!$B$52/(1-CE35-G35)</f>
        <v>197614.012034055</v>
      </c>
      <c r="CG35" s="15" t="n">
        <f aca="false">CF35/Inputs!$B$34</f>
        <v>329.356686723425</v>
      </c>
      <c r="CH35" s="15" t="n">
        <f aca="false">B35^2/CG35</f>
        <v>12.4363650871907</v>
      </c>
      <c r="CI35" s="15" t="n">
        <f aca="false">Inputs!$B$54*H35/(Inputs!$B$35*F35+E35*H35^2/(PI()*CH35*Inputs!$B$36))</f>
        <v>20.2584932736319</v>
      </c>
      <c r="CJ35" s="15" t="n">
        <f aca="false">EXP(-Inputs!$B$11*Inputs!$B$14*Inputs!$B$17/(Inputs!$B$51*CI35*Inputs!$B$16))</f>
        <v>0.763432000081381</v>
      </c>
      <c r="CK35" s="15" t="n">
        <f aca="false">Inputs!$B$50*Inputs!$B$18*CJ35*Inputs!$B$19</f>
        <v>0.745967904773477</v>
      </c>
      <c r="CL35" s="15" t="n">
        <f aca="false">1-CK35</f>
        <v>0.254032095226524</v>
      </c>
      <c r="CM35" s="15" t="n">
        <f aca="false">Inputs!$B$20*CL35</f>
        <v>0.0076209628567957</v>
      </c>
      <c r="CN35" s="15" t="n">
        <f aca="false">0.8*(1-Inputs!$B$50)*(CK35-CM35)</f>
        <v>0.00177838835107605</v>
      </c>
      <c r="CO35" s="15" t="n">
        <f aca="false">CK35-CM35-CN35</f>
        <v>0.736568553565605</v>
      </c>
      <c r="CP35" s="15" t="n">
        <f aca="false">CO35*(1-Inputs!$B$18*EXP(-Inputs!$B$21*Inputs!$B$14*Inputs!$B$17/(Inputs!$B$22*Inputs!$B$23*Inputs!$B$24*CI35*Inputs!$B$16))*Inputs!$B$19)</f>
        <v>0.0260969133303715</v>
      </c>
      <c r="CQ35" s="15" t="n">
        <f aca="false">(CO35-CP35)*(1-EXP(-Inputs!$B$25*Inputs!$B$14*Inputs!$B$17*Inputs!$B$26/(CI35*Inputs!$B$16/0.866)))</f>
        <v>0.00728562524011411</v>
      </c>
      <c r="CR35" s="15" t="n">
        <f aca="false">(CO35-CP35-CQ35)*(1-Inputs!$B$19)</f>
        <v>0.0035159300749756</v>
      </c>
      <c r="CS35" s="15" t="n">
        <f aca="false">(CL35+CM35+CN35+CP35+CQ35+CR35)*(1+Inputs!$B$27)</f>
        <v>0.301230904825096</v>
      </c>
      <c r="CT35" s="15" t="n">
        <f aca="false">Inputs!$B$52/(1-CS35-G35)</f>
        <v>197524.845464899</v>
      </c>
      <c r="CU35" s="15" t="n">
        <f aca="false">CT35/Inputs!$B$34</f>
        <v>329.208075774831</v>
      </c>
      <c r="CV35" s="15" t="n">
        <f aca="false">B35^2/CU35</f>
        <v>12.4419791050374</v>
      </c>
      <c r="CW35" s="15" t="n">
        <f aca="false">Inputs!$B$54*H35/(Inputs!$B$35*F35+E35*H35^2/(PI()*CV35*Inputs!$B$36))</f>
        <v>20.2604826520604</v>
      </c>
      <c r="CX35" s="15" t="n">
        <f aca="false">EXP(-Inputs!$B$11*Inputs!$B$14*Inputs!$B$17/(Inputs!$B$51*CW35*Inputs!$B$16))</f>
        <v>0.763452234785253</v>
      </c>
      <c r="CY35" s="15" t="n">
        <f aca="false">Inputs!$B$50*Inputs!$B$18*CX35*Inputs!$B$19</f>
        <v>0.745987676592904</v>
      </c>
      <c r="CZ35" s="15" t="n">
        <f aca="false">1-CY35</f>
        <v>0.254012323407096</v>
      </c>
      <c r="DA35" s="15" t="n">
        <f aca="false">Inputs!$B$20*CZ35</f>
        <v>0.00762036970221287</v>
      </c>
      <c r="DB35" s="15" t="n">
        <f aca="false">0.8*(1-Inputs!$B$50)*(CY35-DA35)</f>
        <v>0.00177843740231538</v>
      </c>
      <c r="DC35" s="15" t="n">
        <f aca="false">CY35-DA35-DB35</f>
        <v>0.736588869488376</v>
      </c>
      <c r="DD35" s="15" t="n">
        <f aca="false">DC35*(1-Inputs!$B$18*EXP(-Inputs!$B$21*Inputs!$B$14*Inputs!$B$17/(Inputs!$B$22*Inputs!$B$23*Inputs!$B$24*CW35*Inputs!$B$16))*Inputs!$B$19)</f>
        <v>0.0260965206099879</v>
      </c>
      <c r="DE35" s="15" t="n">
        <f aca="false">(DC35-DD35)*(1-EXP(-Inputs!$B$25*Inputs!$B$14*Inputs!$B$17*Inputs!$B$26/(CW35*Inputs!$B$16/0.866)))</f>
        <v>0.00728512588295611</v>
      </c>
      <c r="DF35" s="15" t="n">
        <f aca="false">(DC35-DD35-DE35)*(1-Inputs!$B$19)</f>
        <v>0.00351603611497716</v>
      </c>
      <c r="DG35" s="15" t="n">
        <f aca="false">(CZ35+DA35+DB35+DD35+DE35+DF35)*(1+Inputs!$B$27)</f>
        <v>0.301209739558904</v>
      </c>
      <c r="DH35" s="15" t="n">
        <f aca="false">Inputs!$B$52/(1-DG35-G35)</f>
        <v>197499.53727831</v>
      </c>
      <c r="DI35" s="15" t="n">
        <f aca="false">DH35/Inputs!$B$34</f>
        <v>329.16589546385</v>
      </c>
      <c r="DJ35" s="15" t="n">
        <f aca="false">B35^2/DI35</f>
        <v>12.4435734577789</v>
      </c>
      <c r="DK35" s="15" t="n">
        <f aca="false">Inputs!$B$54*H35/(Inputs!$B$35*F35+E35*H35^2/(PI()*DJ35*Inputs!$B$36))</f>
        <v>20.2610473694038</v>
      </c>
      <c r="DL35" s="15" t="n">
        <f aca="false">EXP(-Inputs!$B$11*Inputs!$B$14*Inputs!$B$17/(Inputs!$B$51*DK35*Inputs!$B$16))</f>
        <v>0.763457978107878</v>
      </c>
      <c r="DM35" s="15" t="n">
        <f aca="false">Inputs!$B$50*Inputs!$B$18*DL35*Inputs!$B$19</f>
        <v>0.745993288532598</v>
      </c>
      <c r="DN35" s="15" t="n">
        <f aca="false">1-DM35</f>
        <v>0.254006711467402</v>
      </c>
      <c r="DO35" s="15" t="n">
        <f aca="false">Inputs!$B$20*DN35</f>
        <v>0.00762020134402206</v>
      </c>
      <c r="DP35" s="15" t="n">
        <f aca="false">0.8*(1-Inputs!$B$50)*(DM35-DO35)</f>
        <v>0.0017784513247871</v>
      </c>
      <c r="DQ35" s="15" t="n">
        <f aca="false">DM35-DO35-DP35</f>
        <v>0.736594635863789</v>
      </c>
      <c r="DR35" s="15" t="n">
        <f aca="false">DQ35*(1-Inputs!$B$18*EXP(-Inputs!$B$21*Inputs!$B$14*Inputs!$B$17/(Inputs!$B$22*Inputs!$B$23*Inputs!$B$24*DK35*Inputs!$B$16))*Inputs!$B$19)</f>
        <v>0.0260964091359658</v>
      </c>
      <c r="DS35" s="15" t="n">
        <f aca="false">(DQ35-DR35)*(1-EXP(-Inputs!$B$25*Inputs!$B$14*Inputs!$B$17*Inputs!$B$26/(DK35*Inputs!$B$16/0.866)))</f>
        <v>0.00728498414359199</v>
      </c>
      <c r="DT35" s="15" t="n">
        <f aca="false">(DQ35-DR35-DS35)*(1-Inputs!$B$19)</f>
        <v>0.00351606621292116</v>
      </c>
      <c r="DU35" s="15" t="n">
        <f aca="false">(DN35+DO35+DP35+DR35+DS35+DT35)*(1+Inputs!$B$27)</f>
        <v>0.301203732099576</v>
      </c>
      <c r="DV35" s="15" t="n">
        <f aca="false">Inputs!$B$52/(1-DU35-G35)</f>
        <v>197492.355091615</v>
      </c>
      <c r="DW35" s="15" t="n">
        <f aca="false">DV35/Inputs!$B$34</f>
        <v>329.153925152691</v>
      </c>
      <c r="DX35" s="15" t="n">
        <f aca="false">B35^2/DW35</f>
        <v>12.4440259920944</v>
      </c>
      <c r="DY35" s="15" t="n">
        <f aca="false">Inputs!$B$54*H35/(Inputs!$B$35*F35+E35*H35^2/(PI()*DX35*Inputs!$B$36))</f>
        <v>20.2612076357472</v>
      </c>
      <c r="DZ35" s="15" t="n">
        <f aca="false">EXP(-Inputs!$B$11*Inputs!$B$14*Inputs!$B$17/(Inputs!$B$51*DY35*Inputs!$B$16))</f>
        <v>0.763459608007925</v>
      </c>
      <c r="EA35" s="15" t="n">
        <f aca="false">Inputs!$B$50*Inputs!$B$18*DZ35*Inputs!$B$19</f>
        <v>0.745994881147426</v>
      </c>
      <c r="EB35" s="15" t="n">
        <f aca="false">1-EA35</f>
        <v>0.254005118852574</v>
      </c>
      <c r="EC35" s="15" t="n">
        <f aca="false">Inputs!$B$20*EB35</f>
        <v>0.00762015356557722</v>
      </c>
      <c r="ED35" s="15" t="n">
        <f aca="false">0.8*(1-Inputs!$B$50)*(EA35-EC35)</f>
        <v>0.00177845527585146</v>
      </c>
      <c r="EE35" s="15" t="n">
        <f aca="false">EA35-EC35-ED35</f>
        <v>0.736596272305997</v>
      </c>
      <c r="EF35" s="15" t="n">
        <f aca="false">EE35*(1-Inputs!$B$18*EXP(-Inputs!$B$21*Inputs!$B$14*Inputs!$B$17/(Inputs!$B$22*Inputs!$B$23*Inputs!$B$24*DY35*Inputs!$B$16))*Inputs!$B$19)</f>
        <v>0.0260963775002106</v>
      </c>
      <c r="EG35" s="15" t="n">
        <f aca="false">(EE35-EF35)*(1-EXP(-Inputs!$B$25*Inputs!$B$14*Inputs!$B$17*Inputs!$B$26/(DY35*Inputs!$B$16/0.866)))</f>
        <v>0.00728494391897809</v>
      </c>
      <c r="EH35" s="15" t="n">
        <f aca="false">(EE35-EF35-EG35)*(1-Inputs!$B$19)</f>
        <v>0.00351607475443405</v>
      </c>
      <c r="EI35" s="15" t="n">
        <f aca="false">(EB35+EC35+ED35+EF35+EG35+EH35)*(1+Inputs!$B$27)</f>
        <v>0.301202027239229</v>
      </c>
      <c r="EJ35" s="15" t="n">
        <f aca="false">Inputs!$B$52/(1-EI35-G35)</f>
        <v>197490.316949866</v>
      </c>
      <c r="EK35" s="15" t="n">
        <f aca="false">EJ35/Inputs!$B$34</f>
        <v>329.150528249776</v>
      </c>
      <c r="EL35" s="15" t="n">
        <f aca="false">B35^2/EK35</f>
        <v>12.4441544170689</v>
      </c>
      <c r="EM35" s="15" t="n">
        <f aca="false">Inputs!$B$54*H35/(Inputs!$B$35*F35+E35*H35^2/(PI()*EL35*Inputs!$B$36))</f>
        <v>20.2612531161637</v>
      </c>
      <c r="EN35" s="15" t="n">
        <f aca="false">EXP(-Inputs!$B$11*Inputs!$B$14*Inputs!$B$17/(Inputs!$B$51*EM35*Inputs!$B$16))</f>
        <v>0.76346007053724</v>
      </c>
      <c r="EO35" s="15" t="n">
        <f aca="false">Inputs!$B$50*Inputs!$B$18*EN35*Inputs!$B$19</f>
        <v>0.745995333096026</v>
      </c>
      <c r="EP35" s="15" t="n">
        <f aca="false">1-EO35</f>
        <v>0.254004666903974</v>
      </c>
      <c r="EQ35" s="15" t="n">
        <f aca="false">Inputs!$B$20*EP35</f>
        <v>0.00762014000711923</v>
      </c>
      <c r="ER35" s="15" t="n">
        <f aca="false">0.8*(1-Inputs!$B$50)*(EO35-EQ35)</f>
        <v>0.00177845639707549</v>
      </c>
      <c r="ES35" s="15" t="n">
        <f aca="false">EO35-EQ35-ER35</f>
        <v>0.736596736691831</v>
      </c>
      <c r="ET35" s="15" t="n">
        <f aca="false">ES35*(1-Inputs!$B$18*EXP(-Inputs!$B$21*Inputs!$B$14*Inputs!$B$17/(Inputs!$B$22*Inputs!$B$23*Inputs!$B$24*EM35*Inputs!$B$16))*Inputs!$B$19)</f>
        <v>0.0260963685226486</v>
      </c>
      <c r="EU35" s="15" t="n">
        <f aca="false">(ES35-ET35)*(1-EXP(-Inputs!$B$25*Inputs!$B$14*Inputs!$B$17*Inputs!$B$26/(EM35*Inputs!$B$16/0.866)))</f>
        <v>0.00728493250410186</v>
      </c>
      <c r="EV35" s="15" t="n">
        <f aca="false">(ES35-ET35-EU35)*(1-Inputs!$B$19)</f>
        <v>0.00351607717832541</v>
      </c>
      <c r="EW35" s="15" t="n">
        <f aca="false">(EP35+EQ35+ER35+ET35+EU35+EV35)*(1+Inputs!$B$27)</f>
        <v>0.301201543437785</v>
      </c>
      <c r="EX35" s="15" t="n">
        <f aca="false">Inputs!$B$52/(1-EW35-G35)</f>
        <v>197489.738578236</v>
      </c>
      <c r="EY35" s="15" t="n">
        <f aca="false">EX35/Inputs!$B$34</f>
        <v>329.14956429706</v>
      </c>
      <c r="EZ35" s="15" t="n">
        <f aca="false">B35^2/EY35</f>
        <v>12.4441908612199</v>
      </c>
      <c r="FA35" s="15" t="n">
        <f aca="false">Inputs!$B$54*H35/(Inputs!$B$35*F35+E35*H35^2/(PI()*EZ35*Inputs!$B$36))</f>
        <v>20.2612660223604</v>
      </c>
      <c r="FB35" s="15" t="n">
        <f aca="false">EXP(-Inputs!$B$11*Inputs!$B$14*Inputs!$B$17/(Inputs!$B$51*FA35*Inputs!$B$16))</f>
        <v>0.763460201791082</v>
      </c>
      <c r="FC35" s="15" t="n">
        <f aca="false">Inputs!$B$50*Inputs!$B$18*FB35*Inputs!$B$19</f>
        <v>0.745995461347336</v>
      </c>
      <c r="FD35" s="15" t="n">
        <f aca="false">1-FC35</f>
        <v>0.254004538652664</v>
      </c>
      <c r="FE35" s="15" t="n">
        <f aca="false">Inputs!$B$20*FD35</f>
        <v>0.00762013615957993</v>
      </c>
      <c r="FF35" s="15" t="n">
        <f aca="false">0.8*(1-Inputs!$B$50)*(FC35-FE35)</f>
        <v>0.00177845671524983</v>
      </c>
      <c r="FG35" s="15" t="n">
        <f aca="false">FC35-FE35-FF35</f>
        <v>0.736596868472506</v>
      </c>
      <c r="FH35" s="15" t="n">
        <f aca="false">FG35*(1-Inputs!$B$18*EXP(-Inputs!$B$21*Inputs!$B$14*Inputs!$B$17/(Inputs!$B$22*Inputs!$B$23*Inputs!$B$24*FA35*Inputs!$B$16))*Inputs!$B$19)</f>
        <v>0.0260963659750458</v>
      </c>
      <c r="FI35" s="15" t="n">
        <f aca="false">(FG35-FH35)*(1-EXP(-Inputs!$B$25*Inputs!$B$14*Inputs!$B$17*Inputs!$B$26/(FA35*Inputs!$B$16/0.866)))</f>
        <v>0.00728492926485331</v>
      </c>
      <c r="FJ35" s="15" t="n">
        <f aca="false">(FG35-FH35-FI35)*(1-Inputs!$B$19)</f>
        <v>0.00351607786616304</v>
      </c>
      <c r="FK35" s="15" t="n">
        <f aca="false">(FD35+FE35+FF35+FH35+FI35+FJ35)*(1+Inputs!$B$27)</f>
        <v>0.301201406147457</v>
      </c>
      <c r="FL35" s="15" t="n">
        <f aca="false">Inputs!$B$52/(1-FK35-G35)</f>
        <v>197489.574451954</v>
      </c>
      <c r="FM35" s="15" t="n">
        <f aca="false">FL35/Inputs!$B$34</f>
        <v>329.149290753257</v>
      </c>
      <c r="FN35" s="15" t="n">
        <f aca="false">B35^2/FM35</f>
        <v>12.4442012031267</v>
      </c>
      <c r="FO35" s="15" t="n">
        <f aca="false">Inputs!$B$54*H35/(Inputs!$B$35*F35+E35*H35^2/(PI()*FN35*Inputs!$B$36))</f>
        <v>20.2612696847943</v>
      </c>
      <c r="FP35" s="15" t="n">
        <f aca="false">EXP(-Inputs!$B$11*Inputs!$B$14*Inputs!$B$17/(Inputs!$B$51*FO35*Inputs!$B$16))</f>
        <v>0.76346023903739</v>
      </c>
      <c r="FQ35" s="15" t="n">
        <f aca="false">Inputs!$B$50*Inputs!$B$18*FP35*Inputs!$B$19</f>
        <v>0.745995497741605</v>
      </c>
      <c r="FR35" s="15" t="n">
        <f aca="false">1-FQ35</f>
        <v>0.254004502258395</v>
      </c>
      <c r="FS35" s="15" t="n">
        <f aca="false">Inputs!$B$20*FR35</f>
        <v>0.00762013506775184</v>
      </c>
      <c r="FT35" s="15" t="n">
        <f aca="false">0.8*(1-Inputs!$B$50)*(FQ35-FS35)</f>
        <v>0.00177845680553915</v>
      </c>
      <c r="FU35" s="15" t="n">
        <f aca="false">FQ35-FS35-FT35</f>
        <v>0.736596905868314</v>
      </c>
      <c r="FV35" s="15" t="n">
        <f aca="false">FU35*(1-Inputs!$B$18*EXP(-Inputs!$B$21*Inputs!$B$14*Inputs!$B$17/(Inputs!$B$22*Inputs!$B$23*Inputs!$B$24*FO35*Inputs!$B$16))*Inputs!$B$19)</f>
        <v>0.0260963652521044</v>
      </c>
      <c r="FW35" s="15" t="n">
        <f aca="false">(FU35-FV35)*(1-EXP(-Inputs!$B$25*Inputs!$B$14*Inputs!$B$17*Inputs!$B$26/(FO35*Inputs!$B$16/0.866)))</f>
        <v>0.00728492834564163</v>
      </c>
      <c r="FX35" s="15" t="n">
        <f aca="false">(FU35-FV35-FW35)*(1-Inputs!$B$19)</f>
        <v>0.00351607806135285</v>
      </c>
      <c r="FY35" s="15" t="n">
        <f aca="false">(FR35+FS35+FT35+FV35+FW35+FX35)*(1+Inputs!$B$27)</f>
        <v>0.301201367188157</v>
      </c>
      <c r="FZ35" s="15" t="n">
        <f aca="false">Inputs!$B$52/(1-FY35-G35)</f>
        <v>197489.527877383</v>
      </c>
      <c r="GA35" s="15" t="n">
        <f aca="false">FZ35/Inputs!$B$34</f>
        <v>329.149213128971</v>
      </c>
      <c r="GB35" s="15" t="n">
        <f aca="false">B35^2/GA35</f>
        <v>12.4442041378816</v>
      </c>
      <c r="GC35" s="15" t="n">
        <f aca="false">Inputs!$B$54*H35/(Inputs!$B$35*F35+E35*H35^2/(PI()*GB35*Inputs!$B$36))</f>
        <v>20.2612707240935</v>
      </c>
      <c r="GD35" s="15" t="n">
        <f aca="false">EXP(-Inputs!$B$11*Inputs!$B$14*Inputs!$B$17/(Inputs!$B$51*GC35*Inputs!$B$16))</f>
        <v>0.763460249606879</v>
      </c>
      <c r="GE35" s="15" t="n">
        <f aca="false">Inputs!$B$50*Inputs!$B$18*GD35*Inputs!$B$19</f>
        <v>0.745995508069309</v>
      </c>
      <c r="GF35" s="15" t="n">
        <f aca="false">1-GE35</f>
        <v>0.254004491930691</v>
      </c>
      <c r="GG35" s="15" t="n">
        <f aca="false">Inputs!$B$20*GF35</f>
        <v>0.00762013475792074</v>
      </c>
      <c r="GH35" s="15" t="n">
        <f aca="false">0.8*(1-Inputs!$B$50)*(GE35-GG35)</f>
        <v>0.0017784568311608</v>
      </c>
      <c r="GI35" s="15" t="n">
        <f aca="false">GE35-GG35-GH35</f>
        <v>0.736596916480227</v>
      </c>
      <c r="GJ35" s="15" t="n">
        <f aca="false">GI35*(1-Inputs!$B$18*EXP(-Inputs!$B$21*Inputs!$B$14*Inputs!$B$17/(Inputs!$B$22*Inputs!$B$23*Inputs!$B$24*GC35*Inputs!$B$16))*Inputs!$B$19)</f>
        <v>0.0260963650469533</v>
      </c>
      <c r="GK35" s="15" t="n">
        <f aca="false">(GI35-GJ35)*(1-EXP(-Inputs!$B$25*Inputs!$B$14*Inputs!$B$17*Inputs!$B$26/(GC35*Inputs!$B$16/0.866)))</f>
        <v>0.00728492808479433</v>
      </c>
      <c r="GL35" s="15" t="n">
        <f aca="false">(GI35-GJ35-GK35)*(1-Inputs!$B$19)</f>
        <v>0.0035160781167424</v>
      </c>
      <c r="GM35" s="15" t="n">
        <f aca="false">(GF35+GG35+GH35+GJ35+GK35+GL35)*(1+Inputs!$B$27)</f>
        <v>0.301201356132568</v>
      </c>
      <c r="GN35" s="15" t="n">
        <f aca="false">Inputs!$B$52/(1-GM35-G35)</f>
        <v>197489.51466079</v>
      </c>
      <c r="GO35" s="15" t="n">
        <f aca="false">GN35/Inputs!$B$34</f>
        <v>329.149191101317</v>
      </c>
      <c r="GP35" s="15" t="n">
        <f aca="false">B35^2/GO35</f>
        <v>12.4442049706851</v>
      </c>
      <c r="GQ35" s="15" t="n">
        <f aca="false">Inputs!$B$54*H35/(Inputs!$B$35*F35+E35*H35^2/(PI()*GP35*Inputs!$B$36))</f>
        <v>20.2612710190183</v>
      </c>
      <c r="GR35" s="15" t="n">
        <f aca="false">EXP(-Inputs!$B$11*Inputs!$B$14*Inputs!$B$17/(Inputs!$B$51*GQ35*Inputs!$B$16))</f>
        <v>0.763460252606211</v>
      </c>
      <c r="GS35" s="15" t="n">
        <f aca="false">Inputs!$B$50*Inputs!$B$18*GR35*Inputs!$B$19</f>
        <v>0.745995511000029</v>
      </c>
      <c r="GT35" s="15" t="n">
        <f aca="false">1-GS35</f>
        <v>0.254004488999971</v>
      </c>
      <c r="GU35" s="15" t="n">
        <f aca="false">Inputs!$B$20*GT35</f>
        <v>0.00762013466999912</v>
      </c>
      <c r="GV35" s="15" t="n">
        <f aca="false">0.8*(1-Inputs!$B$50)*(GS35-GU35)</f>
        <v>0.00177845683843152</v>
      </c>
      <c r="GW35" s="15" t="n">
        <f aca="false">GS35-GU35-GV35</f>
        <v>0.736596919491599</v>
      </c>
      <c r="GX35" s="15" t="n">
        <f aca="false">GW35*(1-Inputs!$B$18*EXP(-Inputs!$B$21*Inputs!$B$14*Inputs!$B$17/(Inputs!$B$22*Inputs!$B$23*Inputs!$B$24*GQ35*Inputs!$B$16))*Inputs!$B$19)</f>
        <v>0.026096364988737</v>
      </c>
      <c r="GY35" s="15" t="n">
        <f aca="false">(GW35-GX35)*(1-EXP(-Inputs!$B$25*Inputs!$B$14*Inputs!$B$17*Inputs!$B$26/(GQ35*Inputs!$B$16/0.866)))</f>
        <v>0.00728492801077296</v>
      </c>
      <c r="GZ35" s="15" t="n">
        <f aca="false">(GW35-GX35-GY35)*(1-Inputs!$B$19)</f>
        <v>0.00351607813246045</v>
      </c>
      <c r="HA35" s="15" t="n">
        <f aca="false">(GT35+GU35+GV35+GX35+GY35+GZ35)*(1+Inputs!$B$27)</f>
        <v>0.301201352995293</v>
      </c>
      <c r="HB35" s="15" t="n">
        <f aca="false">Inputs!$B$52/(1-HA35-G35)</f>
        <v>197489.510910282</v>
      </c>
      <c r="HC35" s="15" t="n">
        <f aca="false">HB35/Inputs!$B$34</f>
        <v>329.149184850471</v>
      </c>
      <c r="HD35" s="15" t="n">
        <f aca="false">B35^2/HC35</f>
        <v>12.4442052070121</v>
      </c>
      <c r="HE35" s="15" t="n">
        <f aca="false">Inputs!$B$54*H35/(Inputs!$B$35*F35+E35*H35^2/(PI()*HD35*Inputs!$B$36))</f>
        <v>20.2612711027099</v>
      </c>
      <c r="HF35" s="15" t="n">
        <f aca="false">EXP(-Inputs!$B$11*Inputs!$B$14*Inputs!$B$17/(Inputs!$B$51*HE35*Inputs!$B$16))</f>
        <v>0.76346025345734</v>
      </c>
      <c r="HG35" s="15" t="n">
        <f aca="false">Inputs!$B$50*Inputs!$B$18*HF35*Inputs!$B$19</f>
        <v>0.745995511831688</v>
      </c>
      <c r="HH35" s="15" t="n">
        <f aca="false">1-HG35</f>
        <v>0.254004488168312</v>
      </c>
      <c r="HI35" s="15" t="n">
        <f aca="false">Inputs!$B$20*HH35</f>
        <v>0.00762013464504937</v>
      </c>
      <c r="HJ35" s="15" t="n">
        <f aca="false">0.8*(1-Inputs!$B$50)*(HG35-HI35)</f>
        <v>0.00177845684049476</v>
      </c>
      <c r="HK35" s="15" t="n">
        <f aca="false">HG35-HI35-HJ35</f>
        <v>0.736596920346143</v>
      </c>
      <c r="HL35" s="15" t="n">
        <f aca="false">HK35*(1-Inputs!$B$18*EXP(-Inputs!$B$21*Inputs!$B$14*Inputs!$B$17/(Inputs!$B$22*Inputs!$B$23*Inputs!$B$24*HE35*Inputs!$B$16))*Inputs!$B$19)</f>
        <v>0.0260963649722168</v>
      </c>
      <c r="HM35" s="15" t="n">
        <f aca="false">(HK35-HL35)*(1-EXP(-Inputs!$B$25*Inputs!$B$14*Inputs!$B$17*Inputs!$B$26/(HE35*Inputs!$B$16/0.866)))</f>
        <v>0.00728492798976775</v>
      </c>
      <c r="HN35" s="15" t="n">
        <f aca="false">(HK35-HL35-HM35)*(1-Inputs!$B$19)</f>
        <v>0.0035160781369208</v>
      </c>
      <c r="HO35" s="15" t="n">
        <f aca="false">(HH35+HI35+HJ35+HL35+HM35+HN35)*(1+Inputs!$B$27)</f>
        <v>0.30120135210502</v>
      </c>
      <c r="HP35" s="15" t="n">
        <f aca="false">Inputs!$B$52/(1-HO35-G35)</f>
        <v>197489.509845991</v>
      </c>
      <c r="HQ35" s="15" t="n">
        <f aca="false">HP35/Inputs!$B$34</f>
        <v>329.149183076651</v>
      </c>
      <c r="HR35" s="15" t="n">
        <f aca="false">B35^2/HQ35</f>
        <v>12.4442052740752</v>
      </c>
      <c r="HS35" s="15" t="n">
        <f aca="false">Inputs!$B$54*H35/(Inputs!$B$35*F35+E35*H35^2/(PI()*HR35*Inputs!$B$36))</f>
        <v>20.2612711264593</v>
      </c>
      <c r="HT35" s="15" t="n">
        <f aca="false">EXP(-Inputs!$B$11*Inputs!$B$14*Inputs!$B$17/(Inputs!$B$51*HS35*Inputs!$B$16))</f>
        <v>0.763460253698867</v>
      </c>
      <c r="HU35" s="15" t="n">
        <f aca="false">Inputs!$B$50*Inputs!$B$18*HT35*Inputs!$B$19</f>
        <v>0.74599551206769</v>
      </c>
      <c r="HV35" s="15" t="n">
        <f aca="false">1-HU35</f>
        <v>0.25400448793231</v>
      </c>
      <c r="HW35" s="15" t="n">
        <f aca="false">Inputs!$B$20*HV35</f>
        <v>0.00762013463796931</v>
      </c>
      <c r="HX35" s="15" t="n">
        <f aca="false">0.8*(1-Inputs!$B$50)*(HU35-HW35)</f>
        <v>0.00177845684108024</v>
      </c>
      <c r="HY35" s="15" t="n">
        <f aca="false">HU35-HW35-HX35</f>
        <v>0.73659692058864</v>
      </c>
      <c r="HZ35" s="15" t="n">
        <f aca="false">HY35*(1-Inputs!$B$18*EXP(-Inputs!$B$21*Inputs!$B$14*Inputs!$B$17/(Inputs!$B$22*Inputs!$B$23*Inputs!$B$24*HS35*Inputs!$B$16))*Inputs!$B$19)</f>
        <v>0.0260963649675288</v>
      </c>
      <c r="IA35" s="15" t="n">
        <f aca="false">(HY35-HZ35)*(1-EXP(-Inputs!$B$25*Inputs!$B$14*Inputs!$B$17*Inputs!$B$26/(HS35*Inputs!$B$16/0.866)))</f>
        <v>0.00728492798380706</v>
      </c>
      <c r="IB35" s="15" t="n">
        <f aca="false">(HY35-HZ35-IA35)*(1-Inputs!$B$19)</f>
        <v>0.00351607813818652</v>
      </c>
      <c r="IC35" s="15" t="n">
        <f aca="false">(HV35+HW35+HX35+HZ35+IA35+IB35)*(1+Inputs!$B$27)</f>
        <v>0.301201351852385</v>
      </c>
      <c r="ID35" s="15" t="n">
        <f aca="false">Inputs!$B$52/(1-IC35-G35)</f>
        <v>197489.509543974</v>
      </c>
      <c r="IE35" s="15" t="n">
        <f aca="false">ID35/Inputs!$B$34</f>
        <v>329.14918257329</v>
      </c>
      <c r="IF35" s="15" t="n">
        <f aca="false">B35^2/IE35</f>
        <v>12.4442052931058</v>
      </c>
      <c r="IG35" s="15" t="n">
        <f aca="false">Inputs!$B$54*H35/(Inputs!$B$35*F35+E35*H35^2/(PI()*IF35*Inputs!$B$36))</f>
        <v>20.2612711331988</v>
      </c>
      <c r="IH35" s="15" t="n">
        <f aca="false">EXP(-Inputs!$B$11*Inputs!$B$14*Inputs!$B$17/(Inputs!$B$51*IG35*Inputs!$B$16))</f>
        <v>0.763460253767406</v>
      </c>
      <c r="II35" s="15" t="n">
        <f aca="false">Inputs!$B$50*Inputs!$B$18*IH35*Inputs!$B$19</f>
        <v>0.74599551213466</v>
      </c>
      <c r="IJ35" s="15" t="n">
        <f aca="false">1-II35</f>
        <v>0.25400448786534</v>
      </c>
      <c r="IK35" s="15" t="n">
        <f aca="false">Inputs!$B$20*IJ35</f>
        <v>0.00762013463596019</v>
      </c>
      <c r="IL35" s="15" t="n">
        <f aca="false">0.8*(1-Inputs!$B$50)*(II35-IK35)</f>
        <v>0.00177845684124639</v>
      </c>
      <c r="IM35" s="15" t="n">
        <f aca="false">II35-IK35-IL35</f>
        <v>0.736596920657454</v>
      </c>
      <c r="IN35" s="15" t="n">
        <f aca="false">IM35*(1-Inputs!$B$18*EXP(-Inputs!$B$21*Inputs!$B$14*Inputs!$B$17/(Inputs!$B$22*Inputs!$B$23*Inputs!$B$24*IG35*Inputs!$B$16))*Inputs!$B$19)</f>
        <v>0.0260963649661985</v>
      </c>
      <c r="IO35" s="15" t="n">
        <f aca="false">(IM35-IN35)*(1-EXP(-Inputs!$B$25*Inputs!$B$14*Inputs!$B$17*Inputs!$B$26/(IG35*Inputs!$B$16/0.866)))</f>
        <v>0.00728492798211557</v>
      </c>
      <c r="IP35" s="15" t="n">
        <f aca="false">(IM35-IN35-IO35)*(1-Inputs!$B$19)</f>
        <v>0.0035160781385457</v>
      </c>
      <c r="IQ35" s="15" t="n">
        <f aca="false">(IJ35+IK35+IL35+IN35+IO35+IP35)*(1+Inputs!$B$27)</f>
        <v>0.301201351780694</v>
      </c>
      <c r="IR35" s="15" t="n">
        <f aca="false">Inputs!$B$52/(1-IQ35-G35)</f>
        <v>197489.50945827</v>
      </c>
      <c r="IS35" s="15" t="n">
        <f aca="false">IR35/Inputs!$B$34</f>
        <v>329.14918243045</v>
      </c>
      <c r="IT35" s="15" t="n">
        <f aca="false">B35^2/IS35</f>
        <v>12.4442052985062</v>
      </c>
      <c r="IU35" s="15" t="n">
        <f aca="false">Inputs!$B$54*H35/(Inputs!$B$35*F35+E35*H35^2/(PI()*IT35*Inputs!$B$36))</f>
        <v>20.2612711351112</v>
      </c>
      <c r="IV35" s="15" t="n">
        <f aca="false">EXP(-Inputs!$B$11*Inputs!$B$14*Inputs!$B$17/(Inputs!$B$51*IU35*Inputs!$B$16))</f>
        <v>0.763460253786855</v>
      </c>
      <c r="IW35" s="15" t="n">
        <f aca="false">Inputs!$B$50*Inputs!$B$18*IV35*Inputs!$B$19</f>
        <v>0.745995512153665</v>
      </c>
      <c r="IX35" s="15" t="n">
        <f aca="false">1-IW35</f>
        <v>0.254004487846335</v>
      </c>
      <c r="IY35" s="15" t="n">
        <f aca="false">Inputs!$B$20*IX35</f>
        <v>0.00762013463539005</v>
      </c>
      <c r="IZ35" s="15" t="n">
        <f aca="false">0.8*(1-Inputs!$B$50)*(IW35-IY35)</f>
        <v>0.00177845684129354</v>
      </c>
      <c r="JA35" s="15" t="n">
        <f aca="false">IW35-IY35-IZ35</f>
        <v>0.736596920676981</v>
      </c>
      <c r="JB35" s="15" t="n">
        <f aca="false">JA35*(1-Inputs!$B$18*EXP(-Inputs!$B$21*Inputs!$B$14*Inputs!$B$17/(Inputs!$B$22*Inputs!$B$23*Inputs!$B$24*IU35*Inputs!$B$16))*Inputs!$B$19)</f>
        <v>0.026096364965821</v>
      </c>
      <c r="JC35" s="15" t="n">
        <f aca="false">(JA35-JB35)*(1-EXP(-Inputs!$B$25*Inputs!$B$14*Inputs!$B$17*Inputs!$B$26/(IU35*Inputs!$B$16/0.866)))</f>
        <v>0.00728492798163552</v>
      </c>
      <c r="JD35" s="15" t="n">
        <f aca="false">(JA35-JB35-JC35)*(1-Inputs!$B$19)</f>
        <v>0.00351607813864763</v>
      </c>
      <c r="JE35" s="15" t="n">
        <f aca="false">(IX35+IY35+IZ35+JB35+JC35+JD35)*(1+Inputs!$B$27)</f>
        <v>0.30120135176035</v>
      </c>
      <c r="JF35" s="15" t="n">
        <f aca="false">Inputs!$B$52/(1-JE35-G35)</f>
        <v>197489.509433949</v>
      </c>
      <c r="JG35" s="15" t="n">
        <f aca="false">JF35/Inputs!$B$34</f>
        <v>329.149182389916</v>
      </c>
      <c r="JH35" s="15" t="n">
        <f aca="false">B35^2/JG35</f>
        <v>12.4442053000387</v>
      </c>
      <c r="JI35" s="15" t="n">
        <f aca="false">Inputs!$B$54*H35/(Inputs!$B$35*F35+E35*H35^2/(PI()*JH35*Inputs!$B$36))</f>
        <v>20.2612711356539</v>
      </c>
      <c r="JJ35" s="15" t="n">
        <f aca="false">EXP(-Inputs!$B$11*Inputs!$B$14*Inputs!$B$17/(Inputs!$B$51*JI35*Inputs!$B$16))</f>
        <v>0.763460253792374</v>
      </c>
      <c r="JK35" s="15" t="n">
        <f aca="false">Inputs!$B$50*Inputs!$B$18*JJ35*Inputs!$B$19</f>
        <v>0.745995512159058</v>
      </c>
      <c r="JL35" s="15" t="n">
        <f aca="false">1-JK35</f>
        <v>0.254004487840942</v>
      </c>
      <c r="JM35" s="15" t="n">
        <f aca="false">Inputs!$B$20*JL35</f>
        <v>0.00762013463522826</v>
      </c>
      <c r="JN35" s="15" t="n">
        <f aca="false">0.8*(1-Inputs!$B$50)*(JK35-JM35)</f>
        <v>0.00177845684130692</v>
      </c>
      <c r="JO35" s="15" t="n">
        <f aca="false">JK35-JM35-JN35</f>
        <v>0.736596920682523</v>
      </c>
      <c r="JP35" s="15" t="n">
        <f aca="false">JO35*(1-Inputs!$B$18*EXP(-Inputs!$B$21*Inputs!$B$14*Inputs!$B$17/(Inputs!$B$22*Inputs!$B$23*Inputs!$B$24*JI35*Inputs!$B$16))*Inputs!$B$19)</f>
        <v>0.0260963649657138</v>
      </c>
      <c r="JQ35" s="15" t="n">
        <f aca="false">(JO35-JP35)*(1-EXP(-Inputs!$B$25*Inputs!$B$14*Inputs!$B$17*Inputs!$B$26/(JI35*Inputs!$B$16/0.866)))</f>
        <v>0.00728492798149931</v>
      </c>
      <c r="JR35" s="15" t="n">
        <f aca="false">(JO35-JP35-JQ35)*(1-Inputs!$B$19)</f>
        <v>0.00351607813867655</v>
      </c>
      <c r="JS35" s="15" t="n">
        <f aca="false">(JL35+JM35+JN35+JP35+JQ35+JR35)*(1+Inputs!$B$27)</f>
        <v>0.301201351754577</v>
      </c>
      <c r="JT35" s="15" t="n">
        <f aca="false">Inputs!$B$52/(1-JS35-G35)</f>
        <v>197489.509427048</v>
      </c>
      <c r="JU35" s="15" t="n">
        <f aca="false">JT35/Inputs!$B$34</f>
        <v>329.149182378413</v>
      </c>
      <c r="JV35" s="15" t="n">
        <f aca="false">B35^2/JU35</f>
        <v>12.4442053004736</v>
      </c>
      <c r="JW35" s="15" t="n">
        <f aca="false">Inputs!$B$54*H35/(Inputs!$B$35*F35+E35*H35^2/(PI()*JV35*Inputs!$B$36))</f>
        <v>20.2612711358079</v>
      </c>
      <c r="JX35" s="15" t="n">
        <f aca="false">EXP(-Inputs!$B$11*Inputs!$B$14*Inputs!$B$17/(Inputs!$B$51*JW35*Inputs!$B$16))</f>
        <v>0.76346025379394</v>
      </c>
      <c r="JY35" s="15" t="n">
        <f aca="false">Inputs!$B$50*Inputs!$B$18*JX35*Inputs!$B$19</f>
        <v>0.745995512160588</v>
      </c>
      <c r="JZ35" s="15" t="n">
        <f aca="false">1-JY35</f>
        <v>0.254004487839412</v>
      </c>
      <c r="KA35" s="15" t="n">
        <f aca="false">Inputs!$B$20*JZ35</f>
        <v>0.00762013463518235</v>
      </c>
      <c r="KB35" s="15" t="n">
        <f aca="false">0.8*(1-Inputs!$B$50)*(JY35-KA35)</f>
        <v>0.00177845684131071</v>
      </c>
      <c r="KC35" s="15" t="n">
        <f aca="false">JY35-KA35-KB35</f>
        <v>0.736596920684095</v>
      </c>
      <c r="KD35" s="15" t="n">
        <f aca="false">KC35*(1-Inputs!$B$18*EXP(-Inputs!$B$21*Inputs!$B$14*Inputs!$B$17/(Inputs!$B$22*Inputs!$B$23*Inputs!$B$24*JW35*Inputs!$B$16))*Inputs!$B$19)</f>
        <v>0.0260963649656834</v>
      </c>
      <c r="KE35" s="15" t="n">
        <f aca="false">(KC35-KD35)*(1-EXP(-Inputs!$B$25*Inputs!$B$14*Inputs!$B$17*Inputs!$B$26/(JW35*Inputs!$B$16/0.866)))</f>
        <v>0.00728492798146068</v>
      </c>
      <c r="KF35" s="15" t="n">
        <f aca="false">(KC35-KD35-KE35)*(1-Inputs!$B$19)</f>
        <v>0.00351607813868476</v>
      </c>
      <c r="KG35" s="15" t="n">
        <f aca="false">(JZ35+KA35+KB35+KD35+KE35+KF35)*(1+Inputs!$B$27)</f>
        <v>0.301201351752939</v>
      </c>
      <c r="KH35" s="15" t="n">
        <f aca="false">Inputs!$B$52/(1-KG35-G35)</f>
        <v>197489.509425089</v>
      </c>
      <c r="KI35" s="15" t="n">
        <f aca="false">KH35/Inputs!$B$34</f>
        <v>329.149182375149</v>
      </c>
      <c r="KJ35" s="15" t="n">
        <f aca="false">B35^2/KI35</f>
        <v>12.444205300597</v>
      </c>
      <c r="KK35" s="15" t="n">
        <f aca="false">Inputs!$B$54*H35/(Inputs!$B$35*F35+E35*H35^2/(PI()*KJ35*Inputs!$B$36))</f>
        <v>20.2612711358516</v>
      </c>
      <c r="KL35" s="15" t="n">
        <f aca="false">EXP(-Inputs!$B$11*Inputs!$B$14*Inputs!$B$17/(Inputs!$B$51*KK35*Inputs!$B$16))</f>
        <v>0.763460253794385</v>
      </c>
      <c r="KM35" s="15" t="n">
        <f aca="false">Inputs!$B$50*Inputs!$B$18*KL35*Inputs!$B$19</f>
        <v>0.745995512161023</v>
      </c>
      <c r="KN35" s="15" t="n">
        <f aca="false">1-KM35</f>
        <v>0.254004487838977</v>
      </c>
      <c r="KO35" s="15" t="n">
        <f aca="false">Inputs!$B$20*KN35</f>
        <v>0.00762013463516932</v>
      </c>
      <c r="KP35" s="15" t="n">
        <f aca="false">0.8*(1-Inputs!$B$50)*(KM35-KO35)</f>
        <v>0.00177845684131179</v>
      </c>
      <c r="KQ35" s="15" t="n">
        <f aca="false">KM35-KO35-KP35</f>
        <v>0.736596920684541</v>
      </c>
      <c r="KR35" s="15" t="n">
        <f aca="false">KQ35*(1-Inputs!$B$18*EXP(-Inputs!$B$21*Inputs!$B$14*Inputs!$B$17/(Inputs!$B$22*Inputs!$B$23*Inputs!$B$24*KK35*Inputs!$B$16))*Inputs!$B$19)</f>
        <v>0.0260963649656748</v>
      </c>
      <c r="KS35" s="15" t="n">
        <f aca="false">(KQ35-KR35)*(1-EXP(-Inputs!$B$25*Inputs!$B$14*Inputs!$B$17*Inputs!$B$26/(KK35*Inputs!$B$16/0.866)))</f>
        <v>0.00728492798144973</v>
      </c>
      <c r="KT35" s="15" t="n">
        <f aca="false">(KQ35-KR35-KS35)*(1-Inputs!$B$19)</f>
        <v>0.00351607813868709</v>
      </c>
      <c r="KU35" s="15" t="n">
        <f aca="false">(KN35+KO35+KP35+KR35+KS35+KT35)*(1+Inputs!$B$27)</f>
        <v>0.301201351752474</v>
      </c>
      <c r="KV35" s="15" t="n">
        <f aca="false">Inputs!$B$52/(1-KU35-G35)</f>
        <v>197489.509424534</v>
      </c>
      <c r="KW35" s="15" t="n">
        <f aca="false">KV35/Inputs!$B$34</f>
        <v>329.149182374223</v>
      </c>
      <c r="KX35" s="15" t="n">
        <f aca="false">B35^2/KW35</f>
        <v>12.444205300632</v>
      </c>
      <c r="KY35" s="15" t="n">
        <f aca="false">Inputs!$B$54*H35/(Inputs!$B$35*F35+E35*H35^2/(PI()*KX35*Inputs!$B$36))</f>
        <v>20.261271135864</v>
      </c>
      <c r="KZ35" s="15" t="n">
        <f aca="false">EXP(-Inputs!$B$11*Inputs!$B$14*Inputs!$B$17/(Inputs!$B$51*KY35*Inputs!$B$16))</f>
        <v>0.763460253794511</v>
      </c>
      <c r="LA35" s="15" t="n">
        <f aca="false">Inputs!$B$50*Inputs!$B$18*KZ35*Inputs!$B$19</f>
        <v>0.745995512161146</v>
      </c>
      <c r="LB35" s="15" t="n">
        <f aca="false">1-LA35</f>
        <v>0.254004487838854</v>
      </c>
      <c r="LC35" s="15" t="n">
        <f aca="false">Inputs!$B$20*LB35</f>
        <v>0.00762013463516563</v>
      </c>
      <c r="LD35" s="15" t="n">
        <f aca="false">0.8*(1-Inputs!$B$50)*(LA35-LC35)</f>
        <v>0.0017784568413121</v>
      </c>
      <c r="LE35" s="15" t="n">
        <f aca="false">LA35-LC35-LD35</f>
        <v>0.736596920684668</v>
      </c>
      <c r="LF35" s="15" t="n">
        <f aca="false">LE35*(1-Inputs!$B$18*EXP(-Inputs!$B$21*Inputs!$B$14*Inputs!$B$17/(Inputs!$B$22*Inputs!$B$23*Inputs!$B$24*KY35*Inputs!$B$16))*Inputs!$B$19)</f>
        <v>0.0260963649656723</v>
      </c>
      <c r="LG35" s="15" t="n">
        <f aca="false">(LE35-LF35)*(1-EXP(-Inputs!$B$25*Inputs!$B$14*Inputs!$B$17*Inputs!$B$26/(KY35*Inputs!$B$16/0.866)))</f>
        <v>0.00728492798144663</v>
      </c>
      <c r="LH35" s="15" t="n">
        <f aca="false">(LE35-LF35-LG35)*(1-Inputs!$B$19)</f>
        <v>0.00351607813868775</v>
      </c>
      <c r="LI35" s="15" t="n">
        <f aca="false">(LB35+LC35+LD35+LF35+LG35+LH35)*(1+Inputs!$B$27)</f>
        <v>0.301201351752342</v>
      </c>
      <c r="LJ35" s="15" t="n">
        <f aca="false">Inputs!$B$52/(1-LI35-G35)</f>
        <v>197489.509424376</v>
      </c>
      <c r="LK35" s="15" t="n">
        <f aca="false">LJ35/Inputs!$B$34</f>
        <v>329.14918237396</v>
      </c>
      <c r="LL35" s="15" t="n">
        <f aca="false">B35^2/LK35</f>
        <v>12.444205300642</v>
      </c>
      <c r="LM35" s="15" t="n">
        <f aca="false">Inputs!$B$54*H35/(Inputs!$B$35*F35+E35*H35^2/(PI()*LL35*Inputs!$B$36))</f>
        <v>20.2612711358676</v>
      </c>
      <c r="LN35" s="15" t="n">
        <f aca="false">EXP(-Inputs!$B$11*Inputs!$B$14*Inputs!$B$17/(Inputs!$B$51*LM35*Inputs!$B$16))</f>
        <v>0.763460253794547</v>
      </c>
      <c r="LO35" s="15" t="n">
        <f aca="false">Inputs!$B$50*Inputs!$B$18*LN35*Inputs!$B$19</f>
        <v>0.745995512161181</v>
      </c>
      <c r="LP35" s="15" t="n">
        <f aca="false">1-LO35</f>
        <v>0.254004487838819</v>
      </c>
      <c r="LQ35" s="15" t="n">
        <f aca="false">Inputs!$B$20*LP35</f>
        <v>0.00762013463516458</v>
      </c>
      <c r="LR35" s="15" t="n">
        <f aca="false">0.8*(1-Inputs!$B$50)*(LO35-LQ35)</f>
        <v>0.00177845684131218</v>
      </c>
      <c r="LS35" s="15" t="n">
        <f aca="false">LO35-LQ35-LR35</f>
        <v>0.736596920684704</v>
      </c>
      <c r="LT35" s="15" t="n">
        <f aca="false">LS35*(1-Inputs!$B$18*EXP(-Inputs!$B$21*Inputs!$B$14*Inputs!$B$17/(Inputs!$B$22*Inputs!$B$23*Inputs!$B$24*LM35*Inputs!$B$16))*Inputs!$B$19)</f>
        <v>0.0260963649656717</v>
      </c>
      <c r="LU35" s="15" t="n">
        <f aca="false">(LS35-LT35)*(1-EXP(-Inputs!$B$25*Inputs!$B$14*Inputs!$B$17*Inputs!$B$26/(LM35*Inputs!$B$16/0.866)))</f>
        <v>0.00728492798144575</v>
      </c>
      <c r="LV35" s="15" t="n">
        <f aca="false">(LS35-LT35-LU35)*(1-Inputs!$B$19)</f>
        <v>0.00351607813868794</v>
      </c>
      <c r="LW35" s="15" t="n">
        <f aca="false">(LP35+LQ35+LR35+LT35+LU35+LV35)*(1+Inputs!$B$27)</f>
        <v>0.301201351752305</v>
      </c>
      <c r="LX35" s="15" t="n">
        <f aca="false">Inputs!$B$52/(1-LW35-G35)</f>
        <v>197489.509424331</v>
      </c>
      <c r="LY35" s="15" t="n">
        <f aca="false">LX35/Inputs!$B$34</f>
        <v>329.149182373886</v>
      </c>
      <c r="LZ35" s="15" t="n">
        <f aca="false">B35^2/LY35</f>
        <v>12.4442053006448</v>
      </c>
      <c r="MA35" s="15" t="n">
        <f aca="false">Inputs!$B$54*H35/(Inputs!$B$35*F35+E35*H35^2/(PI()*LZ35*Inputs!$B$36))</f>
        <v>20.2612711358685</v>
      </c>
      <c r="MB35" s="15" t="n">
        <f aca="false">EXP(-Inputs!$B$11*Inputs!$B$14*Inputs!$B$17/(Inputs!$B$51*MA35*Inputs!$B$16))</f>
        <v>0.763460253794557</v>
      </c>
      <c r="MC35" s="15" t="n">
        <f aca="false">Inputs!$B$50*Inputs!$B$18*MB35*Inputs!$B$19</f>
        <v>0.745995512161191</v>
      </c>
      <c r="MD35" s="15" t="n">
        <f aca="false">1-MC35</f>
        <v>0.254004487838809</v>
      </c>
      <c r="ME35" s="15" t="n">
        <f aca="false">Inputs!$B$20*MD35</f>
        <v>0.00762013463516428</v>
      </c>
      <c r="MF35" s="15" t="n">
        <f aca="false">0.8*(1-Inputs!$B$50)*(MC35-ME35)</f>
        <v>0.00177845684131221</v>
      </c>
      <c r="MG35" s="15" t="n">
        <f aca="false">MC35-ME35-MF35</f>
        <v>0.736596920684714</v>
      </c>
      <c r="MH35" s="15" t="n">
        <f aca="false">MG35*(1-Inputs!$B$18*EXP(-Inputs!$B$21*Inputs!$B$14*Inputs!$B$17/(Inputs!$B$22*Inputs!$B$23*Inputs!$B$24*MA35*Inputs!$B$16))*Inputs!$B$19)</f>
        <v>0.0260963649656715</v>
      </c>
      <c r="MI35" s="15" t="n">
        <f aca="false">(MG35-MH35)*(1-EXP(-Inputs!$B$25*Inputs!$B$14*Inputs!$B$17*Inputs!$B$26/(MA35*Inputs!$B$16/0.866)))</f>
        <v>0.00728492798144546</v>
      </c>
      <c r="MJ35" s="15" t="n">
        <f aca="false">(MG35-MH35-MI35)*(1-Inputs!$B$19)</f>
        <v>0.00351607813868799</v>
      </c>
      <c r="MK35" s="15" t="n">
        <f aca="false">(MD35+ME35+MF35+MH35+MI35+MJ35)*(1+Inputs!$B$27)</f>
        <v>0.301201351752294</v>
      </c>
      <c r="ML35" s="15" t="n">
        <f aca="false">Inputs!$B$52/(1-MK35-G35)</f>
        <v>197489.509424319</v>
      </c>
      <c r="MM35" s="15" t="n">
        <f aca="false">ML35/Inputs!$B$34</f>
        <v>329.149182373865</v>
      </c>
      <c r="MN35" s="15" t="n">
        <f aca="false">B35^2/MM35</f>
        <v>12.4442053006456</v>
      </c>
      <c r="MO35" s="15" t="n">
        <f aca="false">Inputs!$B$54*H35/(Inputs!$B$35*F35+E35*H35^2/(PI()*MN35*Inputs!$B$36))</f>
        <v>20.2612711358688</v>
      </c>
      <c r="MP35" s="15" t="n">
        <f aca="false">EXP(-Inputs!$B$11*Inputs!$B$14*Inputs!$B$17/(Inputs!$B$51*MO35*Inputs!$B$16))</f>
        <v>0.76346025379456</v>
      </c>
      <c r="MQ35" s="15" t="n">
        <f aca="false">Inputs!$B$50*Inputs!$B$18*MP35*Inputs!$B$19</f>
        <v>0.745995512161193</v>
      </c>
      <c r="MR35" s="15" t="n">
        <f aca="false">1-MQ35</f>
        <v>0.254004487838807</v>
      </c>
      <c r="MS35" s="15" t="n">
        <f aca="false">Inputs!$B$20*MR35</f>
        <v>0.0076201346351642</v>
      </c>
      <c r="MT35" s="15" t="n">
        <f aca="false">0.8*(1-Inputs!$B$50)*(MQ35-MS35)</f>
        <v>0.00177845684131222</v>
      </c>
      <c r="MU35" s="15" t="n">
        <f aca="false">MQ35-MS35-MT35</f>
        <v>0.736596920684717</v>
      </c>
      <c r="MV35" s="15" t="n">
        <f aca="false">MU35*(1-Inputs!$B$18*EXP(-Inputs!$B$21*Inputs!$B$14*Inputs!$B$17/(Inputs!$B$22*Inputs!$B$23*Inputs!$B$24*MO35*Inputs!$B$16))*Inputs!$B$19)</f>
        <v>0.0260963649656714</v>
      </c>
      <c r="MW35" s="15" t="n">
        <f aca="false">(MU35-MV35)*(1-EXP(-Inputs!$B$25*Inputs!$B$14*Inputs!$B$17*Inputs!$B$26/(MO35*Inputs!$B$16/0.866)))</f>
        <v>0.00728492798144541</v>
      </c>
      <c r="MX35" s="15" t="n">
        <f aca="false">(MU35-MV35-MW35)*(1-Inputs!$B$19)</f>
        <v>0.003516078138688</v>
      </c>
      <c r="MY35" s="15" t="n">
        <f aca="false">(MR35+MS35+MT35+MV35+MW35+MX35)*(1+Inputs!$B$27)</f>
        <v>0.301201351752291</v>
      </c>
      <c r="MZ35" s="15" t="n">
        <f aca="false">Inputs!$B$52/(1-MY35-G35)</f>
        <v>197489.509424315</v>
      </c>
      <c r="NA35" s="15" t="n">
        <f aca="false">MZ35/Inputs!$B$34</f>
        <v>329.149182373859</v>
      </c>
      <c r="NB35" s="15" t="n">
        <f aca="false">B35^2/NA35</f>
        <v>12.4442053006458</v>
      </c>
      <c r="NC35" s="15" t="n">
        <f aca="false">Inputs!$B$54*H35/(Inputs!$B$35*F35+E35*H35^2/(PI()*NB35*Inputs!$B$36))</f>
        <v>20.2612711358689</v>
      </c>
      <c r="ND35" s="15" t="n">
        <f aca="false">EXP(-Inputs!$B$11*Inputs!$B$14*Inputs!$B$17/(Inputs!$B$51*NC35*Inputs!$B$16))</f>
        <v>0.763460253794561</v>
      </c>
      <c r="NE35" s="15" t="n">
        <f aca="false">Inputs!$B$50*Inputs!$B$18*ND35*Inputs!$B$19</f>
        <v>0.745995512161194</v>
      </c>
      <c r="NF35" s="15" t="n">
        <f aca="false">1-NE35</f>
        <v>0.254004487838806</v>
      </c>
      <c r="NG35" s="15" t="n">
        <f aca="false">Inputs!$B$20*NF35</f>
        <v>0.00762013463516417</v>
      </c>
      <c r="NH35" s="15" t="n">
        <f aca="false">0.8*(1-Inputs!$B$50)*(NE35-NG35)</f>
        <v>0.00177845684131222</v>
      </c>
      <c r="NI35" s="15" t="n">
        <f aca="false">NE35-NG35-NH35</f>
        <v>0.736596920684718</v>
      </c>
      <c r="NJ35" s="15" t="n">
        <f aca="false">NI35*(1-Inputs!$B$18*EXP(-Inputs!$B$21*Inputs!$B$14*Inputs!$B$17/(Inputs!$B$22*Inputs!$B$23*Inputs!$B$24*NC35*Inputs!$B$16))*Inputs!$B$19)</f>
        <v>0.0260963649656714</v>
      </c>
      <c r="NK35" s="15" t="n">
        <f aca="false">(NI35-NJ35)*(1-EXP(-Inputs!$B$25*Inputs!$B$14*Inputs!$B$17*Inputs!$B$26/(NC35*Inputs!$B$16/0.866)))</f>
        <v>0.00728492798144534</v>
      </c>
      <c r="NL35" s="15" t="n">
        <f aca="false">(NI35-NJ35-NK35)*(1-Inputs!$B$19)</f>
        <v>0.00351607813868801</v>
      </c>
      <c r="NM35" s="15" t="n">
        <f aca="false">(NF35+NG35+NH35+NJ35+NK35+NL35)*(1+Inputs!$B$27)</f>
        <v>0.30120135175229</v>
      </c>
      <c r="NN35" s="15" t="n">
        <f aca="false">Inputs!$B$52/(1-NM35-G35)</f>
        <v>197489.509424314</v>
      </c>
    </row>
    <row r="36" customFormat="false" ht="15" hidden="false" customHeight="false" outlineLevel="0" collapsed="false">
      <c r="A36" s="0" t="s">
        <v>500</v>
      </c>
      <c r="B36" s="0" t="n">
        <v>65</v>
      </c>
      <c r="C36" s="12" t="n">
        <v>0</v>
      </c>
      <c r="D36" s="13" t="n">
        <f aca="false">B36*C36</f>
        <v>0</v>
      </c>
      <c r="E36" s="14" t="n">
        <f aca="false">IF(C36=0,1,(1+0.45*C36)/(1.04+2.81*C36))</f>
        <v>1</v>
      </c>
      <c r="F36" s="14" t="n">
        <f aca="false">1+Inputs!$B$42*D36</f>
        <v>1</v>
      </c>
      <c r="G36" s="15" t="n">
        <f aca="false">Inputs!$B$31+Inputs!$B$43*(B36/Inputs!$B$32-1)</f>
        <v>0.52171875</v>
      </c>
      <c r="H36" s="12" t="n">
        <f aca="false">Inputs!$B$37</f>
        <v>0.5</v>
      </c>
      <c r="I36" s="13" t="n">
        <f aca="false">Inputs!$B$39</f>
        <v>2.6</v>
      </c>
      <c r="J36" s="16" t="n">
        <f aca="false">NN36/Inputs!$B$34</f>
        <v>328.58245235965</v>
      </c>
      <c r="K36" s="13" t="n">
        <f aca="false">B36^2/J36</f>
        <v>12.8582642489244</v>
      </c>
      <c r="L36" s="13" t="n">
        <f aca="false">K36</f>
        <v>12.8582642489244</v>
      </c>
      <c r="M36" s="12" t="n">
        <f aca="false">NC36</f>
        <v>19.2188710422429</v>
      </c>
      <c r="N36" s="13" t="n">
        <f aca="false">B36/SQRT(E36)</f>
        <v>65</v>
      </c>
      <c r="O36" s="14" t="n">
        <f aca="false">NM36</f>
        <v>0.312797671648458</v>
      </c>
      <c r="P36" s="13" t="n">
        <f aca="false">NN36/1000</f>
        <v>197.14947141579</v>
      </c>
      <c r="Q36" s="13" t="n">
        <f aca="false">G36*NN36/1000</f>
        <v>102.856575790207</v>
      </c>
      <c r="R36" s="13" t="n">
        <f aca="false">NM36*NN36/1000</f>
        <v>61.6678956255832</v>
      </c>
      <c r="S36" s="13" t="n">
        <f aca="false">NM36*NN36/Inputs!$B$28/1000</f>
        <v>82.2238608341109</v>
      </c>
      <c r="T36" s="17" t="n">
        <f aca="false">R36/Sweep!$R$5-1</f>
        <v>-0.0132603312476827</v>
      </c>
      <c r="U36" s="17" t="n">
        <f aca="false">R36/SUMIFS(Sweep!$R:$R,Sweep!$A:$A,"Conventional",Sweep!$B:$B,B36)-1</f>
        <v>0</v>
      </c>
      <c r="V36" s="16" t="n">
        <f aca="false">1*0.54*(J36/1)^1.5/SQRT(L36)*Inputs!$B$46*Inputs!$B$47</f>
        <v>83.8649992254372</v>
      </c>
      <c r="W36" s="18" t="n">
        <f aca="false">MIN(1,V36/S36)</f>
        <v>1</v>
      </c>
      <c r="X36" s="16" t="n">
        <f aca="false">1.23*SQRT(2*Inputs!$B$41*NN36*Inputs!$B$49/(1.225*J36*I36))/0.5144</f>
        <v>128.387239561919</v>
      </c>
      <c r="Y36" s="19" t="n">
        <f aca="false">(11000+6341.6*LN(0.36392/(2*Inputs!$B$50*Inputs!$B$18*(1+ND36)/2*Inputs!$B$34*Inputs!$B$49/((Inputs!$B$12*295.07)^2*H36))))/0.3048</f>
        <v>38632.730427854</v>
      </c>
      <c r="Z36" s="16" t="n">
        <f aca="false">NN36-MZ36</f>
        <v>-1.92964216694236E-006</v>
      </c>
      <c r="AA36" s="20" t="str">
        <f aca="false">IF(ABS(NN36-MZ36)&lt;10,"Yes","No")</f>
        <v>Yes</v>
      </c>
      <c r="AC36" s="15" t="n">
        <f aca="false">Inputs!$B$52/(1-0.3154-G36)/Inputs!$B$34</f>
        <v>333.832163002187</v>
      </c>
      <c r="AD36" s="15" t="n">
        <f aca="false">B36^2/AC36</f>
        <v>12.6560603448276</v>
      </c>
      <c r="AE36" s="15" t="n">
        <f aca="false">Inputs!$B$54*H36/(Inputs!$B$35*F36+E36*H36^2/(PI()*AD36*Inputs!$B$36))</f>
        <v>19.1233185170618</v>
      </c>
      <c r="AF36" s="15" t="n">
        <f aca="false">EXP(-Inputs!$B$11*Inputs!$B$14*Inputs!$B$17/(Inputs!$B$51*AE36*Inputs!$B$16))</f>
        <v>0.751296765606925</v>
      </c>
      <c r="AG36" s="15" t="n">
        <f aca="false">Inputs!$B$50*Inputs!$B$18*AF36*Inputs!$B$19</f>
        <v>0.734110273139119</v>
      </c>
      <c r="AH36" s="15" t="n">
        <f aca="false">1-AG36</f>
        <v>0.265889726860881</v>
      </c>
      <c r="AI36" s="15" t="n">
        <f aca="false">Inputs!$B$20*AH36</f>
        <v>0.00797669180582642</v>
      </c>
      <c r="AJ36" s="15" t="n">
        <f aca="false">0.8*(1-Inputs!$B$50)*(AG36-AI36)</f>
        <v>0.00174897115306802</v>
      </c>
      <c r="AK36" s="15" t="n">
        <f aca="false">AG36-AI36-AJ36</f>
        <v>0.724384610180225</v>
      </c>
      <c r="AL36" s="15" t="n">
        <f aca="false">AK36*(1-Inputs!$B$18*EXP(-Inputs!$B$21*Inputs!$B$14*Inputs!$B$17/(Inputs!$B$22*Inputs!$B$23*Inputs!$B$24*AE36*Inputs!$B$16))*Inputs!$B$19)</f>
        <v>0.0263263486134799</v>
      </c>
      <c r="AM36" s="15" t="n">
        <f aca="false">(AK36-AL36)*(1-EXP(-Inputs!$B$25*Inputs!$B$14*Inputs!$B$17*Inputs!$B$26/(AE36*Inputs!$B$16/0.866)))</f>
        <v>0.00758093906017121</v>
      </c>
      <c r="AN36" s="15" t="n">
        <f aca="false">(AK36-AL36-AM36)*(1-Inputs!$B$19)</f>
        <v>0.00345238661253287</v>
      </c>
      <c r="AO36" s="15" t="n">
        <f aca="false">(AH36+AI36+AJ36+AL36+AM36+AN36)*(1+Inputs!$B$27)</f>
        <v>0.313913989298277</v>
      </c>
      <c r="AP36" s="15" t="n">
        <f aca="false">Inputs!$B$52/(1-AO36-G36)</f>
        <v>198488.432919768</v>
      </c>
      <c r="AQ36" s="15" t="n">
        <f aca="false">AP36/Inputs!$B$34</f>
        <v>330.81405486628</v>
      </c>
      <c r="AR36" s="15" t="n">
        <f aca="false">B36^2/AQ36</f>
        <v>12.7715250844097</v>
      </c>
      <c r="AS36" s="15" t="n">
        <f aca="false">Inputs!$B$54*H36/(Inputs!$B$35*F36+E36*H36^2/(PI()*AR36*Inputs!$B$36))</f>
        <v>19.1781361303834</v>
      </c>
      <c r="AT36" s="15" t="n">
        <f aca="false">EXP(-Inputs!$B$11*Inputs!$B$14*Inputs!$B$17/(Inputs!$B$51*AS36*Inputs!$B$16))</f>
        <v>0.751911092810155</v>
      </c>
      <c r="AU36" s="15" t="n">
        <f aca="false">Inputs!$B$50*Inputs!$B$18*AT36*Inputs!$B$19</f>
        <v>0.734710547134171</v>
      </c>
      <c r="AV36" s="15" t="n">
        <f aca="false">1-AU36</f>
        <v>0.265289452865829</v>
      </c>
      <c r="AW36" s="15" t="n">
        <f aca="false">Inputs!$B$20*AV36</f>
        <v>0.00795868358597488</v>
      </c>
      <c r="AX36" s="15" t="n">
        <f aca="false">0.8*(1-Inputs!$B$50)*(AU36-AW36)</f>
        <v>0.00175046035255709</v>
      </c>
      <c r="AY36" s="15" t="n">
        <f aca="false">AU36-AW36-AX36</f>
        <v>0.725001403195639</v>
      </c>
      <c r="AZ36" s="15" t="n">
        <f aca="false">AY36*(1-Inputs!$B$18*EXP(-Inputs!$B$21*Inputs!$B$14*Inputs!$B$17/(Inputs!$B$22*Inputs!$B$23*Inputs!$B$24*AS36*Inputs!$B$16))*Inputs!$B$19)</f>
        <v>0.0263150273921347</v>
      </c>
      <c r="BA36" s="15" t="n">
        <f aca="false">(AY36-AZ36)*(1-EXP(-Inputs!$B$25*Inputs!$B$14*Inputs!$B$17*Inputs!$B$26/(AS36*Inputs!$B$16/0.866)))</f>
        <v>0.00756618987384553</v>
      </c>
      <c r="BB36" s="15" t="n">
        <f aca="false">(AY36-AZ36-BA36)*(1-Inputs!$B$19)</f>
        <v>0.0034556009296483</v>
      </c>
      <c r="BC36" s="15" t="n">
        <f aca="false">(AV36+AW36+AX36+AZ36+BA36+BB36)*(1+Inputs!$B$27)</f>
        <v>0.31327242124499</v>
      </c>
      <c r="BD36" s="15" t="n">
        <f aca="false">Inputs!$B$52/(1-BC36-G36)</f>
        <v>197716.693380319</v>
      </c>
      <c r="BE36" s="15" t="n">
        <f aca="false">BD36/Inputs!$B$34</f>
        <v>329.527822300533</v>
      </c>
      <c r="BF36" s="15" t="n">
        <f aca="false">B36^2/BE36</f>
        <v>12.8213756595847</v>
      </c>
      <c r="BG36" s="15" t="n">
        <f aca="false">Inputs!$B$54*H36/(Inputs!$B$35*F36+E36*H36^2/(PI()*BF36*Inputs!$B$36))</f>
        <v>19.2015934745726</v>
      </c>
      <c r="BH36" s="15" t="n">
        <f aca="false">EXP(-Inputs!$B$11*Inputs!$B$14*Inputs!$B$17/(Inputs!$B$51*BG36*Inputs!$B$16))</f>
        <v>0.752173054370239</v>
      </c>
      <c r="BI36" s="15" t="n">
        <f aca="false">Inputs!$B$50*Inputs!$B$18*BH36*Inputs!$B$19</f>
        <v>0.734966516121699</v>
      </c>
      <c r="BJ36" s="15" t="n">
        <f aca="false">1-BI36</f>
        <v>0.265033483878301</v>
      </c>
      <c r="BK36" s="15" t="n">
        <f aca="false">Inputs!$B$20*BJ36</f>
        <v>0.00795100451634903</v>
      </c>
      <c r="BL36" s="15" t="n">
        <f aca="false">0.8*(1-Inputs!$B$50)*(BI36-BK36)</f>
        <v>0.00175109537737674</v>
      </c>
      <c r="BM36" s="15" t="n">
        <f aca="false">BI36-BK36-BL36</f>
        <v>0.725264416227973</v>
      </c>
      <c r="BN36" s="15" t="n">
        <f aca="false">BM36*(1-Inputs!$B$18*EXP(-Inputs!$B$21*Inputs!$B$14*Inputs!$B$17/(Inputs!$B$22*Inputs!$B$23*Inputs!$B$24*BG36*Inputs!$B$16))*Inputs!$B$19)</f>
        <v>0.0263101902259578</v>
      </c>
      <c r="BO36" s="15" t="n">
        <f aca="false">(BM36-BN36)*(1-EXP(-Inputs!$B$25*Inputs!$B$14*Inputs!$B$17*Inputs!$B$26/(BG36*Inputs!$B$16/0.866)))</f>
        <v>0.00755989398714976</v>
      </c>
      <c r="BP36" s="15" t="n">
        <f aca="false">(BM36-BN36-BO36)*(1-Inputs!$B$19)</f>
        <v>0.00345697166007433</v>
      </c>
      <c r="BQ36" s="15" t="n">
        <f aca="false">(BJ36+BK36+BL36+BN36+BO36+BP36)*(1+Inputs!$B$27)</f>
        <v>0.312998827564144</v>
      </c>
      <c r="BR36" s="15" t="n">
        <f aca="false">Inputs!$B$52/(1-BQ36-G36)</f>
        <v>197389.410919733</v>
      </c>
      <c r="BS36" s="15" t="n">
        <f aca="false">BR36/Inputs!$B$34</f>
        <v>328.982351532888</v>
      </c>
      <c r="BT36" s="15" t="n">
        <f aca="false">B36^2/BS36</f>
        <v>12.8426342030619</v>
      </c>
      <c r="BU36" s="15" t="n">
        <f aca="false">Inputs!$B$54*H36/(Inputs!$B$35*F36+E36*H36^2/(PI()*BT36*Inputs!$B$36))</f>
        <v>19.2115586976575</v>
      </c>
      <c r="BV36" s="15" t="n">
        <f aca="false">EXP(-Inputs!$B$11*Inputs!$B$14*Inputs!$B$17/(Inputs!$B$51*BU36*Inputs!$B$16))</f>
        <v>0.752284175657494</v>
      </c>
      <c r="BW36" s="15" t="n">
        <f aca="false">Inputs!$B$50*Inputs!$B$18*BV36*Inputs!$B$19</f>
        <v>0.735075095423877</v>
      </c>
      <c r="BX36" s="15" t="n">
        <f aca="false">1-BW36</f>
        <v>0.264924904576123</v>
      </c>
      <c r="BY36" s="15" t="n">
        <f aca="false">Inputs!$B$20*BX36</f>
        <v>0.0079477471372837</v>
      </c>
      <c r="BZ36" s="15" t="n">
        <f aca="false">0.8*(1-Inputs!$B$50)*(BW36-BY36)</f>
        <v>0.00175136474810188</v>
      </c>
      <c r="CA36" s="15" t="n">
        <f aca="false">BW36-BY36-BZ36</f>
        <v>0.725375983538491</v>
      </c>
      <c r="CB36" s="15" t="n">
        <f aca="false">CA36*(1-Inputs!$B$18*EXP(-Inputs!$B$21*Inputs!$B$14*Inputs!$B$17/(Inputs!$B$22*Inputs!$B$23*Inputs!$B$24*BU36*Inputs!$B$16))*Inputs!$B$19)</f>
        <v>0.0263081366246217</v>
      </c>
      <c r="CC36" s="15" t="n">
        <f aca="false">(CA36-CB36)*(1-EXP(-Inputs!$B$25*Inputs!$B$14*Inputs!$B$17*Inputs!$B$26/(BU36*Inputs!$B$16/0.866)))</f>
        <v>0.00755722215970216</v>
      </c>
      <c r="CD36" s="15" t="n">
        <f aca="false">(CA36-CB36-CC36)*(1-Inputs!$B$19)</f>
        <v>0.00345755312377084</v>
      </c>
      <c r="CE36" s="15" t="n">
        <f aca="false">(BX36+BY36+BZ36+CB36+CC36+CD36)*(1+Inputs!$B$27)</f>
        <v>0.312882769154712</v>
      </c>
      <c r="CF36" s="15" t="n">
        <f aca="false">Inputs!$B$52/(1-CE36-G36)</f>
        <v>197250.904804362</v>
      </c>
      <c r="CG36" s="15" t="n">
        <f aca="false">CF36/Inputs!$B$34</f>
        <v>328.751508007271</v>
      </c>
      <c r="CH36" s="15" t="n">
        <f aca="false">B36^2/CG36</f>
        <v>12.8516520748752</v>
      </c>
      <c r="CI36" s="15" t="n">
        <f aca="false">Inputs!$B$54*H36/(Inputs!$B$35*F36+E36*H36^2/(PI()*CH36*Inputs!$B$36))</f>
        <v>19.2157791011085</v>
      </c>
      <c r="CJ36" s="15" t="n">
        <f aca="false">EXP(-Inputs!$B$11*Inputs!$B$14*Inputs!$B$17/(Inputs!$B$51*CI36*Inputs!$B$16))</f>
        <v>0.752331207190352</v>
      </c>
      <c r="CK36" s="15" t="n">
        <f aca="false">Inputs!$B$50*Inputs!$B$18*CJ36*Inputs!$B$19</f>
        <v>0.735121051074178</v>
      </c>
      <c r="CL36" s="15" t="n">
        <f aca="false">1-CK36</f>
        <v>0.264878948925822</v>
      </c>
      <c r="CM36" s="15" t="n">
        <f aca="false">Inputs!$B$20*CL36</f>
        <v>0.00794636846777467</v>
      </c>
      <c r="CN36" s="15" t="n">
        <f aca="false">0.8*(1-Inputs!$B$50)*(CK36-CM36)</f>
        <v>0.00175147875792324</v>
      </c>
      <c r="CO36" s="15" t="n">
        <f aca="false">CK36-CM36-CN36</f>
        <v>0.72542320384848</v>
      </c>
      <c r="CP36" s="15" t="n">
        <f aca="false">CO36*(1-Inputs!$B$18*EXP(-Inputs!$B$21*Inputs!$B$14*Inputs!$B$17/(Inputs!$B$22*Inputs!$B$23*Inputs!$B$24*CI36*Inputs!$B$16))*Inputs!$B$19)</f>
        <v>0.0263072671382123</v>
      </c>
      <c r="CQ36" s="15" t="n">
        <f aca="false">(CO36-CP36)*(1-EXP(-Inputs!$B$25*Inputs!$B$14*Inputs!$B$17*Inputs!$B$26/(CI36*Inputs!$B$16/0.866)))</f>
        <v>0.00755609111037174</v>
      </c>
      <c r="CR36" s="15" t="n">
        <f aca="false">(CO36-CP36-CQ36)*(1-Inputs!$B$19)</f>
        <v>0.00345779922799948</v>
      </c>
      <c r="CS36" s="15" t="n">
        <f aca="false">(CL36+CM36+CN36+CP36+CQ36+CR36)*(1+Inputs!$B$27)</f>
        <v>0.312833647488988</v>
      </c>
      <c r="CT36" s="15" t="n">
        <f aca="false">Inputs!$B$52/(1-CS36-G36)</f>
        <v>197192.340685798</v>
      </c>
      <c r="CU36" s="15" t="n">
        <f aca="false">CT36/Inputs!$B$34</f>
        <v>328.653901142997</v>
      </c>
      <c r="CV36" s="15" t="n">
        <f aca="false">B36^2/CU36</f>
        <v>12.8554688847637</v>
      </c>
      <c r="CW36" s="15" t="n">
        <f aca="false">Inputs!$B$54*H36/(Inputs!$B$35*F36+E36*H36^2/(PI()*CV36*Inputs!$B$36))</f>
        <v>19.217564159263</v>
      </c>
      <c r="CX36" s="15" t="n">
        <f aca="false">EXP(-Inputs!$B$11*Inputs!$B$14*Inputs!$B$17/(Inputs!$B$51*CW36*Inputs!$B$16))</f>
        <v>0.752351094274483</v>
      </c>
      <c r="CY36" s="15" t="n">
        <f aca="false">Inputs!$B$50*Inputs!$B$18*CX36*Inputs!$B$19</f>
        <v>0.735140483225934</v>
      </c>
      <c r="CZ36" s="15" t="n">
        <f aca="false">1-CY36</f>
        <v>0.264859516774066</v>
      </c>
      <c r="DA36" s="15" t="n">
        <f aca="false">Inputs!$B$20*CZ36</f>
        <v>0.00794578550322198</v>
      </c>
      <c r="DB36" s="15" t="n">
        <f aca="false">0.8*(1-Inputs!$B$50)*(CY36-DA36)</f>
        <v>0.00175152696649251</v>
      </c>
      <c r="DC36" s="15" t="n">
        <f aca="false">CY36-DA36-DB36</f>
        <v>0.72544317075622</v>
      </c>
      <c r="DD36" s="15" t="n">
        <f aca="false">DC36*(1-Inputs!$B$18*EXP(-Inputs!$B$21*Inputs!$B$14*Inputs!$B$17/(Inputs!$B$22*Inputs!$B$23*Inputs!$B$24*CW36*Inputs!$B$16))*Inputs!$B$19)</f>
        <v>0.0263068994241406</v>
      </c>
      <c r="DE36" s="15" t="n">
        <f aca="false">(DC36-DD36)*(1-EXP(-Inputs!$B$25*Inputs!$B$14*Inputs!$B$17*Inputs!$B$26/(CW36*Inputs!$B$16/0.866)))</f>
        <v>0.00755561281309849</v>
      </c>
      <c r="DF36" s="15" t="n">
        <f aca="false">(DC36-DD36-DE36)*(1-Inputs!$B$19)</f>
        <v>0.00345790329259491</v>
      </c>
      <c r="DG36" s="15" t="n">
        <f aca="false">(CZ36+DA36+DB36+DD36+DE36+DF36)*(1+Inputs!$B$27)</f>
        <v>0.312812876507935</v>
      </c>
      <c r="DH36" s="15" t="n">
        <f aca="false">Inputs!$B$52/(1-DG36-G36)</f>
        <v>197167.587445734</v>
      </c>
      <c r="DI36" s="15" t="n">
        <f aca="false">DH36/Inputs!$B$34</f>
        <v>328.612645742889</v>
      </c>
      <c r="DJ36" s="15" t="n">
        <f aca="false">B36^2/DI36</f>
        <v>12.8570828138662</v>
      </c>
      <c r="DK36" s="15" t="n">
        <f aca="false">Inputs!$B$54*H36/(Inputs!$B$35*F36+E36*H36^2/(PI()*DJ36*Inputs!$B$36))</f>
        <v>19.2183187478052</v>
      </c>
      <c r="DL36" s="15" t="n">
        <f aca="false">EXP(-Inputs!$B$11*Inputs!$B$14*Inputs!$B$17/(Inputs!$B$51*DK36*Inputs!$B$16))</f>
        <v>0.752359500087394</v>
      </c>
      <c r="DM36" s="15" t="n">
        <f aca="false">Inputs!$B$50*Inputs!$B$18*DL36*Inputs!$B$19</f>
        <v>0.735148696749397</v>
      </c>
      <c r="DN36" s="15" t="n">
        <f aca="false">1-DM36</f>
        <v>0.264851303250603</v>
      </c>
      <c r="DO36" s="15" t="n">
        <f aca="false">Inputs!$B$20*DN36</f>
        <v>0.00794553909751808</v>
      </c>
      <c r="DP36" s="15" t="n">
        <f aca="false">0.8*(1-Inputs!$B$50)*(DM36-DO36)</f>
        <v>0.00175154734314558</v>
      </c>
      <c r="DQ36" s="15" t="n">
        <f aca="false">DM36-DO36-DP36</f>
        <v>0.725451610308734</v>
      </c>
      <c r="DR36" s="15" t="n">
        <f aca="false">DQ36*(1-Inputs!$B$18*EXP(-Inputs!$B$21*Inputs!$B$14*Inputs!$B$17/(Inputs!$B$22*Inputs!$B$23*Inputs!$B$24*DK36*Inputs!$B$16))*Inputs!$B$19)</f>
        <v>0.0263067439899568</v>
      </c>
      <c r="DS36" s="15" t="n">
        <f aca="false">(DQ36-DR36)*(1-EXP(-Inputs!$B$25*Inputs!$B$14*Inputs!$B$17*Inputs!$B$26/(DK36*Inputs!$B$16/0.866)))</f>
        <v>0.00755541064107945</v>
      </c>
      <c r="DT36" s="15" t="n">
        <f aca="false">(DQ36-DR36-DS36)*(1-Inputs!$B$19)</f>
        <v>0.00345794727838849</v>
      </c>
      <c r="DU36" s="15" t="n">
        <f aca="false">(DN36+DO36+DP36+DR36+DS36+DT36)*(1+Inputs!$B$27)</f>
        <v>0.312804097075493</v>
      </c>
      <c r="DV36" s="15" t="n">
        <f aca="false">Inputs!$B$52/(1-DU36-G36)</f>
        <v>197157.126669227</v>
      </c>
      <c r="DW36" s="15" t="n">
        <f aca="false">DV36/Inputs!$B$34</f>
        <v>328.595211115378</v>
      </c>
      <c r="DX36" s="15" t="n">
        <f aca="false">B36^2/DW36</f>
        <v>12.8577649858582</v>
      </c>
      <c r="DY36" s="15" t="n">
        <f aca="false">Inputs!$B$54*H36/(Inputs!$B$35*F36+E36*H36^2/(PI()*DX36*Inputs!$B$36))</f>
        <v>19.2186376564819</v>
      </c>
      <c r="DZ36" s="15" t="n">
        <f aca="false">EXP(-Inputs!$B$11*Inputs!$B$14*Inputs!$B$17/(Inputs!$B$51*DY36*Inputs!$B$16))</f>
        <v>0.752363052431604</v>
      </c>
      <c r="EA36" s="15" t="n">
        <f aca="false">Inputs!$B$50*Inputs!$B$18*DZ36*Inputs!$B$19</f>
        <v>0.735152167830997</v>
      </c>
      <c r="EB36" s="15" t="n">
        <f aca="false">1-EA36</f>
        <v>0.264847832169004</v>
      </c>
      <c r="EC36" s="15" t="n">
        <f aca="false">Inputs!$B$20*EB36</f>
        <v>0.00794543496507011</v>
      </c>
      <c r="ED36" s="15" t="n">
        <f aca="false">0.8*(1-Inputs!$B$50)*(EA36-EC36)</f>
        <v>0.00175155595443473</v>
      </c>
      <c r="EE36" s="15" t="n">
        <f aca="false">EA36-EC36-ED36</f>
        <v>0.725455176911492</v>
      </c>
      <c r="EF36" s="15" t="n">
        <f aca="false">EE36*(1-Inputs!$B$18*EXP(-Inputs!$B$21*Inputs!$B$14*Inputs!$B$17/(Inputs!$B$22*Inputs!$B$23*Inputs!$B$24*DY36*Inputs!$B$16))*Inputs!$B$19)</f>
        <v>0.0263066783008201</v>
      </c>
      <c r="EG36" s="15" t="n">
        <f aca="false">(EE36-EF36)*(1-EXP(-Inputs!$B$25*Inputs!$B$14*Inputs!$B$17*Inputs!$B$26/(DY36*Inputs!$B$16/0.866)))</f>
        <v>0.00755532520082903</v>
      </c>
      <c r="EH36" s="15" t="n">
        <f aca="false">(EE36-EF36-EG36)*(1-Inputs!$B$19)</f>
        <v>0.00345796586704922</v>
      </c>
      <c r="EI36" s="15" t="n">
        <f aca="false">(EB36+EC36+ED36+EF36+EG36+EH36)*(1+Inputs!$B$27)</f>
        <v>0.312800386834578</v>
      </c>
      <c r="EJ36" s="15" t="n">
        <f aca="false">Inputs!$B$52/(1-EI36-G36)</f>
        <v>197152.706215864</v>
      </c>
      <c r="EK36" s="15" t="n">
        <f aca="false">EJ36/Inputs!$B$34</f>
        <v>328.587843693107</v>
      </c>
      <c r="EL36" s="15" t="n">
        <f aca="false">B36^2/EK36</f>
        <v>12.858053275842</v>
      </c>
      <c r="EM36" s="15" t="n">
        <f aca="false">Inputs!$B$54*H36/(Inputs!$B$35*F36+E36*H36^2/(PI()*EL36*Inputs!$B$36))</f>
        <v>19.2187724222146</v>
      </c>
      <c r="EN36" s="15" t="n">
        <f aca="false">EXP(-Inputs!$B$11*Inputs!$B$14*Inputs!$B$17/(Inputs!$B$51*EM36*Inputs!$B$16))</f>
        <v>0.752364553565352</v>
      </c>
      <c r="EO36" s="15" t="n">
        <f aca="false">Inputs!$B$50*Inputs!$B$18*EN36*Inputs!$B$19</f>
        <v>0.735153634625153</v>
      </c>
      <c r="EP36" s="15" t="n">
        <f aca="false">1-EO36</f>
        <v>0.264846365374847</v>
      </c>
      <c r="EQ36" s="15" t="n">
        <f aca="false">Inputs!$B$20*EP36</f>
        <v>0.0079453909612454</v>
      </c>
      <c r="ER36" s="15" t="n">
        <f aca="false">0.8*(1-Inputs!$B$50)*(EO36-EQ36)</f>
        <v>0.00175155959335484</v>
      </c>
      <c r="ES36" s="15" t="n">
        <f aca="false">EO36-EQ36-ER36</f>
        <v>0.725456684070553</v>
      </c>
      <c r="ET36" s="15" t="n">
        <f aca="false">ES36*(1-Inputs!$B$18*EXP(-Inputs!$B$21*Inputs!$B$14*Inputs!$B$17/(Inputs!$B$22*Inputs!$B$23*Inputs!$B$24*EM36*Inputs!$B$16))*Inputs!$B$19)</f>
        <v>0.0263066505418821</v>
      </c>
      <c r="EU36" s="15" t="n">
        <f aca="false">(ES36-ET36)*(1-EXP(-Inputs!$B$25*Inputs!$B$14*Inputs!$B$17*Inputs!$B$26/(EM36*Inputs!$B$16/0.866)))</f>
        <v>0.00755528909565392</v>
      </c>
      <c r="EV36" s="15" t="n">
        <f aca="false">(ES36-ET36-EU36)*(1-Inputs!$B$19)</f>
        <v>0.00345797372216509</v>
      </c>
      <c r="EW36" s="15" t="n">
        <f aca="false">(EP36+EQ36+ER36+ET36+EU36+EV36)*(1+Inputs!$B$27)</f>
        <v>0.312798818977015</v>
      </c>
      <c r="EX36" s="15" t="n">
        <f aca="false">Inputs!$B$52/(1-EW36-G36)</f>
        <v>197150.838299376</v>
      </c>
      <c r="EY36" s="15" t="n">
        <f aca="false">EX36/Inputs!$B$34</f>
        <v>328.584730498959</v>
      </c>
      <c r="EZ36" s="15" t="n">
        <f aca="false">B36^2/EY36</f>
        <v>12.8581751001767</v>
      </c>
      <c r="FA36" s="15" t="n">
        <f aca="false">Inputs!$B$54*H36/(Inputs!$B$35*F36+E36*H36^2/(PI()*EZ36*Inputs!$B$36))</f>
        <v>19.2188293696868</v>
      </c>
      <c r="FB36" s="15" t="n">
        <f aca="false">EXP(-Inputs!$B$11*Inputs!$B$14*Inputs!$B$17/(Inputs!$B$51*FA36*Inputs!$B$16))</f>
        <v>0.752365187888628</v>
      </c>
      <c r="FC36" s="15" t="n">
        <f aca="false">Inputs!$B$50*Inputs!$B$18*FB36*Inputs!$B$19</f>
        <v>0.735154254437796</v>
      </c>
      <c r="FD36" s="15" t="n">
        <f aca="false">1-FC36</f>
        <v>0.264845745562204</v>
      </c>
      <c r="FE36" s="15" t="n">
        <f aca="false">Inputs!$B$20*FD36</f>
        <v>0.00794537236686613</v>
      </c>
      <c r="FF36" s="15" t="n">
        <f aca="false">0.8*(1-Inputs!$B$50)*(FC36-FE36)</f>
        <v>0.0017515611310271</v>
      </c>
      <c r="FG36" s="15" t="n">
        <f aca="false">FC36-FE36-FF36</f>
        <v>0.725457320939903</v>
      </c>
      <c r="FH36" s="15" t="n">
        <f aca="false">FG36*(1-Inputs!$B$18*EXP(-Inputs!$B$21*Inputs!$B$14*Inputs!$B$17/(Inputs!$B$22*Inputs!$B$23*Inputs!$B$24*FA36*Inputs!$B$16))*Inputs!$B$19)</f>
        <v>0.0263066388119311</v>
      </c>
      <c r="FI36" s="15" t="n">
        <f aca="false">(FG36-FH36)*(1-EXP(-Inputs!$B$25*Inputs!$B$14*Inputs!$B$17*Inputs!$B$26/(FA36*Inputs!$B$16/0.866)))</f>
        <v>0.00755527383891156</v>
      </c>
      <c r="FJ36" s="15" t="n">
        <f aca="false">(FG36-FH36-FI36)*(1-Inputs!$B$19)</f>
        <v>0.0034579770414453</v>
      </c>
      <c r="FK36" s="15" t="n">
        <f aca="false">(FD36+FE36+FF36+FH36+FI36+FJ36)*(1+Inputs!$B$27)</f>
        <v>0.312798156458643</v>
      </c>
      <c r="FL36" s="15" t="n">
        <f aca="false">Inputs!$B$52/(1-FK36-G36)</f>
        <v>197150.048997884</v>
      </c>
      <c r="FM36" s="15" t="n">
        <f aca="false">FL36/Inputs!$B$34</f>
        <v>328.583414996473</v>
      </c>
      <c r="FN36" s="15" t="n">
        <f aca="false">B36^2/FM36</f>
        <v>12.8582265786158</v>
      </c>
      <c r="FO36" s="15" t="n">
        <f aca="false">Inputs!$B$54*H36/(Inputs!$B$35*F36+E36*H36^2/(PI()*FN36*Inputs!$B$36))</f>
        <v>19.2188534333506</v>
      </c>
      <c r="FP36" s="15" t="n">
        <f aca="false">EXP(-Inputs!$B$11*Inputs!$B$14*Inputs!$B$17/(Inputs!$B$51*FO36*Inputs!$B$16))</f>
        <v>0.752365455926633</v>
      </c>
      <c r="FQ36" s="15" t="n">
        <f aca="false">Inputs!$B$50*Inputs!$B$18*FP36*Inputs!$B$19</f>
        <v>0.735154516344224</v>
      </c>
      <c r="FR36" s="15" t="n">
        <f aca="false">1-FQ36</f>
        <v>0.264845483655776</v>
      </c>
      <c r="FS36" s="15" t="n">
        <f aca="false">Inputs!$B$20*FR36</f>
        <v>0.00794536450967327</v>
      </c>
      <c r="FT36" s="15" t="n">
        <f aca="false">0.8*(1-Inputs!$B$50)*(FQ36-FS36)</f>
        <v>0.00175156178078192</v>
      </c>
      <c r="FU36" s="15" t="n">
        <f aca="false">FQ36-FS36-FT36</f>
        <v>0.725457590053769</v>
      </c>
      <c r="FV36" s="15" t="n">
        <f aca="false">FU36*(1-Inputs!$B$18*EXP(-Inputs!$B$21*Inputs!$B$14*Inputs!$B$17/(Inputs!$B$22*Inputs!$B$23*Inputs!$B$24*FO36*Inputs!$B$16))*Inputs!$B$19)</f>
        <v>0.0263066338553433</v>
      </c>
      <c r="FW36" s="15" t="n">
        <f aca="false">(FU36-FV36)*(1-EXP(-Inputs!$B$25*Inputs!$B$14*Inputs!$B$17*Inputs!$B$26/(FO36*Inputs!$B$16/0.866)))</f>
        <v>0.00755526739205503</v>
      </c>
      <c r="FX36" s="15" t="n">
        <f aca="false">(FU36-FV36-FW36)*(1-Inputs!$B$19)</f>
        <v>0.00345797844403186</v>
      </c>
      <c r="FY36" s="15" t="n">
        <f aca="false">(FR36+FS36+FT36+FV36+FW36+FX36)*(1+Inputs!$B$27)</f>
        <v>0.312797876506574</v>
      </c>
      <c r="FZ36" s="15" t="n">
        <f aca="false">Inputs!$B$52/(1-FY36-G36)</f>
        <v>197149.715474564</v>
      </c>
      <c r="GA36" s="15" t="n">
        <f aca="false">FZ36/Inputs!$B$34</f>
        <v>328.582859124274</v>
      </c>
      <c r="GB36" s="15" t="n">
        <f aca="false">B36^2/GA36</f>
        <v>12.8582483312133</v>
      </c>
      <c r="GC36" s="15" t="n">
        <f aca="false">Inputs!$B$54*H36/(Inputs!$B$35*F36+E36*H36^2/(PI()*GB36*Inputs!$B$36))</f>
        <v>19.218863601591</v>
      </c>
      <c r="GD36" s="15" t="n">
        <f aca="false">EXP(-Inputs!$B$11*Inputs!$B$14*Inputs!$B$17/(Inputs!$B$51*GC36*Inputs!$B$16))</f>
        <v>0.75236556918747</v>
      </c>
      <c r="GE36" s="15" t="n">
        <f aca="false">Inputs!$B$50*Inputs!$B$18*GD36*Inputs!$B$19</f>
        <v>0.735154627014133</v>
      </c>
      <c r="GF36" s="15" t="n">
        <f aca="false">1-GE36</f>
        <v>0.264845372985868</v>
      </c>
      <c r="GG36" s="15" t="n">
        <f aca="false">Inputs!$B$20*GF36</f>
        <v>0.00794536118957603</v>
      </c>
      <c r="GH36" s="15" t="n">
        <f aca="false">0.8*(1-Inputs!$B$50)*(GE36-GG36)</f>
        <v>0.00175156205533915</v>
      </c>
      <c r="GI36" s="15" t="n">
        <f aca="false">GE36-GG36-GH36</f>
        <v>0.725457703769217</v>
      </c>
      <c r="GJ36" s="15" t="n">
        <f aca="false">GI36*(1-Inputs!$B$18*EXP(-Inputs!$B$21*Inputs!$B$14*Inputs!$B$17/(Inputs!$B$22*Inputs!$B$23*Inputs!$B$24*GC36*Inputs!$B$16))*Inputs!$B$19)</f>
        <v>0.0263066317609098</v>
      </c>
      <c r="GK36" s="15" t="n">
        <f aca="false">(GI36-GJ36)*(1-EXP(-Inputs!$B$25*Inputs!$B$14*Inputs!$B$17*Inputs!$B$26/(GC36*Inputs!$B$16/0.866)))</f>
        <v>0.00755526466790145</v>
      </c>
      <c r="GL36" s="15" t="n">
        <f aca="false">(GI36-GJ36-GK36)*(1-Inputs!$B$19)</f>
        <v>0.00345797903670203</v>
      </c>
      <c r="GM36" s="15" t="n">
        <f aca="false">(GF36+GG36+GH36+GJ36+GK36+GL36)*(1+Inputs!$B$27)</f>
        <v>0.312797758211385</v>
      </c>
      <c r="GN36" s="15" t="n">
        <f aca="false">Inputs!$B$52/(1-GM36-G36)</f>
        <v>197149.574542906</v>
      </c>
      <c r="GO36" s="15" t="n">
        <f aca="false">GN36/Inputs!$B$34</f>
        <v>328.582624238177</v>
      </c>
      <c r="GP36" s="15" t="n">
        <f aca="false">B36^2/GO36</f>
        <v>12.8582575228855</v>
      </c>
      <c r="GQ36" s="15" t="n">
        <f aca="false">Inputs!$B$54*H36/(Inputs!$B$35*F36+E36*H36^2/(PI()*GP36*Inputs!$B$36))</f>
        <v>19.2188678982262</v>
      </c>
      <c r="GR36" s="15" t="n">
        <f aca="false">EXP(-Inputs!$B$11*Inputs!$B$14*Inputs!$B$17/(Inputs!$B$51*GQ36*Inputs!$B$16))</f>
        <v>0.75236561704631</v>
      </c>
      <c r="GS36" s="15" t="n">
        <f aca="false">Inputs!$B$50*Inputs!$B$18*GR36*Inputs!$B$19</f>
        <v>0.735154673778165</v>
      </c>
      <c r="GT36" s="15" t="n">
        <f aca="false">1-GS36</f>
        <v>0.264845326221835</v>
      </c>
      <c r="GU36" s="15" t="n">
        <f aca="false">Inputs!$B$20*GT36</f>
        <v>0.00794535978665505</v>
      </c>
      <c r="GV36" s="15" t="n">
        <f aca="false">0.8*(1-Inputs!$B$50)*(GS36-GU36)</f>
        <v>0.00175156217135446</v>
      </c>
      <c r="GW36" s="15" t="n">
        <f aca="false">GS36-GU36-GV36</f>
        <v>0.725457751820156</v>
      </c>
      <c r="GX36" s="15" t="n">
        <f aca="false">GW36*(1-Inputs!$B$18*EXP(-Inputs!$B$21*Inputs!$B$14*Inputs!$B$17/(Inputs!$B$22*Inputs!$B$23*Inputs!$B$24*GQ36*Inputs!$B$16))*Inputs!$B$19)</f>
        <v>0.0263066308758979</v>
      </c>
      <c r="GY36" s="15" t="n">
        <f aca="false">(GW36-GX36)*(1-EXP(-Inputs!$B$25*Inputs!$B$14*Inputs!$B$17*Inputs!$B$26/(GQ36*Inputs!$B$16/0.866)))</f>
        <v>0.0075552635167987</v>
      </c>
      <c r="GZ36" s="15" t="n">
        <f aca="false">(GW36-GX36-GY36)*(1-Inputs!$B$19)</f>
        <v>0.0034579792871373</v>
      </c>
      <c r="HA36" s="15" t="n">
        <f aca="false">(GT36+GU36+GV36+GX36+GY36+GZ36)*(1+Inputs!$B$27)</f>
        <v>0.312797708225257</v>
      </c>
      <c r="HB36" s="15" t="n">
        <f aca="false">Inputs!$B$52/(1-HA36-G36)</f>
        <v>197149.514991705</v>
      </c>
      <c r="HC36" s="15" t="n">
        <f aca="false">HB36/Inputs!$B$34</f>
        <v>328.582524986175</v>
      </c>
      <c r="HD36" s="15" t="n">
        <f aca="false">B36^2/HC36</f>
        <v>12.8582614068651</v>
      </c>
      <c r="HE36" s="15" t="n">
        <f aca="false">Inputs!$B$54*H36/(Inputs!$B$35*F36+E36*H36^2/(PI()*HD36*Inputs!$B$36))</f>
        <v>19.2188697137862</v>
      </c>
      <c r="HF36" s="15" t="n">
        <f aca="false">EXP(-Inputs!$B$11*Inputs!$B$14*Inputs!$B$17/(Inputs!$B$51*HE36*Inputs!$B$16))</f>
        <v>0.752365637269244</v>
      </c>
      <c r="HG36" s="15" t="n">
        <f aca="false">Inputs!$B$50*Inputs!$B$18*HF36*Inputs!$B$19</f>
        <v>0.735154693538483</v>
      </c>
      <c r="HH36" s="15" t="n">
        <f aca="false">1-HG36</f>
        <v>0.264845306461517</v>
      </c>
      <c r="HI36" s="15" t="n">
        <f aca="false">Inputs!$B$20*HH36</f>
        <v>0.0079453591938455</v>
      </c>
      <c r="HJ36" s="15" t="n">
        <f aca="false">0.8*(1-Inputs!$B$50)*(HG36-HI36)</f>
        <v>0.00175156222037717</v>
      </c>
      <c r="HK36" s="15" t="n">
        <f aca="false">HG36-HI36-HJ36</f>
        <v>0.725457772124261</v>
      </c>
      <c r="HL36" s="15" t="n">
        <f aca="false">HK36*(1-Inputs!$B$18*EXP(-Inputs!$B$21*Inputs!$B$14*Inputs!$B$17/(Inputs!$B$22*Inputs!$B$23*Inputs!$B$24*HE36*Inputs!$B$16))*Inputs!$B$19)</f>
        <v>0.0263066305019327</v>
      </c>
      <c r="HM36" s="15" t="n">
        <f aca="false">(HK36-HL36)*(1-EXP(-Inputs!$B$25*Inputs!$B$14*Inputs!$B$17*Inputs!$B$26/(HE36*Inputs!$B$16/0.866)))</f>
        <v>0.00755526303039587</v>
      </c>
      <c r="HN36" s="15" t="n">
        <f aca="false">(HK36-HL36-HM36)*(1-Inputs!$B$19)</f>
        <v>0.00345797939295966</v>
      </c>
      <c r="HO36" s="15" t="n">
        <f aca="false">(HH36+HI36+HJ36+HL36+HM36+HN36)*(1+Inputs!$B$27)</f>
        <v>0.312797687103431</v>
      </c>
      <c r="HP36" s="15" t="n">
        <f aca="false">Inputs!$B$52/(1-HO36-G36)</f>
        <v>197149.489828131</v>
      </c>
      <c r="HQ36" s="15" t="n">
        <f aca="false">HP36/Inputs!$B$34</f>
        <v>328.582483046884</v>
      </c>
      <c r="HR36" s="15" t="n">
        <f aca="false">B36^2/HQ36</f>
        <v>12.8582630480553</v>
      </c>
      <c r="HS36" s="15" t="n">
        <f aca="false">Inputs!$B$54*H36/(Inputs!$B$35*F36+E36*H36^2/(PI()*HR36*Inputs!$B$36))</f>
        <v>19.2188704809577</v>
      </c>
      <c r="HT36" s="15" t="n">
        <f aca="false">EXP(-Inputs!$B$11*Inputs!$B$14*Inputs!$B$17/(Inputs!$B$51*HS36*Inputs!$B$16))</f>
        <v>0.752365645814518</v>
      </c>
      <c r="HU36" s="15" t="n">
        <f aca="false">Inputs!$B$50*Inputs!$B$18*HT36*Inputs!$B$19</f>
        <v>0.735154701888277</v>
      </c>
      <c r="HV36" s="15" t="n">
        <f aca="false">1-HU36</f>
        <v>0.264845298111723</v>
      </c>
      <c r="HW36" s="15" t="n">
        <f aca="false">Inputs!$B$20*HV36</f>
        <v>0.00794535894335168</v>
      </c>
      <c r="HX36" s="15" t="n">
        <f aca="false">0.8*(1-Inputs!$B$50)*(HU36-HW36)</f>
        <v>0.00175156224109189</v>
      </c>
      <c r="HY36" s="15" t="n">
        <f aca="false">HU36-HW36-HX36</f>
        <v>0.725457780703834</v>
      </c>
      <c r="HZ36" s="15" t="n">
        <f aca="false">HY36*(1-Inputs!$B$18*EXP(-Inputs!$B$21*Inputs!$B$14*Inputs!$B$17/(Inputs!$B$22*Inputs!$B$23*Inputs!$B$24*HS36*Inputs!$B$16))*Inputs!$B$19)</f>
        <v>0.0263066303439123</v>
      </c>
      <c r="IA36" s="15" t="n">
        <f aca="false">(HY36-HZ36)*(1-EXP(-Inputs!$B$25*Inputs!$B$14*Inputs!$B$17*Inputs!$B$26/(HS36*Inputs!$B$16/0.866)))</f>
        <v>0.0075552628248646</v>
      </c>
      <c r="IB36" s="15" t="n">
        <f aca="false">(HY36-HZ36-IA36)*(1-Inputs!$B$19)</f>
        <v>0.00345797943767529</v>
      </c>
      <c r="IC36" s="15" t="n">
        <f aca="false">(HV36+HW36+HX36+HZ36+IA36+IB36)*(1+Inputs!$B$27)</f>
        <v>0.312797678178326</v>
      </c>
      <c r="ID36" s="15" t="n">
        <f aca="false">Inputs!$B$52/(1-IC36-G36)</f>
        <v>197149.479195173</v>
      </c>
      <c r="IE36" s="15" t="n">
        <f aca="false">ID36/Inputs!$B$34</f>
        <v>328.582465325289</v>
      </c>
      <c r="IF36" s="15" t="n">
        <f aca="false">B36^2/IE36</f>
        <v>12.8582637415461</v>
      </c>
      <c r="IG36" s="15" t="n">
        <f aca="false">Inputs!$B$54*H36/(Inputs!$B$35*F36+E36*H36^2/(PI()*IF36*Inputs!$B$36))</f>
        <v>19.2188708051287</v>
      </c>
      <c r="IH36" s="15" t="n">
        <f aca="false">EXP(-Inputs!$B$11*Inputs!$B$14*Inputs!$B$17/(Inputs!$B$51*IG36*Inputs!$B$16))</f>
        <v>0.752365649425353</v>
      </c>
      <c r="II36" s="15" t="n">
        <f aca="false">Inputs!$B$50*Inputs!$B$18*IH36*Inputs!$B$19</f>
        <v>0.735154705416512</v>
      </c>
      <c r="IJ36" s="15" t="n">
        <f aca="false">1-II36</f>
        <v>0.264845294583488</v>
      </c>
      <c r="IK36" s="15" t="n">
        <f aca="false">Inputs!$B$20*IJ36</f>
        <v>0.00794535883750464</v>
      </c>
      <c r="IL36" s="15" t="n">
        <f aca="false">0.8*(1-Inputs!$B$50)*(II36-IK36)</f>
        <v>0.00175156224984497</v>
      </c>
      <c r="IM36" s="15" t="n">
        <f aca="false">II36-IK36-IL36</f>
        <v>0.725457784329162</v>
      </c>
      <c r="IN36" s="15" t="n">
        <f aca="false">IM36*(1-Inputs!$B$18*EXP(-Inputs!$B$21*Inputs!$B$14*Inputs!$B$17/(Inputs!$B$22*Inputs!$B$23*Inputs!$B$24*IG36*Inputs!$B$16))*Inputs!$B$19)</f>
        <v>0.0263066302771403</v>
      </c>
      <c r="IO36" s="15" t="n">
        <f aca="false">(IM36-IN36)*(1-EXP(-Inputs!$B$25*Inputs!$B$14*Inputs!$B$17*Inputs!$B$26/(IG36*Inputs!$B$16/0.866)))</f>
        <v>0.00755526273801662</v>
      </c>
      <c r="IP36" s="15" t="n">
        <f aca="false">(IM36-IN36-IO36)*(1-Inputs!$B$19)</f>
        <v>0.00345797945657003</v>
      </c>
      <c r="IQ36" s="15" t="n">
        <f aca="false">(IJ36+IK36+IL36+IN36+IO36+IP36)*(1+Inputs!$B$27)</f>
        <v>0.312797674406992</v>
      </c>
      <c r="IR36" s="15" t="n">
        <f aca="false">Inputs!$B$52/(1-IQ36-G36)</f>
        <v>197149.47470218</v>
      </c>
      <c r="IS36" s="15" t="n">
        <f aca="false">IR36/Inputs!$B$34</f>
        <v>328.582457836967</v>
      </c>
      <c r="IT36" s="15" t="n">
        <f aca="false">B36^2/IS36</f>
        <v>12.8582640345831</v>
      </c>
      <c r="IU36" s="15" t="n">
        <f aca="false">Inputs!$B$54*H36/(Inputs!$B$35*F36+E36*H36^2/(PI()*IT36*Inputs!$B$36))</f>
        <v>19.2188709421083</v>
      </c>
      <c r="IV36" s="15" t="n">
        <f aca="false">EXP(-Inputs!$B$11*Inputs!$B$14*Inputs!$B$17/(Inputs!$B$51*IU36*Inputs!$B$16))</f>
        <v>0.752365650951124</v>
      </c>
      <c r="IW36" s="15" t="n">
        <f aca="false">Inputs!$B$50*Inputs!$B$18*IV36*Inputs!$B$19</f>
        <v>0.73515470690738</v>
      </c>
      <c r="IX36" s="15" t="n">
        <f aca="false">1-IW36</f>
        <v>0.26484529309262</v>
      </c>
      <c r="IY36" s="15" t="n">
        <f aca="false">Inputs!$B$20*IX36</f>
        <v>0.0079453587927786</v>
      </c>
      <c r="IZ36" s="15" t="n">
        <f aca="false">0.8*(1-Inputs!$B$50)*(IW36-IY36)</f>
        <v>0.00175156225354362</v>
      </c>
      <c r="JA36" s="15" t="n">
        <f aca="false">IW36-IY36-IZ36</f>
        <v>0.725457785861058</v>
      </c>
      <c r="JB36" s="15" t="n">
        <f aca="false">JA36*(1-Inputs!$B$18*EXP(-Inputs!$B$21*Inputs!$B$14*Inputs!$B$17/(Inputs!$B$22*Inputs!$B$23*Inputs!$B$24*IU36*Inputs!$B$16))*Inputs!$B$19)</f>
        <v>0.0263066302489255</v>
      </c>
      <c r="JC36" s="15" t="n">
        <f aca="false">(JA36-JB36)*(1-EXP(-Inputs!$B$25*Inputs!$B$14*Inputs!$B$17*Inputs!$B$26/(IU36*Inputs!$B$16/0.866)))</f>
        <v>0.00755526270131873</v>
      </c>
      <c r="JD36" s="15" t="n">
        <f aca="false">(JA36-JB36-JC36)*(1-Inputs!$B$19)</f>
        <v>0.00345797946455407</v>
      </c>
      <c r="JE36" s="15" t="n">
        <f aca="false">(IX36+IY36+IZ36+JB36+JC36+JD36)*(1+Inputs!$B$27)</f>
        <v>0.312797672813402</v>
      </c>
      <c r="JF36" s="15" t="n">
        <f aca="false">Inputs!$B$52/(1-JE36-G36)</f>
        <v>197149.47280365</v>
      </c>
      <c r="JG36" s="15" t="n">
        <f aca="false">JF36/Inputs!$B$34</f>
        <v>328.58245467275</v>
      </c>
      <c r="JH36" s="15" t="n">
        <f aca="false">B36^2/JG36</f>
        <v>12.858264158407</v>
      </c>
      <c r="JI36" s="15" t="n">
        <f aca="false">Inputs!$B$54*H36/(Inputs!$B$35*F36+E36*H36^2/(PI()*JH36*Inputs!$B$36))</f>
        <v>19.2188709999895</v>
      </c>
      <c r="JJ36" s="15" t="n">
        <f aca="false">EXP(-Inputs!$B$11*Inputs!$B$14*Inputs!$B$17/(Inputs!$B$51*JI36*Inputs!$B$16))</f>
        <v>0.752365651595844</v>
      </c>
      <c r="JK36" s="15" t="n">
        <f aca="false">Inputs!$B$50*Inputs!$B$18*JJ36*Inputs!$B$19</f>
        <v>0.735154707537352</v>
      </c>
      <c r="JL36" s="15" t="n">
        <f aca="false">1-JK36</f>
        <v>0.264845292462649</v>
      </c>
      <c r="JM36" s="15" t="n">
        <f aca="false">Inputs!$B$20*JL36</f>
        <v>0.00794535877387946</v>
      </c>
      <c r="JN36" s="15" t="n">
        <f aca="false">0.8*(1-Inputs!$B$50)*(JK36-JM36)</f>
        <v>0.00175156225510649</v>
      </c>
      <c r="JO36" s="15" t="n">
        <f aca="false">JK36-JM36-JN36</f>
        <v>0.725457786508366</v>
      </c>
      <c r="JP36" s="15" t="n">
        <f aca="false">JO36*(1-Inputs!$B$18*EXP(-Inputs!$B$21*Inputs!$B$14*Inputs!$B$17/(Inputs!$B$22*Inputs!$B$23*Inputs!$B$24*JI36*Inputs!$B$16))*Inputs!$B$19)</f>
        <v>0.0263066302370033</v>
      </c>
      <c r="JQ36" s="15" t="n">
        <f aca="false">(JO36-JP36)*(1-EXP(-Inputs!$B$25*Inputs!$B$14*Inputs!$B$17*Inputs!$B$26/(JI36*Inputs!$B$16/0.866)))</f>
        <v>0.00755526268581185</v>
      </c>
      <c r="JR36" s="15" t="n">
        <f aca="false">(JO36-JP36-JQ36)*(1-Inputs!$B$19)</f>
        <v>0.00345797946792775</v>
      </c>
      <c r="JS36" s="15" t="n">
        <f aca="false">(JL36+JM36+JN36+JP36+JQ36+JR36)*(1+Inputs!$B$27)</f>
        <v>0.312797672140025</v>
      </c>
      <c r="JT36" s="15" t="n">
        <f aca="false">Inputs!$B$52/(1-JS36-G36)</f>
        <v>197149.47200142</v>
      </c>
      <c r="JU36" s="15" t="n">
        <f aca="false">JT36/Inputs!$B$34</f>
        <v>328.5824533357</v>
      </c>
      <c r="JV36" s="15" t="n">
        <f aca="false">B36^2/JU36</f>
        <v>12.8582642107291</v>
      </c>
      <c r="JW36" s="15" t="n">
        <f aca="false">Inputs!$B$54*H36/(Inputs!$B$35*F36+E36*H36^2/(PI()*JV36*Inputs!$B$36))</f>
        <v>19.2188710244474</v>
      </c>
      <c r="JX36" s="15" t="n">
        <f aca="false">EXP(-Inputs!$B$11*Inputs!$B$14*Inputs!$B$17/(Inputs!$B$51*JW36*Inputs!$B$16))</f>
        <v>0.752365651868273</v>
      </c>
      <c r="JY36" s="15" t="n">
        <f aca="false">Inputs!$B$50*Inputs!$B$18*JX36*Inputs!$B$19</f>
        <v>0.735154707803548</v>
      </c>
      <c r="JZ36" s="15" t="n">
        <f aca="false">1-JY36</f>
        <v>0.264845292196452</v>
      </c>
      <c r="KA36" s="15" t="n">
        <f aca="false">Inputs!$B$20*JZ36</f>
        <v>0.00794535876589356</v>
      </c>
      <c r="KB36" s="15" t="n">
        <f aca="false">0.8*(1-Inputs!$B$50)*(JY36-KA36)</f>
        <v>0.00175156225576689</v>
      </c>
      <c r="KC36" s="15" t="n">
        <f aca="false">JY36-KA36-KB36</f>
        <v>0.725457786781888</v>
      </c>
      <c r="KD36" s="15" t="n">
        <f aca="false">KC36*(1-Inputs!$B$18*EXP(-Inputs!$B$21*Inputs!$B$14*Inputs!$B$17/(Inputs!$B$22*Inputs!$B$23*Inputs!$B$24*JW36*Inputs!$B$16))*Inputs!$B$19)</f>
        <v>0.0263066302319655</v>
      </c>
      <c r="KE36" s="15" t="n">
        <f aca="false">(KC36-KD36)*(1-EXP(-Inputs!$B$25*Inputs!$B$14*Inputs!$B$17*Inputs!$B$26/(JW36*Inputs!$B$16/0.866)))</f>
        <v>0.00755526267925942</v>
      </c>
      <c r="KF36" s="15" t="n">
        <f aca="false">(KC36-KD36-KE36)*(1-Inputs!$B$19)</f>
        <v>0.00345797946935332</v>
      </c>
      <c r="KG36" s="15" t="n">
        <f aca="false">(JZ36+KA36+KB36+KD36+KE36+KF36)*(1+Inputs!$B$27)</f>
        <v>0.312797671855487</v>
      </c>
      <c r="KH36" s="15" t="n">
        <f aca="false">Inputs!$B$52/(1-KG36-G36)</f>
        <v>197149.471662434</v>
      </c>
      <c r="KI36" s="15" t="n">
        <f aca="false">KH36/Inputs!$B$34</f>
        <v>328.582452770724</v>
      </c>
      <c r="KJ36" s="15" t="n">
        <f aca="false">B36^2/KI36</f>
        <v>12.8582642328381</v>
      </c>
      <c r="KK36" s="15" t="n">
        <f aca="false">Inputs!$B$54*H36/(Inputs!$B$35*F36+E36*H36^2/(PI()*KJ36*Inputs!$B$36))</f>
        <v>19.2188710347822</v>
      </c>
      <c r="KL36" s="15" t="n">
        <f aca="false">EXP(-Inputs!$B$11*Inputs!$B$14*Inputs!$B$17/(Inputs!$B$51*KK36*Inputs!$B$16))</f>
        <v>0.752365651983389</v>
      </c>
      <c r="KM36" s="15" t="n">
        <f aca="false">Inputs!$B$50*Inputs!$B$18*KL36*Inputs!$B$19</f>
        <v>0.73515470791603</v>
      </c>
      <c r="KN36" s="15" t="n">
        <f aca="false">1-KM36</f>
        <v>0.26484529208397</v>
      </c>
      <c r="KO36" s="15" t="n">
        <f aca="false">Inputs!$B$20*KN36</f>
        <v>0.00794535876251909</v>
      </c>
      <c r="KP36" s="15" t="n">
        <f aca="false">0.8*(1-Inputs!$B$50)*(KM36-KO36)</f>
        <v>0.00175156225604594</v>
      </c>
      <c r="KQ36" s="15" t="n">
        <f aca="false">KM36-KO36-KP36</f>
        <v>0.725457786897465</v>
      </c>
      <c r="KR36" s="15" t="n">
        <f aca="false">KQ36*(1-Inputs!$B$18*EXP(-Inputs!$B$21*Inputs!$B$14*Inputs!$B$17/(Inputs!$B$22*Inputs!$B$23*Inputs!$B$24*KK36*Inputs!$B$16))*Inputs!$B$19)</f>
        <v>0.0263066302298368</v>
      </c>
      <c r="KS36" s="15" t="n">
        <f aca="false">(KQ36-KR36)*(1-EXP(-Inputs!$B$25*Inputs!$B$14*Inputs!$B$17*Inputs!$B$26/(KK36*Inputs!$B$16/0.866)))</f>
        <v>0.00755526267649066</v>
      </c>
      <c r="KT36" s="15" t="n">
        <f aca="false">(KQ36-KR36-KS36)*(1-Inputs!$B$19)</f>
        <v>0.00345797946995569</v>
      </c>
      <c r="KU36" s="15" t="n">
        <f aca="false">(KN36+KO36+KP36+KR36+KS36+KT36)*(1+Inputs!$B$27)</f>
        <v>0.312797671735254</v>
      </c>
      <c r="KV36" s="15" t="n">
        <f aca="false">Inputs!$B$52/(1-KU36-G36)</f>
        <v>197149.471519195</v>
      </c>
      <c r="KW36" s="15" t="n">
        <f aca="false">KV36/Inputs!$B$34</f>
        <v>328.582452531992</v>
      </c>
      <c r="KX36" s="15" t="n">
        <f aca="false">B36^2/KW36</f>
        <v>12.8582642421803</v>
      </c>
      <c r="KY36" s="15" t="n">
        <f aca="false">Inputs!$B$54*H36/(Inputs!$B$35*F36+E36*H36^2/(PI()*KX36*Inputs!$B$36))</f>
        <v>19.2188710391492</v>
      </c>
      <c r="KZ36" s="15" t="n">
        <f aca="false">EXP(-Inputs!$B$11*Inputs!$B$14*Inputs!$B$17/(Inputs!$B$51*KY36*Inputs!$B$16))</f>
        <v>0.752365652032031</v>
      </c>
      <c r="LA36" s="15" t="n">
        <f aca="false">Inputs!$B$50*Inputs!$B$18*KZ36*Inputs!$B$19</f>
        <v>0.73515470796356</v>
      </c>
      <c r="LB36" s="15" t="n">
        <f aca="false">1-LA36</f>
        <v>0.26484529203644</v>
      </c>
      <c r="LC36" s="15" t="n">
        <f aca="false">Inputs!$B$20*LB36</f>
        <v>0.00794535876109319</v>
      </c>
      <c r="LD36" s="15" t="n">
        <f aca="false">0.8*(1-Inputs!$B$50)*(LA36-LC36)</f>
        <v>0.00175156225616386</v>
      </c>
      <c r="LE36" s="15" t="n">
        <f aca="false">LA36-LC36-LD36</f>
        <v>0.725457786946303</v>
      </c>
      <c r="LF36" s="15" t="n">
        <f aca="false">LE36*(1-Inputs!$B$18*EXP(-Inputs!$B$21*Inputs!$B$14*Inputs!$B$17/(Inputs!$B$22*Inputs!$B$23*Inputs!$B$24*KY36*Inputs!$B$16))*Inputs!$B$19)</f>
        <v>0.0263066302289372</v>
      </c>
      <c r="LG36" s="15" t="n">
        <f aca="false">(LE36-LF36)*(1-EXP(-Inputs!$B$25*Inputs!$B$14*Inputs!$B$17*Inputs!$B$26/(KY36*Inputs!$B$16/0.866)))</f>
        <v>0.0075552626753207</v>
      </c>
      <c r="LH36" s="15" t="n">
        <f aca="false">(LE36-LF36-LG36)*(1-Inputs!$B$19)</f>
        <v>0.00345797947021023</v>
      </c>
      <c r="LI36" s="15" t="n">
        <f aca="false">(LB36+LC36+LD36+LF36+LG36+LH36)*(1+Inputs!$B$27)</f>
        <v>0.312797671684449</v>
      </c>
      <c r="LJ36" s="15" t="n">
        <f aca="false">Inputs!$B$52/(1-LI36-G36)</f>
        <v>197149.471458669</v>
      </c>
      <c r="LK36" s="15" t="n">
        <f aca="false">LJ36/Inputs!$B$34</f>
        <v>328.582452431114</v>
      </c>
      <c r="LL36" s="15" t="n">
        <f aca="false">B36^2/LK36</f>
        <v>12.8582642461278</v>
      </c>
      <c r="LM36" s="15" t="n">
        <f aca="false">Inputs!$B$54*H36/(Inputs!$B$35*F36+E36*H36^2/(PI()*LL36*Inputs!$B$36))</f>
        <v>19.2188710409945</v>
      </c>
      <c r="LN36" s="15" t="n">
        <f aca="false">EXP(-Inputs!$B$11*Inputs!$B$14*Inputs!$B$17/(Inputs!$B$51*LM36*Inputs!$B$16))</f>
        <v>0.752365652052585</v>
      </c>
      <c r="LO36" s="15" t="n">
        <f aca="false">Inputs!$B$50*Inputs!$B$18*LN36*Inputs!$B$19</f>
        <v>0.735154707983644</v>
      </c>
      <c r="LP36" s="15" t="n">
        <f aca="false">1-LO36</f>
        <v>0.264845292016356</v>
      </c>
      <c r="LQ36" s="15" t="n">
        <f aca="false">Inputs!$B$20*LP36</f>
        <v>0.00794535876049068</v>
      </c>
      <c r="LR36" s="15" t="n">
        <f aca="false">0.8*(1-Inputs!$B$50)*(LO36-LQ36)</f>
        <v>0.00175156225621368</v>
      </c>
      <c r="LS36" s="15" t="n">
        <f aca="false">LO36-LQ36-LR36</f>
        <v>0.72545778696694</v>
      </c>
      <c r="LT36" s="15" t="n">
        <f aca="false">LS36*(1-Inputs!$B$18*EXP(-Inputs!$B$21*Inputs!$B$14*Inputs!$B$17/(Inputs!$B$22*Inputs!$B$23*Inputs!$B$24*LM36*Inputs!$B$16))*Inputs!$B$19)</f>
        <v>0.0263066302285572</v>
      </c>
      <c r="LU36" s="15" t="n">
        <f aca="false">(LS36-LT36)*(1-EXP(-Inputs!$B$25*Inputs!$B$14*Inputs!$B$17*Inputs!$B$26/(LM36*Inputs!$B$16/0.866)))</f>
        <v>0.00755526267482632</v>
      </c>
      <c r="LV36" s="15" t="n">
        <f aca="false">(LS36-LT36-LU36)*(1-Inputs!$B$19)</f>
        <v>0.00345797947031779</v>
      </c>
      <c r="LW36" s="15" t="n">
        <f aca="false">(LP36+LQ36+LR36+LT36+LU36+LV36)*(1+Inputs!$B$27)</f>
        <v>0.312797671662982</v>
      </c>
      <c r="LX36" s="15" t="n">
        <f aca="false">Inputs!$B$52/(1-LW36-G36)</f>
        <v>197149.471433093</v>
      </c>
      <c r="LY36" s="15" t="n">
        <f aca="false">LX36/Inputs!$B$34</f>
        <v>328.582452388489</v>
      </c>
      <c r="LZ36" s="15" t="n">
        <f aca="false">B36^2/LY36</f>
        <v>12.8582642477959</v>
      </c>
      <c r="MA36" s="15" t="n">
        <f aca="false">Inputs!$B$54*H36/(Inputs!$B$35*F36+E36*H36^2/(PI()*LZ36*Inputs!$B$36))</f>
        <v>19.2188710417742</v>
      </c>
      <c r="MB36" s="15" t="n">
        <f aca="false">EXP(-Inputs!$B$11*Inputs!$B$14*Inputs!$B$17/(Inputs!$B$51*MA36*Inputs!$B$16))</f>
        <v>0.75236565206127</v>
      </c>
      <c r="MC36" s="15" t="n">
        <f aca="false">Inputs!$B$50*Inputs!$B$18*MB36*Inputs!$B$19</f>
        <v>0.735154707992131</v>
      </c>
      <c r="MD36" s="15" t="n">
        <f aca="false">1-MC36</f>
        <v>0.264845292007869</v>
      </c>
      <c r="ME36" s="15" t="n">
        <f aca="false">Inputs!$B$20*MD36</f>
        <v>0.00794535876023608</v>
      </c>
      <c r="MF36" s="15" t="n">
        <f aca="false">0.8*(1-Inputs!$B$50)*(MC36-ME36)</f>
        <v>0.00175156225623474</v>
      </c>
      <c r="MG36" s="15" t="n">
        <f aca="false">MC36-ME36-MF36</f>
        <v>0.72545778697566</v>
      </c>
      <c r="MH36" s="15" t="n">
        <f aca="false">MG36*(1-Inputs!$B$18*EXP(-Inputs!$B$21*Inputs!$B$14*Inputs!$B$17/(Inputs!$B$22*Inputs!$B$23*Inputs!$B$24*MA36*Inputs!$B$16))*Inputs!$B$19)</f>
        <v>0.0263066302283966</v>
      </c>
      <c r="MI36" s="15" t="n">
        <f aca="false">(MG36-MH36)*(1-EXP(-Inputs!$B$25*Inputs!$B$14*Inputs!$B$17*Inputs!$B$26/(MA36*Inputs!$B$16/0.866)))</f>
        <v>0.00755526267461739</v>
      </c>
      <c r="MJ36" s="15" t="n">
        <f aca="false">(MG36-MH36-MI36)*(1-Inputs!$B$19)</f>
        <v>0.00345797947036323</v>
      </c>
      <c r="MK36" s="15" t="n">
        <f aca="false">(MD36+ME36+MF36+MH36+MI36+MJ36)*(1+Inputs!$B$27)</f>
        <v>0.31279767165391</v>
      </c>
      <c r="ML36" s="15" t="n">
        <f aca="false">Inputs!$B$52/(1-MK36-G36)</f>
        <v>197149.471422286</v>
      </c>
      <c r="MM36" s="15" t="n">
        <f aca="false">ML36/Inputs!$B$34</f>
        <v>328.582452370477</v>
      </c>
      <c r="MN36" s="15" t="n">
        <f aca="false">B36^2/MM36</f>
        <v>12.8582642485007</v>
      </c>
      <c r="MO36" s="15" t="n">
        <f aca="false">Inputs!$B$54*H36/(Inputs!$B$35*F36+E36*H36^2/(PI()*MN36*Inputs!$B$36))</f>
        <v>19.2188710421037</v>
      </c>
      <c r="MP36" s="15" t="n">
        <f aca="false">EXP(-Inputs!$B$11*Inputs!$B$14*Inputs!$B$17/(Inputs!$B$51*MO36*Inputs!$B$16))</f>
        <v>0.75236565206494</v>
      </c>
      <c r="MQ36" s="15" t="n">
        <f aca="false">Inputs!$B$50*Inputs!$B$18*MP36*Inputs!$B$19</f>
        <v>0.735154707995717</v>
      </c>
      <c r="MR36" s="15" t="n">
        <f aca="false">1-MQ36</f>
        <v>0.264845292004283</v>
      </c>
      <c r="MS36" s="15" t="n">
        <f aca="false">Inputs!$B$20*MR36</f>
        <v>0.0079453587601285</v>
      </c>
      <c r="MT36" s="15" t="n">
        <f aca="false">0.8*(1-Inputs!$B$50)*(MQ36-MS36)</f>
        <v>0.00175156225624363</v>
      </c>
      <c r="MU36" s="15" t="n">
        <f aca="false">MQ36-MS36-MT36</f>
        <v>0.725457786979345</v>
      </c>
      <c r="MV36" s="15" t="n">
        <f aca="false">MU36*(1-Inputs!$B$18*EXP(-Inputs!$B$21*Inputs!$B$14*Inputs!$B$17/(Inputs!$B$22*Inputs!$B$23*Inputs!$B$24*MO36*Inputs!$B$16))*Inputs!$B$19)</f>
        <v>0.0263066302283287</v>
      </c>
      <c r="MW36" s="15" t="n">
        <f aca="false">(MU36-MV36)*(1-EXP(-Inputs!$B$25*Inputs!$B$14*Inputs!$B$17*Inputs!$B$26/(MO36*Inputs!$B$16/0.866)))</f>
        <v>0.00755526267452917</v>
      </c>
      <c r="MX36" s="15" t="n">
        <f aca="false">(MU36-MV36-MW36)*(1-Inputs!$B$19)</f>
        <v>0.00345797947038244</v>
      </c>
      <c r="MY36" s="15" t="n">
        <f aca="false">(MR36+MS36+MT36+MV36+MW36+MX36)*(1+Inputs!$B$27)</f>
        <v>0.312797671650077</v>
      </c>
      <c r="MZ36" s="15" t="n">
        <f aca="false">Inputs!$B$52/(1-MY36-G36)</f>
        <v>197149.471417719</v>
      </c>
      <c r="NA36" s="15" t="n">
        <f aca="false">MZ36/Inputs!$B$34</f>
        <v>328.582452362866</v>
      </c>
      <c r="NB36" s="15" t="n">
        <f aca="false">B36^2/NA36</f>
        <v>12.8582642487986</v>
      </c>
      <c r="NC36" s="15" t="n">
        <f aca="false">Inputs!$B$54*H36/(Inputs!$B$35*F36+E36*H36^2/(PI()*NB36*Inputs!$B$36))</f>
        <v>19.2188710422429</v>
      </c>
      <c r="ND36" s="15" t="n">
        <f aca="false">EXP(-Inputs!$B$11*Inputs!$B$14*Inputs!$B$17/(Inputs!$B$51*NC36*Inputs!$B$16))</f>
        <v>0.752365652066491</v>
      </c>
      <c r="NE36" s="15" t="n">
        <f aca="false">Inputs!$B$50*Inputs!$B$18*ND36*Inputs!$B$19</f>
        <v>0.735154707997232</v>
      </c>
      <c r="NF36" s="15" t="n">
        <f aca="false">1-NE36</f>
        <v>0.264845292002768</v>
      </c>
      <c r="NG36" s="15" t="n">
        <f aca="false">Inputs!$B$20*NF36</f>
        <v>0.00794535876008304</v>
      </c>
      <c r="NH36" s="15" t="n">
        <f aca="false">0.8*(1-Inputs!$B$50)*(NE36-NG36)</f>
        <v>0.00175156225624739</v>
      </c>
      <c r="NI36" s="15" t="n">
        <f aca="false">NE36-NG36-NH36</f>
        <v>0.725457786980902</v>
      </c>
      <c r="NJ36" s="15" t="n">
        <f aca="false">NI36*(1-Inputs!$B$18*EXP(-Inputs!$B$21*Inputs!$B$14*Inputs!$B$17/(Inputs!$B$22*Inputs!$B$23*Inputs!$B$24*NC36*Inputs!$B$16))*Inputs!$B$19)</f>
        <v>0.0263066302283001</v>
      </c>
      <c r="NK36" s="15" t="n">
        <f aca="false">(NI36-NJ36)*(1-EXP(-Inputs!$B$25*Inputs!$B$14*Inputs!$B$17*Inputs!$B$26/(NC36*Inputs!$B$16/0.866)))</f>
        <v>0.00755526267449181</v>
      </c>
      <c r="NL36" s="15" t="n">
        <f aca="false">(NI36-NJ36-NK36)*(1-Inputs!$B$19)</f>
        <v>0.00345797947039055</v>
      </c>
      <c r="NM36" s="15" t="n">
        <f aca="false">(NF36+NG36+NH36+NJ36+NK36+NL36)*(1+Inputs!$B$27)</f>
        <v>0.312797671648458</v>
      </c>
      <c r="NN36" s="15" t="n">
        <f aca="false">Inputs!$B$52/(1-NM36-G36)</f>
        <v>197149.47141579</v>
      </c>
    </row>
    <row r="37" customFormat="false" ht="15" hidden="false" customHeight="false" outlineLevel="0" collapsed="false">
      <c r="A37" s="21" t="s">
        <v>501</v>
      </c>
      <c r="B37" s="21" t="n">
        <v>65</v>
      </c>
      <c r="C37" s="22" t="n">
        <v>0.05</v>
      </c>
      <c r="D37" s="23" t="n">
        <f aca="false">B37*C37</f>
        <v>3.25</v>
      </c>
      <c r="E37" s="24" t="n">
        <f aca="false">IF(C37=0,1,(1+0.45*C37)/(1.04+2.81*C37))</f>
        <v>0.866158407454468</v>
      </c>
      <c r="F37" s="24" t="n">
        <f aca="false">1+Inputs!$B$42*D37</f>
        <v>1.01625</v>
      </c>
      <c r="G37" s="25" t="n">
        <f aca="false">Inputs!$B$31+Inputs!$B$43*(B37/Inputs!$B$32-1)+Inputs!$B$44+Inputs!$B$45*D37</f>
        <v>0.52766875</v>
      </c>
      <c r="H37" s="22" t="n">
        <f aca="false">Inputs!$B$38</f>
        <v>0.5</v>
      </c>
      <c r="I37" s="23" t="n">
        <f aca="false">Inputs!$B$40</f>
        <v>2.4</v>
      </c>
      <c r="J37" s="26" t="n">
        <f aca="false">NN37/Inputs!$B$34</f>
        <v>325.647473060949</v>
      </c>
      <c r="K37" s="23" t="n">
        <f aca="false">B37^2/J37</f>
        <v>12.9741525714503</v>
      </c>
      <c r="L37" s="23" t="n">
        <f aca="false">2*K37</f>
        <v>25.9483051429005</v>
      </c>
      <c r="M37" s="22" t="n">
        <f aca="false">NC37</f>
        <v>19.8769931522929</v>
      </c>
      <c r="N37" s="23" t="n">
        <f aca="false">B37/SQRT(E37)</f>
        <v>69.8416826522444</v>
      </c>
      <c r="O37" s="24" t="n">
        <f aca="false">NM37</f>
        <v>0.305356209509442</v>
      </c>
      <c r="P37" s="23" t="n">
        <f aca="false">NN37/1000</f>
        <v>195.38848383657</v>
      </c>
      <c r="Q37" s="23" t="n">
        <f aca="false">G37*NN37/1000</f>
        <v>103.100397030438</v>
      </c>
      <c r="R37" s="23" t="n">
        <f aca="false">NM37*NN37/1000</f>
        <v>59.6630868061317</v>
      </c>
      <c r="S37" s="23" t="n">
        <f aca="false">NM37*NN37/Inputs!$B$28/1000</f>
        <v>79.5507824081757</v>
      </c>
      <c r="T37" s="27" t="n">
        <f aca="false">R37/Sweep!$R$5-1</f>
        <v>-0.0453390063889267</v>
      </c>
      <c r="U37" s="27" t="n">
        <f aca="false">R37/SUMIFS(Sweep!$R:$R,Sweep!$A:$A,"Conventional",Sweep!$B:$B,B37)-1</f>
        <v>-0.0325097653992222</v>
      </c>
      <c r="V37" s="26" t="n">
        <f aca="false">2*0.54*(J37/2)^1.5/SQRT(L37)*Inputs!$B$46*Inputs!$B$47</f>
        <v>41.1867423933652</v>
      </c>
      <c r="W37" s="28" t="n">
        <f aca="false">MIN(1,V37/S37)</f>
        <v>0.517741512359183</v>
      </c>
      <c r="X37" s="26" t="n">
        <f aca="false">1.23*SQRT(2*Inputs!$B$41*NN37*Inputs!$B$49/(1.225*J37*I37))/0.5144</f>
        <v>133.62967568068</v>
      </c>
      <c r="Y37" s="29" t="n">
        <f aca="false">(11000+6341.6*LN(0.36392/(2*Inputs!$B$50*Inputs!$B$18*(1+ND37)/2*Inputs!$B$34*Inputs!$B$49/((Inputs!$B$12*295.07)^2*H37))))/0.3048</f>
        <v>38548.3498229036</v>
      </c>
      <c r="Z37" s="26" t="n">
        <f aca="false">NN37-MZ37</f>
        <v>-2.29192664846778E-007</v>
      </c>
      <c r="AA37" s="30" t="str">
        <f aca="false">IF(ABS(NN37-MZ37)&lt;10,"Yes","No")</f>
        <v>Yes</v>
      </c>
      <c r="AC37" s="15" t="n">
        <f aca="false">Inputs!$B$52/(1-0.3154-G37)/Inputs!$B$34</f>
        <v>346.489306623123</v>
      </c>
      <c r="AD37" s="15" t="n">
        <f aca="false">B37^2/AC37</f>
        <v>12.1937385057471</v>
      </c>
      <c r="AE37" s="15" t="n">
        <f aca="false">Inputs!$B$54*H37/(Inputs!$B$35*F37+E37*H37^2/(PI()*AD37*Inputs!$B$36))</f>
        <v>19.5299364481626</v>
      </c>
      <c r="AF37" s="15" t="n">
        <f aca="false">EXP(-Inputs!$B$11*Inputs!$B$14*Inputs!$B$17/(Inputs!$B$51*AE37*Inputs!$B$16))</f>
        <v>0.755783059050418</v>
      </c>
      <c r="AG37" s="15" t="n">
        <f aca="false">Inputs!$B$50*Inputs!$B$18*AF37*Inputs!$B$19</f>
        <v>0.738493939162924</v>
      </c>
      <c r="AH37" s="15" t="n">
        <f aca="false">1-AG37</f>
        <v>0.261506060837076</v>
      </c>
      <c r="AI37" s="15" t="n">
        <f aca="false">Inputs!$B$20*AH37</f>
        <v>0.00784518182511228</v>
      </c>
      <c r="AJ37" s="15" t="n">
        <f aca="false">0.8*(1-Inputs!$B$50)*(AG37-AI37)</f>
        <v>0.00175984644211391</v>
      </c>
      <c r="AK37" s="15" t="n">
        <f aca="false">AG37-AI37-AJ37</f>
        <v>0.728888910895698</v>
      </c>
      <c r="AL37" s="15" t="n">
        <f aca="false">AK37*(1-Inputs!$B$18*EXP(-Inputs!$B$21*Inputs!$B$14*Inputs!$B$17/(Inputs!$B$22*Inputs!$B$23*Inputs!$B$24*AE37*Inputs!$B$16))*Inputs!$B$19)</f>
        <v>0.0262429493679511</v>
      </c>
      <c r="AM37" s="15" t="n">
        <f aca="false">(AK37-AL37)*(1-EXP(-Inputs!$B$25*Inputs!$B$14*Inputs!$B$17*Inputs!$B$26/(AE37*Inputs!$B$16/0.866)))</f>
        <v>0.00747273524641992</v>
      </c>
      <c r="AN37" s="15" t="n">
        <f aca="false">(AK37-AL37-AM37)*(1-Inputs!$B$19)</f>
        <v>0.00347586613140664</v>
      </c>
      <c r="AO37" s="15" t="n">
        <f aca="false">(AH37+AI37+AJ37+AL37+AM37+AN37)*(1+Inputs!$B$27)</f>
        <v>0.30922754776963</v>
      </c>
      <c r="AP37" s="15" t="n">
        <f aca="false">Inputs!$B$52/(1-AO37-G37)</f>
        <v>200026.115617658</v>
      </c>
      <c r="AQ37" s="15" t="n">
        <f aca="false">AP37/Inputs!$B$34</f>
        <v>333.376859362763</v>
      </c>
      <c r="AR37" s="15" t="n">
        <f aca="false">B37^2/AQ37</f>
        <v>12.6733451388196</v>
      </c>
      <c r="AS37" s="15" t="n">
        <f aca="false">Inputs!$B$54*H37/(Inputs!$B$35*F37+E37*H37^2/(PI()*AR37*Inputs!$B$36))</f>
        <v>19.7468544050087</v>
      </c>
      <c r="AT37" s="15" t="n">
        <f aca="false">EXP(-Inputs!$B$11*Inputs!$B$14*Inputs!$B$17/(Inputs!$B$51*AS37*Inputs!$B$16))</f>
        <v>0.758111269514434</v>
      </c>
      <c r="AU37" s="15" t="n">
        <f aca="false">Inputs!$B$50*Inputs!$B$18*AT37*Inputs!$B$19</f>
        <v>0.74076889001844</v>
      </c>
      <c r="AV37" s="15" t="n">
        <f aca="false">1-AU37</f>
        <v>0.25923110998156</v>
      </c>
      <c r="AW37" s="15" t="n">
        <f aca="false">Inputs!$B$20*AV37</f>
        <v>0.00777693329944681</v>
      </c>
      <c r="AX37" s="15" t="n">
        <f aca="false">0.8*(1-Inputs!$B$50)*(AU37-AW37)</f>
        <v>0.00176549029088902</v>
      </c>
      <c r="AY37" s="15" t="n">
        <f aca="false">AU37-AW37-AX37</f>
        <v>0.731226466428104</v>
      </c>
      <c r="AZ37" s="15" t="n">
        <f aca="false">AY37*(1-Inputs!$B$18*EXP(-Inputs!$B$21*Inputs!$B$14*Inputs!$B$17/(Inputs!$B$22*Inputs!$B$23*Inputs!$B$24*AS37*Inputs!$B$16))*Inputs!$B$19)</f>
        <v>0.0261990099177757</v>
      </c>
      <c r="BA37" s="15" t="n">
        <f aca="false">(AY37-AZ37)*(1-EXP(-Inputs!$B$25*Inputs!$B$14*Inputs!$B$17*Inputs!$B$26/(AS37*Inputs!$B$16/0.866)))</f>
        <v>0.00741613175498644</v>
      </c>
      <c r="BB37" s="15" t="n">
        <f aca="false">(AY37-AZ37-BA37)*(1-Inputs!$B$19)</f>
        <v>0.00348805662377671</v>
      </c>
      <c r="BC37" s="15" t="n">
        <f aca="false">(AV37+AW37+AX37+AZ37+BA37+BB37)*(1+Inputs!$B$27)</f>
        <v>0.30679436206404</v>
      </c>
      <c r="BD37" s="15" t="n">
        <f aca="false">Inputs!$B$52/(1-BC37-G37)</f>
        <v>197085.981298751</v>
      </c>
      <c r="BE37" s="15" t="n">
        <f aca="false">BD37/Inputs!$B$34</f>
        <v>328.476635497918</v>
      </c>
      <c r="BF37" s="15" t="n">
        <f aca="false">B37^2/BE37</f>
        <v>12.8624064649091</v>
      </c>
      <c r="BG37" s="15" t="n">
        <f aca="false">Inputs!$B$54*H37/(Inputs!$B$35*F37+E37*H37^2/(PI()*BF37*Inputs!$B$36))</f>
        <v>19.8291603425502</v>
      </c>
      <c r="BH37" s="15" t="n">
        <f aca="false">EXP(-Inputs!$B$11*Inputs!$B$14*Inputs!$B$17/(Inputs!$B$51*BG37*Inputs!$B$16))</f>
        <v>0.758983179708599</v>
      </c>
      <c r="BI37" s="15" t="n">
        <f aca="false">Inputs!$B$50*Inputs!$B$18*BH37*Inputs!$B$19</f>
        <v>0.741620854595014</v>
      </c>
      <c r="BJ37" s="15" t="n">
        <f aca="false">1-BI37</f>
        <v>0.258379145404986</v>
      </c>
      <c r="BK37" s="15" t="n">
        <f aca="false">Inputs!$B$20*BJ37</f>
        <v>0.00775137436214959</v>
      </c>
      <c r="BL37" s="15" t="n">
        <f aca="false">0.8*(1-Inputs!$B$50)*(BI37-BK37)</f>
        <v>0.00176760390104472</v>
      </c>
      <c r="BM37" s="15" t="n">
        <f aca="false">BI37-BK37-BL37</f>
        <v>0.732101876331819</v>
      </c>
      <c r="BN37" s="15" t="n">
        <f aca="false">BM37*(1-Inputs!$B$18*EXP(-Inputs!$B$21*Inputs!$B$14*Inputs!$B$17/(Inputs!$B$22*Inputs!$B$23*Inputs!$B$24*BG37*Inputs!$B$16))*Inputs!$B$19)</f>
        <v>0.0261824392535132</v>
      </c>
      <c r="BO37" s="15" t="n">
        <f aca="false">(BM37-BN37)*(1-EXP(-Inputs!$B$25*Inputs!$B$14*Inputs!$B$17*Inputs!$B$26/(BG37*Inputs!$B$16/0.866)))</f>
        <v>0.00739485496280344</v>
      </c>
      <c r="BP37" s="15" t="n">
        <f aca="false">(BM37-BN37-BO37)*(1-Inputs!$B$19)</f>
        <v>0.00349262291057752</v>
      </c>
      <c r="BQ37" s="15" t="n">
        <f aca="false">(BJ37+BK37+BL37+BN37+BO37+BP37)*(1+Inputs!$B$27)</f>
        <v>0.30588294491746</v>
      </c>
      <c r="BR37" s="15" t="n">
        <f aca="false">Inputs!$B$52/(1-BQ37-G37)</f>
        <v>196006.802134883</v>
      </c>
      <c r="BS37" s="15" t="n">
        <f aca="false">BR37/Inputs!$B$34</f>
        <v>326.678003558138</v>
      </c>
      <c r="BT37" s="15" t="n">
        <f aca="false">B37^2/BS37</f>
        <v>12.9332246248043</v>
      </c>
      <c r="BU37" s="15" t="n">
        <f aca="false">Inputs!$B$54*H37/(Inputs!$B$35*F37+E37*H37^2/(PI()*BT37*Inputs!$B$36))</f>
        <v>19.8595432183036</v>
      </c>
      <c r="BV37" s="15" t="n">
        <f aca="false">EXP(-Inputs!$B$11*Inputs!$B$14*Inputs!$B$17/(Inputs!$B$51*BU37*Inputs!$B$16))</f>
        <v>0.759303466722121</v>
      </c>
      <c r="BW37" s="15" t="n">
        <f aca="false">Inputs!$B$50*Inputs!$B$18*BV37*Inputs!$B$19</f>
        <v>0.741933814796286</v>
      </c>
      <c r="BX37" s="15" t="n">
        <f aca="false">1-BW37</f>
        <v>0.258066185203714</v>
      </c>
      <c r="BY37" s="15" t="n">
        <f aca="false">Inputs!$B$20*BX37</f>
        <v>0.00774198555611142</v>
      </c>
      <c r="BZ37" s="15" t="n">
        <f aca="false">0.8*(1-Inputs!$B$50)*(BW37-BY37)</f>
        <v>0.00176838031344252</v>
      </c>
      <c r="CA37" s="15" t="n">
        <f aca="false">BW37-BY37-BZ37</f>
        <v>0.732423448926732</v>
      </c>
      <c r="CB37" s="15" t="n">
        <f aca="false">CA37*(1-Inputs!$B$18*EXP(-Inputs!$B$21*Inputs!$B$14*Inputs!$B$17/(Inputs!$B$22*Inputs!$B$23*Inputs!$B$24*BU37*Inputs!$B$16))*Inputs!$B$19)</f>
        <v>0.0261763364221823</v>
      </c>
      <c r="CC37" s="15" t="n">
        <f aca="false">(CA37-CB37)*(1-EXP(-Inputs!$B$25*Inputs!$B$14*Inputs!$B$17*Inputs!$B$26/(BU37*Inputs!$B$16/0.866)))</f>
        <v>0.00738702837504323</v>
      </c>
      <c r="CD37" s="15" t="n">
        <f aca="false">(CA37-CB37-CC37)*(1-Inputs!$B$19)</f>
        <v>0.00349430042064754</v>
      </c>
      <c r="CE37" s="15" t="n">
        <f aca="false">(BX37+BY37+BZ37+CB37+CC37+CD37)*(1+Inputs!$B$27)</f>
        <v>0.305548118940014</v>
      </c>
      <c r="CF37" s="15" t="n">
        <f aca="false">Inputs!$B$52/(1-CE37-G37)</f>
        <v>195613.30808849</v>
      </c>
      <c r="CG37" s="15" t="n">
        <f aca="false">CF37/Inputs!$B$34</f>
        <v>326.022180147483</v>
      </c>
      <c r="CH37" s="15" t="n">
        <f aca="false">B37^2/CG37</f>
        <v>12.9592409881092</v>
      </c>
      <c r="CI37" s="15" t="n">
        <f aca="false">Inputs!$B$54*H37/(Inputs!$B$35*F37+E37*H37^2/(PI()*CH37*Inputs!$B$36))</f>
        <v>19.870644704552</v>
      </c>
      <c r="CJ37" s="15" t="n">
        <f aca="false">EXP(-Inputs!$B$11*Inputs!$B$14*Inputs!$B$17/(Inputs!$B$51*CI37*Inputs!$B$16))</f>
        <v>0.759420284505776</v>
      </c>
      <c r="CK37" s="15" t="n">
        <f aca="false">Inputs!$B$50*Inputs!$B$18*CJ37*Inputs!$B$19</f>
        <v>0.742047960283119</v>
      </c>
      <c r="CL37" s="15" t="n">
        <f aca="false">1-CK37</f>
        <v>0.257952039716881</v>
      </c>
      <c r="CM37" s="15" t="n">
        <f aca="false">Inputs!$B$20*CL37</f>
        <v>0.00773856119150643</v>
      </c>
      <c r="CN37" s="15" t="n">
        <f aca="false">0.8*(1-Inputs!$B$50)*(CK37-CM37)</f>
        <v>0.00176866349312725</v>
      </c>
      <c r="CO37" s="15" t="n">
        <f aca="false">CK37-CM37-CN37</f>
        <v>0.732540735598486</v>
      </c>
      <c r="CP37" s="15" t="n">
        <f aca="false">CO37*(1-Inputs!$B$18*EXP(-Inputs!$B$21*Inputs!$B$14*Inputs!$B$17/(Inputs!$B$22*Inputs!$B$23*Inputs!$B$24*CI37*Inputs!$B$16))*Inputs!$B$19)</f>
        <v>0.0261741084380339</v>
      </c>
      <c r="CQ37" s="15" t="n">
        <f aca="false">(CO37-CP37)*(1-EXP(-Inputs!$B$25*Inputs!$B$14*Inputs!$B$17*Inputs!$B$26/(CI37*Inputs!$B$16/0.866)))</f>
        <v>0.0073841723547226</v>
      </c>
      <c r="CR37" s="15" t="n">
        <f aca="false">(CO37-CP37-CQ37)*(1-Inputs!$B$19)</f>
        <v>0.00349491227402865</v>
      </c>
      <c r="CS37" s="15" t="n">
        <f aca="false">(CL37+CM37+CN37+CP37+CQ37+CR37)*(1+Inputs!$B$27)</f>
        <v>0.305425994840705</v>
      </c>
      <c r="CT37" s="15" t="n">
        <f aca="false">Inputs!$B$52/(1-CS37-G37)</f>
        <v>195470.178388706</v>
      </c>
      <c r="CU37" s="15" t="n">
        <f aca="false">CT37/Inputs!$B$34</f>
        <v>325.783630647844</v>
      </c>
      <c r="CV37" s="15" t="n">
        <f aca="false">B37^2/CU37</f>
        <v>12.9687301709981</v>
      </c>
      <c r="CW37" s="15" t="n">
        <f aca="false">Inputs!$B$54*H37/(Inputs!$B$35*F37+E37*H37^2/(PI()*CV37*Inputs!$B$36))</f>
        <v>19.8746858430711</v>
      </c>
      <c r="CX37" s="15" t="n">
        <f aca="false">EXP(-Inputs!$B$11*Inputs!$B$14*Inputs!$B$17/(Inputs!$B$51*CW37*Inputs!$B$16))</f>
        <v>0.75946278031586</v>
      </c>
      <c r="CY37" s="15" t="n">
        <f aca="false">Inputs!$B$50*Inputs!$B$18*CX37*Inputs!$B$19</f>
        <v>0.7420894839688</v>
      </c>
      <c r="CZ37" s="15" t="n">
        <f aca="false">1-CY37</f>
        <v>0.2579105160312</v>
      </c>
      <c r="DA37" s="15" t="n">
        <f aca="false">Inputs!$B$20*CZ37</f>
        <v>0.00773731548093601</v>
      </c>
      <c r="DB37" s="15" t="n">
        <f aca="false">0.8*(1-Inputs!$B$50)*(CY37-DA37)</f>
        <v>0.00176876650783722</v>
      </c>
      <c r="DC37" s="15" t="n">
        <f aca="false">CY37-DA37-DB37</f>
        <v>0.732583401980027</v>
      </c>
      <c r="DD37" s="15" t="n">
        <f aca="false">DC37*(1-Inputs!$B$18*EXP(-Inputs!$B$21*Inputs!$B$14*Inputs!$B$17/(Inputs!$B$22*Inputs!$B$23*Inputs!$B$24*CW37*Inputs!$B$16))*Inputs!$B$19)</f>
        <v>0.0261732976656381</v>
      </c>
      <c r="DE37" s="15" t="n">
        <f aca="false">(DC37-DD37)*(1-EXP(-Inputs!$B$25*Inputs!$B$14*Inputs!$B$17*Inputs!$B$26/(CW37*Inputs!$B$16/0.866)))</f>
        <v>0.00738313320459693</v>
      </c>
      <c r="DF37" s="15" t="n">
        <f aca="false">(DC37-DD37-DE37)*(1-Inputs!$B$19)</f>
        <v>0.00349513485554896</v>
      </c>
      <c r="DG37" s="15" t="n">
        <f aca="false">(CZ37+DA37+DB37+DD37+DE37+DF37)*(1+Inputs!$B$27)</f>
        <v>0.305381568236995</v>
      </c>
      <c r="DH37" s="15" t="n">
        <f aca="false">Inputs!$B$52/(1-DG37-G37)</f>
        <v>195418.16225989</v>
      </c>
      <c r="DI37" s="15" t="n">
        <f aca="false">DH37/Inputs!$B$34</f>
        <v>325.696937099817</v>
      </c>
      <c r="DJ37" s="15" t="n">
        <f aca="false">B37^2/DI37</f>
        <v>12.9721821691714</v>
      </c>
      <c r="DK37" s="15" t="n">
        <f aca="false">Inputs!$B$54*H37/(Inputs!$B$35*F37+E37*H37^2/(PI()*DJ37*Inputs!$B$36))</f>
        <v>19.8761548790031</v>
      </c>
      <c r="DL37" s="15" t="n">
        <f aca="false">EXP(-Inputs!$B$11*Inputs!$B$14*Inputs!$B$17/(Inputs!$B$51*DK37*Inputs!$B$16))</f>
        <v>0.759478224712495</v>
      </c>
      <c r="DM37" s="15" t="n">
        <f aca="false">Inputs!$B$50*Inputs!$B$18*DL37*Inputs!$B$19</f>
        <v>0.742104575062961</v>
      </c>
      <c r="DN37" s="15" t="n">
        <f aca="false">1-DM37</f>
        <v>0.25789542493704</v>
      </c>
      <c r="DO37" s="15" t="n">
        <f aca="false">Inputs!$B$20*DN37</f>
        <v>0.00773686274811119</v>
      </c>
      <c r="DP37" s="15" t="n">
        <f aca="false">0.8*(1-Inputs!$B$50)*(DM37-DO37)</f>
        <v>0.00176880394682325</v>
      </c>
      <c r="DQ37" s="15" t="n">
        <f aca="false">DM37-DO37-DP37</f>
        <v>0.732598908368026</v>
      </c>
      <c r="DR37" s="15" t="n">
        <f aca="false">DQ37*(1-Inputs!$B$18*EXP(-Inputs!$B$21*Inputs!$B$14*Inputs!$B$17/(Inputs!$B$22*Inputs!$B$23*Inputs!$B$24*DK37*Inputs!$B$16))*Inputs!$B$19)</f>
        <v>0.02617300296694</v>
      </c>
      <c r="DS37" s="15" t="n">
        <f aca="false">(DQ37-DR37)*(1-EXP(-Inputs!$B$25*Inputs!$B$14*Inputs!$B$17*Inputs!$B$26/(DK37*Inputs!$B$16/0.866)))</f>
        <v>0.00738275551748652</v>
      </c>
      <c r="DT37" s="15" t="n">
        <f aca="false">(DQ37-DR37-DS37)*(1-Inputs!$B$19)</f>
        <v>0.003495215749418</v>
      </c>
      <c r="DU37" s="15" t="n">
        <f aca="false">(DN37+DO37+DP37+DR37+DS37+DT37)*(1+Inputs!$B$27)</f>
        <v>0.305365422063416</v>
      </c>
      <c r="DV37" s="15" t="n">
        <f aca="false">Inputs!$B$52/(1-DU37-G37)</f>
        <v>195399.264647083</v>
      </c>
      <c r="DW37" s="15" t="n">
        <f aca="false">DV37/Inputs!$B$34</f>
        <v>325.665441078472</v>
      </c>
      <c r="DX37" s="15" t="n">
        <f aca="false">B37^2/DW37</f>
        <v>12.9734367454173</v>
      </c>
      <c r="DY37" s="15" t="n">
        <f aca="false">Inputs!$B$54*H37/(Inputs!$B$35*F37+E37*H37^2/(PI()*DX37*Inputs!$B$36))</f>
        <v>19.8766886378662</v>
      </c>
      <c r="DZ37" s="15" t="n">
        <f aca="false">EXP(-Inputs!$B$11*Inputs!$B$14*Inputs!$B$17/(Inputs!$B$51*DY37*Inputs!$B$16))</f>
        <v>0.759483835785062</v>
      </c>
      <c r="EA37" s="15" t="n">
        <f aca="false">Inputs!$B$50*Inputs!$B$18*DZ37*Inputs!$B$19</f>
        <v>0.742110057777918</v>
      </c>
      <c r="EB37" s="15" t="n">
        <f aca="false">1-EA37</f>
        <v>0.257889942222082</v>
      </c>
      <c r="EC37" s="15" t="n">
        <f aca="false">Inputs!$B$20*EB37</f>
        <v>0.00773669826666245</v>
      </c>
      <c r="ED37" s="15" t="n">
        <f aca="false">0.8*(1-Inputs!$B$50)*(EA37-EC37)</f>
        <v>0.00176881754870569</v>
      </c>
      <c r="EE37" s="15" t="n">
        <f aca="false">EA37-EC37-ED37</f>
        <v>0.73260454196255</v>
      </c>
      <c r="EF37" s="15" t="n">
        <f aca="false">EE37*(1-Inputs!$B$18*EXP(-Inputs!$B$21*Inputs!$B$14*Inputs!$B$17/(Inputs!$B$22*Inputs!$B$23*Inputs!$B$24*DY37*Inputs!$B$16))*Inputs!$B$19)</f>
        <v>0.0261728958956749</v>
      </c>
      <c r="EG37" s="15" t="n">
        <f aca="false">(EE37-EF37)*(1-EXP(-Inputs!$B$25*Inputs!$B$14*Inputs!$B$17*Inputs!$B$26/(DY37*Inputs!$B$16/0.866)))</f>
        <v>0.00738261829741124</v>
      </c>
      <c r="EH37" s="15" t="n">
        <f aca="false">(EE37-EF37-EG37)*(1-Inputs!$B$19)</f>
        <v>0.00349524513884732</v>
      </c>
      <c r="EI37" s="15" t="n">
        <f aca="false">(EB37+EC37+ED37+EF37+EG37+EH37)*(1+Inputs!$B$27)</f>
        <v>0.305359556021491</v>
      </c>
      <c r="EJ37" s="15" t="n">
        <f aca="false">Inputs!$B$52/(1-EI37-G37)</f>
        <v>195392.399889045</v>
      </c>
      <c r="EK37" s="15" t="n">
        <f aca="false">EJ37/Inputs!$B$34</f>
        <v>325.653999815075</v>
      </c>
      <c r="EL37" s="15" t="n">
        <f aca="false">B37^2/EK37</f>
        <v>12.9738925436175</v>
      </c>
      <c r="EM37" s="15" t="n">
        <f aca="false">Inputs!$B$54*H37/(Inputs!$B$35*F37+E37*H37^2/(PI()*EL37*Inputs!$B$36))</f>
        <v>19.8768825385258</v>
      </c>
      <c r="EN37" s="15" t="n">
        <f aca="false">EXP(-Inputs!$B$11*Inputs!$B$14*Inputs!$B$17/(Inputs!$B$51*EM37*Inputs!$B$16))</f>
        <v>0.759485874076876</v>
      </c>
      <c r="EO37" s="15" t="n">
        <f aca="false">Inputs!$B$50*Inputs!$B$18*EN37*Inputs!$B$19</f>
        <v>0.742112049442236</v>
      </c>
      <c r="EP37" s="15" t="n">
        <f aca="false">1-EO37</f>
        <v>0.257887950557764</v>
      </c>
      <c r="EQ37" s="15" t="n">
        <f aca="false">Inputs!$B$20*EP37</f>
        <v>0.00773663851673291</v>
      </c>
      <c r="ER37" s="15" t="n">
        <f aca="false">0.8*(1-Inputs!$B$50)*(EO37-EQ37)</f>
        <v>0.00176882248975846</v>
      </c>
      <c r="ES37" s="15" t="n">
        <f aca="false">EO37-EQ37-ER37</f>
        <v>0.732606588435745</v>
      </c>
      <c r="ET37" s="15" t="n">
        <f aca="false">ES37*(1-Inputs!$B$18*EXP(-Inputs!$B$21*Inputs!$B$14*Inputs!$B$17/(Inputs!$B$22*Inputs!$B$23*Inputs!$B$24*EM37*Inputs!$B$16))*Inputs!$B$19)</f>
        <v>0.0261728570000643</v>
      </c>
      <c r="EU37" s="15" t="n">
        <f aca="false">(ES37-ET37)*(1-EXP(-Inputs!$B$25*Inputs!$B$14*Inputs!$B$17*Inputs!$B$26/(EM37*Inputs!$B$16/0.866)))</f>
        <v>0.00738256845007429</v>
      </c>
      <c r="EV37" s="15" t="n">
        <f aca="false">(ES37-ET37-EU37)*(1-Inputs!$B$19)</f>
        <v>0.00349525581492804</v>
      </c>
      <c r="EW37" s="15" t="n">
        <f aca="false">(EP37+EQ37+ER37+ET37+EU37+EV37)*(1+Inputs!$B$27)</f>
        <v>0.30535742510781</v>
      </c>
      <c r="EX37" s="15" t="n">
        <f aca="false">Inputs!$B$52/(1-EW37-G37)</f>
        <v>195389.906298576</v>
      </c>
      <c r="EY37" s="15" t="n">
        <f aca="false">EX37/Inputs!$B$34</f>
        <v>325.649843830961</v>
      </c>
      <c r="EZ37" s="15" t="n">
        <f aca="false">B37^2/EY37</f>
        <v>12.9740581180599</v>
      </c>
      <c r="FA37" s="15" t="n">
        <f aca="false">Inputs!$B$54*H37/(Inputs!$B$35*F37+E37*H37^2/(PI()*EZ37*Inputs!$B$36))</f>
        <v>19.8769529729481</v>
      </c>
      <c r="FB37" s="15" t="n">
        <f aca="false">EXP(-Inputs!$B$11*Inputs!$B$14*Inputs!$B$17/(Inputs!$B$51*FA37*Inputs!$B$16))</f>
        <v>0.759486614477966</v>
      </c>
      <c r="FC37" s="15" t="n">
        <f aca="false">Inputs!$B$50*Inputs!$B$18*FB37*Inputs!$B$19</f>
        <v>0.742112772906081</v>
      </c>
      <c r="FD37" s="15" t="n">
        <f aca="false">1-FC37</f>
        <v>0.257887227093919</v>
      </c>
      <c r="FE37" s="15" t="n">
        <f aca="false">Inputs!$B$20*FD37</f>
        <v>0.00773661681281756</v>
      </c>
      <c r="FF37" s="15" t="n">
        <f aca="false">0.8*(1-Inputs!$B$50)*(FC37-FE37)</f>
        <v>0.00176882428457548</v>
      </c>
      <c r="FG37" s="15" t="n">
        <f aca="false">FC37-FE37-FF37</f>
        <v>0.732607331808688</v>
      </c>
      <c r="FH37" s="15" t="n">
        <f aca="false">FG37*(1-Inputs!$B$18*EXP(-Inputs!$B$21*Inputs!$B$14*Inputs!$B$17/(Inputs!$B$22*Inputs!$B$23*Inputs!$B$24*FA37*Inputs!$B$16))*Inputs!$B$19)</f>
        <v>0.0261728428713093</v>
      </c>
      <c r="FI37" s="15" t="n">
        <f aca="false">(FG37-FH37)*(1-EXP(-Inputs!$B$25*Inputs!$B$14*Inputs!$B$17*Inputs!$B$26/(FA37*Inputs!$B$16/0.866)))</f>
        <v>0.00738255034317688</v>
      </c>
      <c r="FJ37" s="15" t="n">
        <f aca="false">(FG37-FH37-FI37)*(1-Inputs!$B$19)</f>
        <v>0.00349525969297101</v>
      </c>
      <c r="FK37" s="15" t="n">
        <f aca="false">(FD37+FE37+FF37+FH37+FI37+FJ37)*(1+Inputs!$B$27)</f>
        <v>0.305356651062065</v>
      </c>
      <c r="FL37" s="15" t="n">
        <f aca="false">Inputs!$B$52/(1-FK37-G37)</f>
        <v>195389.00052772</v>
      </c>
      <c r="FM37" s="15" t="n">
        <f aca="false">FL37/Inputs!$B$34</f>
        <v>325.648334212867</v>
      </c>
      <c r="FN37" s="15" t="n">
        <f aca="false">B37^2/FM37</f>
        <v>12.9741182623039</v>
      </c>
      <c r="FO37" s="15" t="n">
        <f aca="false">Inputs!$B$54*H37/(Inputs!$B$35*F37+E37*H37^2/(PI()*FN37*Inputs!$B$36))</f>
        <v>19.8769785576445</v>
      </c>
      <c r="FP37" s="15" t="n">
        <f aca="false">EXP(-Inputs!$B$11*Inputs!$B$14*Inputs!$B$17/(Inputs!$B$51*FO37*Inputs!$B$16))</f>
        <v>0.759486883421156</v>
      </c>
      <c r="FQ37" s="15" t="n">
        <f aca="false">Inputs!$B$50*Inputs!$B$18*FP37*Inputs!$B$19</f>
        <v>0.742113035696989</v>
      </c>
      <c r="FR37" s="15" t="n">
        <f aca="false">1-FQ37</f>
        <v>0.257886964303012</v>
      </c>
      <c r="FS37" s="15" t="n">
        <f aca="false">Inputs!$B$20*FR37</f>
        <v>0.00773660892909034</v>
      </c>
      <c r="FT37" s="15" t="n">
        <f aca="false">0.8*(1-Inputs!$B$50)*(FQ37-FS37)</f>
        <v>0.00176882493652457</v>
      </c>
      <c r="FU37" s="15" t="n">
        <f aca="false">FQ37-FS37-FT37</f>
        <v>0.732607601831374</v>
      </c>
      <c r="FV37" s="15" t="n">
        <f aca="false">FU37*(1-Inputs!$B$18*EXP(-Inputs!$B$21*Inputs!$B$14*Inputs!$B$17/(Inputs!$B$22*Inputs!$B$23*Inputs!$B$24*FO37*Inputs!$B$16))*Inputs!$B$19)</f>
        <v>0.0261728377391712</v>
      </c>
      <c r="FW37" s="15" t="n">
        <f aca="false">(FU37-FV37)*(1-EXP(-Inputs!$B$25*Inputs!$B$14*Inputs!$B$17*Inputs!$B$26/(FO37*Inputs!$B$16/0.866)))</f>
        <v>0.00738254376602225</v>
      </c>
      <c r="FX37" s="15" t="n">
        <f aca="false">(FU37-FV37-FW37)*(1-Inputs!$B$19)</f>
        <v>0.0034952611016309</v>
      </c>
      <c r="FY37" s="15" t="n">
        <f aca="false">(FR37+FS37+FT37+FV37+FW37+FX37)*(1+Inputs!$B$27)</f>
        <v>0.305356369897777</v>
      </c>
      <c r="FZ37" s="15" t="n">
        <f aca="false">Inputs!$B$52/(1-FY37-G37)</f>
        <v>195388.671517697</v>
      </c>
      <c r="GA37" s="15" t="n">
        <f aca="false">FZ37/Inputs!$B$34</f>
        <v>325.647785862828</v>
      </c>
      <c r="GB37" s="15" t="n">
        <f aca="false">B37^2/GA37</f>
        <v>12.9741401090923</v>
      </c>
      <c r="GC37" s="15" t="n">
        <f aca="false">Inputs!$B$54*H37/(Inputs!$B$35*F37+E37*H37^2/(PI()*GB37*Inputs!$B$36))</f>
        <v>19.8769878509843</v>
      </c>
      <c r="GD37" s="15" t="n">
        <f aca="false">EXP(-Inputs!$B$11*Inputs!$B$14*Inputs!$B$17/(Inputs!$B$51*GC37*Inputs!$B$16))</f>
        <v>0.759486981111456</v>
      </c>
      <c r="GE37" s="15" t="n">
        <f aca="false">Inputs!$B$50*Inputs!$B$18*GD37*Inputs!$B$19</f>
        <v>0.742113131152548</v>
      </c>
      <c r="GF37" s="15" t="n">
        <f aca="false">1-GE37</f>
        <v>0.257886868847452</v>
      </c>
      <c r="GG37" s="15" t="n">
        <f aca="false">Inputs!$B$20*GF37</f>
        <v>0.00773660606542357</v>
      </c>
      <c r="GH37" s="15" t="n">
        <f aca="false">0.8*(1-Inputs!$B$50)*(GE37-GG37)</f>
        <v>0.00176882517333705</v>
      </c>
      <c r="GI37" s="15" t="n">
        <f aca="false">GE37-GG37-GH37</f>
        <v>0.732607699913787</v>
      </c>
      <c r="GJ37" s="15" t="n">
        <f aca="false">GI37*(1-Inputs!$B$18*EXP(-Inputs!$B$21*Inputs!$B$14*Inputs!$B$17/(Inputs!$B$22*Inputs!$B$23*Inputs!$B$24*GC37*Inputs!$B$16))*Inputs!$B$19)</f>
        <v>0.0261728358749836</v>
      </c>
      <c r="GK37" s="15" t="n">
        <f aca="false">(GI37-GJ37)*(1-EXP(-Inputs!$B$25*Inputs!$B$14*Inputs!$B$17*Inputs!$B$26/(GC37*Inputs!$B$16/0.866)))</f>
        <v>0.00738254137695083</v>
      </c>
      <c r="GL37" s="15" t="n">
        <f aca="false">(GI37-GJ37-GK37)*(1-Inputs!$B$19)</f>
        <v>0.00349526161330927</v>
      </c>
      <c r="GM37" s="15" t="n">
        <f aca="false">(GF37+GG37+GH37+GJ37+GK37+GL37)*(1+Inputs!$B$27)</f>
        <v>0.305356267768311</v>
      </c>
      <c r="GN37" s="15" t="n">
        <f aca="false">Inputs!$B$52/(1-GM37-G37)</f>
        <v>195388.552009131</v>
      </c>
      <c r="GO37" s="15" t="n">
        <f aca="false">GN37/Inputs!$B$34</f>
        <v>325.647586681884</v>
      </c>
      <c r="GP37" s="15" t="n">
        <f aca="false">B37^2/GO37</f>
        <v>12.9741480446692</v>
      </c>
      <c r="GQ37" s="15" t="n">
        <f aca="false">Inputs!$B$54*H37/(Inputs!$B$35*F37+E37*H37^2/(PI()*GP37*Inputs!$B$36))</f>
        <v>19.87699122667</v>
      </c>
      <c r="GR37" s="15" t="n">
        <f aca="false">EXP(-Inputs!$B$11*Inputs!$B$14*Inputs!$B$17/(Inputs!$B$51*GQ37*Inputs!$B$16))</f>
        <v>0.759487016596177</v>
      </c>
      <c r="GS37" s="15" t="n">
        <f aca="false">Inputs!$B$50*Inputs!$B$18*GR37*Inputs!$B$19</f>
        <v>0.742113165825528</v>
      </c>
      <c r="GT37" s="15" t="n">
        <f aca="false">1-GS37</f>
        <v>0.257886834174472</v>
      </c>
      <c r="GU37" s="15" t="n">
        <f aca="false">Inputs!$B$20*GT37</f>
        <v>0.00773660502523417</v>
      </c>
      <c r="GV37" s="15" t="n">
        <f aca="false">0.8*(1-Inputs!$B$50)*(GS37-GU37)</f>
        <v>0.00176882525935607</v>
      </c>
      <c r="GW37" s="15" t="n">
        <f aca="false">GS37-GU37-GV37</f>
        <v>0.732607735540937</v>
      </c>
      <c r="GX37" s="15" t="n">
        <f aca="false">GW37*(1-Inputs!$B$18*EXP(-Inputs!$B$21*Inputs!$B$14*Inputs!$B$17/(Inputs!$B$22*Inputs!$B$23*Inputs!$B$24*GQ37*Inputs!$B$16))*Inputs!$B$19)</f>
        <v>0.0261728351978418</v>
      </c>
      <c r="GY37" s="15" t="n">
        <f aca="false">(GW37-GX37)*(1-EXP(-Inputs!$B$25*Inputs!$B$14*Inputs!$B$17*Inputs!$B$26/(GQ37*Inputs!$B$16/0.866)))</f>
        <v>0.00738254050915186</v>
      </c>
      <c r="GZ37" s="15" t="n">
        <f aca="false">(GW37-GX37-GY37)*(1-Inputs!$B$19)</f>
        <v>0.00349526179916972</v>
      </c>
      <c r="HA37" s="15" t="n">
        <f aca="false">(GT37+GU37+GV37+GX37+GY37+GZ37)*(1+Inputs!$B$27)</f>
        <v>0.305356230671122</v>
      </c>
      <c r="HB37" s="15" t="n">
        <f aca="false">Inputs!$B$52/(1-HA37-G37)</f>
        <v>195388.508599247</v>
      </c>
      <c r="HC37" s="15" t="n">
        <f aca="false">HB37/Inputs!$B$34</f>
        <v>325.647514332078</v>
      </c>
      <c r="HD37" s="15" t="n">
        <f aca="false">B37^2/HC37</f>
        <v>12.9741509271634</v>
      </c>
      <c r="HE37" s="15" t="n">
        <f aca="false">Inputs!$B$54*H37/(Inputs!$B$35*F37+E37*H37^2/(PI()*HD37*Inputs!$B$36))</f>
        <v>19.8769924528428</v>
      </c>
      <c r="HF37" s="15" t="n">
        <f aca="false">EXP(-Inputs!$B$11*Inputs!$B$14*Inputs!$B$17/(Inputs!$B$51*HE37*Inputs!$B$16))</f>
        <v>0.759487029485526</v>
      </c>
      <c r="HG37" s="15" t="n">
        <f aca="false">Inputs!$B$50*Inputs!$B$18*HF37*Inputs!$B$19</f>
        <v>0.742113178420023</v>
      </c>
      <c r="HH37" s="15" t="n">
        <f aca="false">1-HG37</f>
        <v>0.257886821579977</v>
      </c>
      <c r="HI37" s="15" t="n">
        <f aca="false">Inputs!$B$20*HH37</f>
        <v>0.00773660464739931</v>
      </c>
      <c r="HJ37" s="15" t="n">
        <f aca="false">0.8*(1-Inputs!$B$50)*(HG37-HI37)</f>
        <v>0.00176882529060133</v>
      </c>
      <c r="HK37" s="15" t="n">
        <f aca="false">HG37-HI37-HJ37</f>
        <v>0.732607748482022</v>
      </c>
      <c r="HL37" s="15" t="n">
        <f aca="false">HK37*(1-Inputs!$B$18*EXP(-Inputs!$B$21*Inputs!$B$14*Inputs!$B$17/(Inputs!$B$22*Inputs!$B$23*Inputs!$B$24*HE37*Inputs!$B$16))*Inputs!$B$19)</f>
        <v>0.0261728349518791</v>
      </c>
      <c r="HM37" s="15" t="n">
        <f aca="false">(HK37-HL37)*(1-EXP(-Inputs!$B$25*Inputs!$B$14*Inputs!$B$17*Inputs!$B$26/(HE37*Inputs!$B$16/0.866)))</f>
        <v>0.0073825401939355</v>
      </c>
      <c r="HN37" s="15" t="n">
        <f aca="false">(HK37-HL37-HM37)*(1-Inputs!$B$19)</f>
        <v>0.00349526186668104</v>
      </c>
      <c r="HO37" s="15" t="n">
        <f aca="false">(HH37+HI37+HJ37+HL37+HM37+HN37)*(1+Inputs!$B$27)</f>
        <v>0.305356217196065</v>
      </c>
      <c r="HP37" s="15" t="n">
        <f aca="false">Inputs!$B$52/(1-HO37-G37)</f>
        <v>195388.492831194</v>
      </c>
      <c r="HQ37" s="15" t="n">
        <f aca="false">HP37/Inputs!$B$34</f>
        <v>325.647488051989</v>
      </c>
      <c r="HR37" s="15" t="n">
        <f aca="false">B37^2/HQ37</f>
        <v>12.9741519741908</v>
      </c>
      <c r="HS37" s="15" t="n">
        <f aca="false">Inputs!$B$54*H37/(Inputs!$B$35*F37+E37*H37^2/(PI()*HR37*Inputs!$B$36))</f>
        <v>19.8769928982336</v>
      </c>
      <c r="HT37" s="15" t="n">
        <f aca="false">EXP(-Inputs!$B$11*Inputs!$B$14*Inputs!$B$17/(Inputs!$B$51*HS37*Inputs!$B$16))</f>
        <v>0.759487034167408</v>
      </c>
      <c r="HU37" s="15" t="n">
        <f aca="false">Inputs!$B$50*Inputs!$B$18*HT37*Inputs!$B$19</f>
        <v>0.742113182994803</v>
      </c>
      <c r="HV37" s="15" t="n">
        <f aca="false">1-HU37</f>
        <v>0.257886817005197</v>
      </c>
      <c r="HW37" s="15" t="n">
        <f aca="false">Inputs!$B$20*HV37</f>
        <v>0.0077366045101559</v>
      </c>
      <c r="HX37" s="15" t="n">
        <f aca="false">0.8*(1-Inputs!$B$50)*(HU37-HW37)</f>
        <v>0.00176882530195075</v>
      </c>
      <c r="HY37" s="15" t="n">
        <f aca="false">HU37-HW37-HX37</f>
        <v>0.732607753182697</v>
      </c>
      <c r="HZ37" s="15" t="n">
        <f aca="false">HY37*(1-Inputs!$B$18*EXP(-Inputs!$B$21*Inputs!$B$14*Inputs!$B$17/(Inputs!$B$22*Inputs!$B$23*Inputs!$B$24*HS37*Inputs!$B$16))*Inputs!$B$19)</f>
        <v>0.0261728348625366</v>
      </c>
      <c r="IA37" s="15" t="n">
        <f aca="false">(HY37-HZ37)*(1-EXP(-Inputs!$B$25*Inputs!$B$14*Inputs!$B$17*Inputs!$B$26/(HS37*Inputs!$B$16/0.866)))</f>
        <v>0.00738254007943741</v>
      </c>
      <c r="IB37" s="15" t="n">
        <f aca="false">(HY37-HZ37-IA37)*(1-Inputs!$B$19)</f>
        <v>0.00349526189120362</v>
      </c>
      <c r="IC37" s="15" t="n">
        <f aca="false">(HV37+HW37+HX37+HZ37+IA37+IB37)*(1+Inputs!$B$27)</f>
        <v>0.305356212301432</v>
      </c>
      <c r="ID37" s="15" t="n">
        <f aca="false">Inputs!$B$52/(1-IC37-G37)</f>
        <v>195388.487103662</v>
      </c>
      <c r="IE37" s="15" t="n">
        <f aca="false">ID37/Inputs!$B$34</f>
        <v>325.647478506103</v>
      </c>
      <c r="IF37" s="15" t="n">
        <f aca="false">B37^2/IE37</f>
        <v>12.9741523545094</v>
      </c>
      <c r="IG37" s="15" t="n">
        <f aca="false">Inputs!$B$54*H37/(Inputs!$B$35*F37+E37*H37^2/(PI()*IF37*Inputs!$B$36))</f>
        <v>19.8769930600157</v>
      </c>
      <c r="IH37" s="15" t="n">
        <f aca="false">EXP(-Inputs!$B$11*Inputs!$B$14*Inputs!$B$17/(Inputs!$B$51*IG37*Inputs!$B$16))</f>
        <v>0.759487035868038</v>
      </c>
      <c r="II37" s="15" t="n">
        <f aca="false">Inputs!$B$50*Inputs!$B$18*IH37*Inputs!$B$19</f>
        <v>0.74211318465653</v>
      </c>
      <c r="IJ37" s="15" t="n">
        <f aca="false">1-II37</f>
        <v>0.25788681534347</v>
      </c>
      <c r="IK37" s="15" t="n">
        <f aca="false">Inputs!$B$20*IJ37</f>
        <v>0.00773660446030409</v>
      </c>
      <c r="IL37" s="15" t="n">
        <f aca="false">0.8*(1-Inputs!$B$50)*(II37-IK37)</f>
        <v>0.00176882530607327</v>
      </c>
      <c r="IM37" s="15" t="n">
        <f aca="false">II37-IK37-IL37</f>
        <v>0.732607754890153</v>
      </c>
      <c r="IN37" s="15" t="n">
        <f aca="false">IM37*(1-Inputs!$B$18*EXP(-Inputs!$B$21*Inputs!$B$14*Inputs!$B$17/(Inputs!$B$22*Inputs!$B$23*Inputs!$B$24*IG37*Inputs!$B$16))*Inputs!$B$19)</f>
        <v>0.026172834830084</v>
      </c>
      <c r="IO37" s="15" t="n">
        <f aca="false">(IM37-IN37)*(1-EXP(-Inputs!$B$25*Inputs!$B$14*Inputs!$B$17*Inputs!$B$26/(IG37*Inputs!$B$16/0.866)))</f>
        <v>0.00738254003784756</v>
      </c>
      <c r="IP37" s="15" t="n">
        <f aca="false">(IM37-IN37-IO37)*(1-Inputs!$B$19)</f>
        <v>0.00349526190011111</v>
      </c>
      <c r="IQ37" s="15" t="n">
        <f aca="false">(IJ37+IK37+IL37+IN37+IO37+IP37)*(1+Inputs!$B$27)</f>
        <v>0.305356210523524</v>
      </c>
      <c r="IR37" s="15" t="n">
        <f aca="false">Inputs!$B$52/(1-IQ37-G37)</f>
        <v>195388.485023213</v>
      </c>
      <c r="IS37" s="15" t="n">
        <f aca="false">IR37/Inputs!$B$34</f>
        <v>325.647475038689</v>
      </c>
      <c r="IT37" s="15" t="n">
        <f aca="false">B37^2/IS37</f>
        <v>12.974152492655</v>
      </c>
      <c r="IU37" s="15" t="n">
        <f aca="false">Inputs!$B$54*H37/(Inputs!$B$35*F37+E37*H37^2/(PI()*IT37*Inputs!$B$36))</f>
        <v>19.8769931187809</v>
      </c>
      <c r="IV37" s="15" t="n">
        <f aca="false">EXP(-Inputs!$B$11*Inputs!$B$14*Inputs!$B$17/(Inputs!$B$51*IU37*Inputs!$B$16))</f>
        <v>0.759487036485769</v>
      </c>
      <c r="IW37" s="15" t="n">
        <f aca="false">Inputs!$B$50*Inputs!$B$18*IV37*Inputs!$B$19</f>
        <v>0.74211318526013</v>
      </c>
      <c r="IX37" s="15" t="n">
        <f aca="false">1-IW37</f>
        <v>0.25788681473987</v>
      </c>
      <c r="IY37" s="15" t="n">
        <f aca="false">Inputs!$B$20*IX37</f>
        <v>0.0077366044421961</v>
      </c>
      <c r="IZ37" s="15" t="n">
        <f aca="false">0.8*(1-Inputs!$B$50)*(IW37-IY37)</f>
        <v>0.00176882530757072</v>
      </c>
      <c r="JA37" s="15" t="n">
        <f aca="false">IW37-IY37-IZ37</f>
        <v>0.732607755510363</v>
      </c>
      <c r="JB37" s="15" t="n">
        <f aca="false">JA37*(1-Inputs!$B$18*EXP(-Inputs!$B$21*Inputs!$B$14*Inputs!$B$17/(Inputs!$B$22*Inputs!$B$23*Inputs!$B$24*IU37*Inputs!$B$16))*Inputs!$B$19)</f>
        <v>0.0261728348182961</v>
      </c>
      <c r="JC37" s="15" t="n">
        <f aca="false">(JA37-JB37)*(1-EXP(-Inputs!$B$25*Inputs!$B$14*Inputs!$B$17*Inputs!$B$26/(IU37*Inputs!$B$16/0.866)))</f>
        <v>0.00738254002274057</v>
      </c>
      <c r="JD37" s="15" t="n">
        <f aca="false">(JA37-JB37-JC37)*(1-Inputs!$B$19)</f>
        <v>0.00349526190334664</v>
      </c>
      <c r="JE37" s="15" t="n">
        <f aca="false">(IX37+IY37+IZ37+JB37+JC37+JD37)*(1+Inputs!$B$27)</f>
        <v>0.305356209877722</v>
      </c>
      <c r="JF37" s="15" t="n">
        <f aca="false">Inputs!$B$52/(1-JE37-G37)</f>
        <v>195388.484267519</v>
      </c>
      <c r="JG37" s="15" t="n">
        <f aca="false">JF37/Inputs!$B$34</f>
        <v>325.647473779198</v>
      </c>
      <c r="JH37" s="15" t="n">
        <f aca="false">B37^2/JG37</f>
        <v>12.9741525428345</v>
      </c>
      <c r="JI37" s="15" t="n">
        <f aca="false">Inputs!$B$54*H37/(Inputs!$B$35*F37+E37*H37^2/(PI()*JH37*Inputs!$B$36))</f>
        <v>19.8769931401266</v>
      </c>
      <c r="JJ37" s="15" t="n">
        <f aca="false">EXP(-Inputs!$B$11*Inputs!$B$14*Inputs!$B$17/(Inputs!$B$51*JI37*Inputs!$B$16))</f>
        <v>0.759487036710151</v>
      </c>
      <c r="JK37" s="15" t="n">
        <f aca="false">Inputs!$B$50*Inputs!$B$18*JJ37*Inputs!$B$19</f>
        <v>0.742113185479379</v>
      </c>
      <c r="JL37" s="15" t="n">
        <f aca="false">1-JK37</f>
        <v>0.257886814520621</v>
      </c>
      <c r="JM37" s="15" t="n">
        <f aca="false">Inputs!$B$20*JL37</f>
        <v>0.00773660443561862</v>
      </c>
      <c r="JN37" s="15" t="n">
        <f aca="false">0.8*(1-Inputs!$B$50)*(JK37-JM37)</f>
        <v>0.00176882530811465</v>
      </c>
      <c r="JO37" s="15" t="n">
        <f aca="false">JK37-JM37-JN37</f>
        <v>0.732607755735646</v>
      </c>
      <c r="JP37" s="15" t="n">
        <f aca="false">JO37*(1-Inputs!$B$18*EXP(-Inputs!$B$21*Inputs!$B$14*Inputs!$B$17/(Inputs!$B$22*Inputs!$B$23*Inputs!$B$24*JI37*Inputs!$B$16))*Inputs!$B$19)</f>
        <v>0.0261728348140142</v>
      </c>
      <c r="JQ37" s="15" t="n">
        <f aca="false">(JO37-JP37)*(1-EXP(-Inputs!$B$25*Inputs!$B$14*Inputs!$B$17*Inputs!$B$26/(JI37*Inputs!$B$16/0.866)))</f>
        <v>0.00738254001725317</v>
      </c>
      <c r="JR37" s="15" t="n">
        <f aca="false">(JO37-JP37-JQ37)*(1-Inputs!$B$19)</f>
        <v>0.0034952619045219</v>
      </c>
      <c r="JS37" s="15" t="n">
        <f aca="false">(JL37+JM37+JN37+JP37+JQ37+JR37)*(1+Inputs!$B$27)</f>
        <v>0.305356209643144</v>
      </c>
      <c r="JT37" s="15" t="n">
        <f aca="false">Inputs!$B$52/(1-JS37-G37)</f>
        <v>195388.483993023</v>
      </c>
      <c r="JU37" s="15" t="n">
        <f aca="false">JT37/Inputs!$B$34</f>
        <v>325.647473321705</v>
      </c>
      <c r="JV37" s="15" t="n">
        <f aca="false">B37^2/JU37</f>
        <v>12.9741525610615</v>
      </c>
      <c r="JW37" s="15" t="n">
        <f aca="false">Inputs!$B$54*H37/(Inputs!$B$35*F37+E37*H37^2/(PI()*JV37*Inputs!$B$36))</f>
        <v>19.8769931478801</v>
      </c>
      <c r="JX37" s="15" t="n">
        <f aca="false">EXP(-Inputs!$B$11*Inputs!$B$14*Inputs!$B$17/(Inputs!$B$51*JW37*Inputs!$B$16))</f>
        <v>0.759487036791655</v>
      </c>
      <c r="JY37" s="15" t="n">
        <f aca="false">Inputs!$B$50*Inputs!$B$18*JX37*Inputs!$B$19</f>
        <v>0.742113185559019</v>
      </c>
      <c r="JZ37" s="15" t="n">
        <f aca="false">1-JY37</f>
        <v>0.257886814440981</v>
      </c>
      <c r="KA37" s="15" t="n">
        <f aca="false">Inputs!$B$20*JZ37</f>
        <v>0.00773660443322944</v>
      </c>
      <c r="KB37" s="15" t="n">
        <f aca="false">0.8*(1-Inputs!$B$50)*(JY37-KA37)</f>
        <v>0.00176882530831223</v>
      </c>
      <c r="KC37" s="15" t="n">
        <f aca="false">JY37-KA37-KB37</f>
        <v>0.732607755817477</v>
      </c>
      <c r="KD37" s="15" t="n">
        <f aca="false">KC37*(1-Inputs!$B$18*EXP(-Inputs!$B$21*Inputs!$B$14*Inputs!$B$17/(Inputs!$B$22*Inputs!$B$23*Inputs!$B$24*JW37*Inputs!$B$16))*Inputs!$B$19)</f>
        <v>0.026172834812459</v>
      </c>
      <c r="KE37" s="15" t="n">
        <f aca="false">(KC37-KD37)*(1-EXP(-Inputs!$B$25*Inputs!$B$14*Inputs!$B$17*Inputs!$B$26/(JW37*Inputs!$B$16/0.866)))</f>
        <v>0.00738254001525993</v>
      </c>
      <c r="KF37" s="15" t="n">
        <f aca="false">(KC37-KD37-KE37)*(1-Inputs!$B$19)</f>
        <v>0.00349526190494879</v>
      </c>
      <c r="KG37" s="15" t="n">
        <f aca="false">(JZ37+KA37+KB37+KD37+KE37+KF37)*(1+Inputs!$B$27)</f>
        <v>0.305356209557936</v>
      </c>
      <c r="KH37" s="15" t="n">
        <f aca="false">Inputs!$B$52/(1-KG37-G37)</f>
        <v>195388.483893316</v>
      </c>
      <c r="KI37" s="15" t="n">
        <f aca="false">KH37/Inputs!$B$34</f>
        <v>325.647473155527</v>
      </c>
      <c r="KJ37" s="15" t="n">
        <f aca="false">B37^2/KI37</f>
        <v>12.9741525676822</v>
      </c>
      <c r="KK37" s="15" t="n">
        <f aca="false">Inputs!$B$54*H37/(Inputs!$B$35*F37+E37*H37^2/(PI()*KJ37*Inputs!$B$36))</f>
        <v>19.8769931506964</v>
      </c>
      <c r="KL37" s="15" t="n">
        <f aca="false">EXP(-Inputs!$B$11*Inputs!$B$14*Inputs!$B$17/(Inputs!$B$51*KK37*Inputs!$B$16))</f>
        <v>0.75948703682126</v>
      </c>
      <c r="KM37" s="15" t="n">
        <f aca="false">Inputs!$B$50*Inputs!$B$18*KL37*Inputs!$B$19</f>
        <v>0.742113185587947</v>
      </c>
      <c r="KN37" s="15" t="n">
        <f aca="false">1-KM37</f>
        <v>0.257886814412053</v>
      </c>
      <c r="KO37" s="15" t="n">
        <f aca="false">Inputs!$B$20*KN37</f>
        <v>0.0077366044323616</v>
      </c>
      <c r="KP37" s="15" t="n">
        <f aca="false">0.8*(1-Inputs!$B$50)*(KM37-KO37)</f>
        <v>0.00176882530838399</v>
      </c>
      <c r="KQ37" s="15" t="n">
        <f aca="false">KM37-KO37-KP37</f>
        <v>0.732607755847201</v>
      </c>
      <c r="KR37" s="15" t="n">
        <f aca="false">KQ37*(1-Inputs!$B$18*EXP(-Inputs!$B$21*Inputs!$B$14*Inputs!$B$17/(Inputs!$B$22*Inputs!$B$23*Inputs!$B$24*KK37*Inputs!$B$16))*Inputs!$B$19)</f>
        <v>0.026172834811894</v>
      </c>
      <c r="KS37" s="15" t="n">
        <f aca="false">(KQ37-KR37)*(1-EXP(-Inputs!$B$25*Inputs!$B$14*Inputs!$B$17*Inputs!$B$26/(KK37*Inputs!$B$16/0.866)))</f>
        <v>0.00738254001453594</v>
      </c>
      <c r="KT37" s="15" t="n">
        <f aca="false">(KQ37-KR37-KS37)*(1-Inputs!$B$19)</f>
        <v>0.00349526190510386</v>
      </c>
      <c r="KU37" s="15" t="n">
        <f aca="false">(KN37+KO37+KP37+KR37+KS37+KT37)*(1+Inputs!$B$27)</f>
        <v>0.305356209526986</v>
      </c>
      <c r="KV37" s="15" t="n">
        <f aca="false">Inputs!$B$52/(1-KU37-G37)</f>
        <v>195388.483857099</v>
      </c>
      <c r="KW37" s="15" t="n">
        <f aca="false">KV37/Inputs!$B$34</f>
        <v>325.647473095165</v>
      </c>
      <c r="KX37" s="15" t="n">
        <f aca="false">B37^2/KW37</f>
        <v>12.9741525700871</v>
      </c>
      <c r="KY37" s="15" t="n">
        <f aca="false">Inputs!$B$54*H37/(Inputs!$B$35*F37+E37*H37^2/(PI()*KX37*Inputs!$B$36))</f>
        <v>19.8769931517195</v>
      </c>
      <c r="KZ37" s="15" t="n">
        <f aca="false">EXP(-Inputs!$B$11*Inputs!$B$14*Inputs!$B$17/(Inputs!$B$51*KY37*Inputs!$B$16))</f>
        <v>0.759487036832014</v>
      </c>
      <c r="LA37" s="15" t="n">
        <f aca="false">Inputs!$B$50*Inputs!$B$18*KZ37*Inputs!$B$19</f>
        <v>0.742113185598454</v>
      </c>
      <c r="LB37" s="15" t="n">
        <f aca="false">1-LA37</f>
        <v>0.257886814401546</v>
      </c>
      <c r="LC37" s="15" t="n">
        <f aca="false">Inputs!$B$20*LB37</f>
        <v>0.00773660443204637</v>
      </c>
      <c r="LD37" s="15" t="n">
        <f aca="false">0.8*(1-Inputs!$B$50)*(LA37-LC37)</f>
        <v>0.00176882530841006</v>
      </c>
      <c r="LE37" s="15" t="n">
        <f aca="false">LA37-LC37-LD37</f>
        <v>0.732607755857998</v>
      </c>
      <c r="LF37" s="15" t="n">
        <f aca="false">LE37*(1-Inputs!$B$18*EXP(-Inputs!$B$21*Inputs!$B$14*Inputs!$B$17/(Inputs!$B$22*Inputs!$B$23*Inputs!$B$24*KY37*Inputs!$B$16))*Inputs!$B$19)</f>
        <v>0.0261728348116887</v>
      </c>
      <c r="LG37" s="15" t="n">
        <f aca="false">(LE37-LF37)*(1-EXP(-Inputs!$B$25*Inputs!$B$14*Inputs!$B$17*Inputs!$B$26/(KY37*Inputs!$B$16/0.866)))</f>
        <v>0.00738254001427296</v>
      </c>
      <c r="LH37" s="15" t="n">
        <f aca="false">(LE37-LF37-LG37)*(1-Inputs!$B$19)</f>
        <v>0.00349526190516018</v>
      </c>
      <c r="LI37" s="15" t="n">
        <f aca="false">(LB37+LC37+LD37+LF37+LG37+LH37)*(1+Inputs!$B$27)</f>
        <v>0.305356209515743</v>
      </c>
      <c r="LJ37" s="15" t="n">
        <f aca="false">Inputs!$B$52/(1-LI37-G37)</f>
        <v>195388.483843944</v>
      </c>
      <c r="LK37" s="15" t="n">
        <f aca="false">LJ37/Inputs!$B$34</f>
        <v>325.647473073239</v>
      </c>
      <c r="LL37" s="15" t="n">
        <f aca="false">B37^2/LK37</f>
        <v>12.9741525709606</v>
      </c>
      <c r="LM37" s="15" t="n">
        <f aca="false">Inputs!$B$54*H37/(Inputs!$B$35*F37+E37*H37^2/(PI()*LL37*Inputs!$B$36))</f>
        <v>19.876993152091</v>
      </c>
      <c r="LN37" s="15" t="n">
        <f aca="false">EXP(-Inputs!$B$11*Inputs!$B$14*Inputs!$B$17/(Inputs!$B$51*LM37*Inputs!$B$16))</f>
        <v>0.75948703683592</v>
      </c>
      <c r="LO37" s="15" t="n">
        <f aca="false">Inputs!$B$50*Inputs!$B$18*LN37*Inputs!$B$19</f>
        <v>0.742113185602271</v>
      </c>
      <c r="LP37" s="15" t="n">
        <f aca="false">1-LO37</f>
        <v>0.257886814397729</v>
      </c>
      <c r="LQ37" s="15" t="n">
        <f aca="false">Inputs!$B$20*LP37</f>
        <v>0.00773660443193187</v>
      </c>
      <c r="LR37" s="15" t="n">
        <f aca="false">0.8*(1-Inputs!$B$50)*(LO37-LQ37)</f>
        <v>0.00176882530841953</v>
      </c>
      <c r="LS37" s="15" t="n">
        <f aca="false">LO37-LQ37-LR37</f>
        <v>0.73260775586192</v>
      </c>
      <c r="LT37" s="15" t="n">
        <f aca="false">LS37*(1-Inputs!$B$18*EXP(-Inputs!$B$21*Inputs!$B$14*Inputs!$B$17/(Inputs!$B$22*Inputs!$B$23*Inputs!$B$24*LM37*Inputs!$B$16))*Inputs!$B$19)</f>
        <v>0.0261728348116143</v>
      </c>
      <c r="LU37" s="15" t="n">
        <f aca="false">(LS37-LT37)*(1-EXP(-Inputs!$B$25*Inputs!$B$14*Inputs!$B$17*Inputs!$B$26/(LM37*Inputs!$B$16/0.866)))</f>
        <v>0.00738254001417747</v>
      </c>
      <c r="LV37" s="15" t="n">
        <f aca="false">(LS37-LT37-LU37)*(1-Inputs!$B$19)</f>
        <v>0.00349526190518064</v>
      </c>
      <c r="LW37" s="15" t="n">
        <f aca="false">(LP37+LQ37+LR37+LT37+LU37+LV37)*(1+Inputs!$B$27)</f>
        <v>0.30535620951166</v>
      </c>
      <c r="LX37" s="15" t="n">
        <f aca="false">Inputs!$B$52/(1-LW37-G37)</f>
        <v>195388.483839165</v>
      </c>
      <c r="LY37" s="15" t="n">
        <f aca="false">LX37/Inputs!$B$34</f>
        <v>325.647473065275</v>
      </c>
      <c r="LZ37" s="15" t="n">
        <f aca="false">B37^2/LY37</f>
        <v>12.9741525712779</v>
      </c>
      <c r="MA37" s="15" t="n">
        <f aca="false">Inputs!$B$54*H37/(Inputs!$B$35*F37+E37*H37^2/(PI()*LZ37*Inputs!$B$36))</f>
        <v>19.876993152226</v>
      </c>
      <c r="MB37" s="15" t="n">
        <f aca="false">EXP(-Inputs!$B$11*Inputs!$B$14*Inputs!$B$17/(Inputs!$B$51*MA37*Inputs!$B$16))</f>
        <v>0.759487036837339</v>
      </c>
      <c r="MC37" s="15" t="n">
        <f aca="false">Inputs!$B$50*Inputs!$B$18*MB37*Inputs!$B$19</f>
        <v>0.742113185603658</v>
      </c>
      <c r="MD37" s="15" t="n">
        <f aca="false">1-MC37</f>
        <v>0.257886814396342</v>
      </c>
      <c r="ME37" s="15" t="n">
        <f aca="false">Inputs!$B$20*MD37</f>
        <v>0.00773660443189027</v>
      </c>
      <c r="MF37" s="15" t="n">
        <f aca="false">0.8*(1-Inputs!$B$50)*(MC37-ME37)</f>
        <v>0.00176882530842297</v>
      </c>
      <c r="MG37" s="15" t="n">
        <f aca="false">MC37-ME37-MF37</f>
        <v>0.732607755863344</v>
      </c>
      <c r="MH37" s="15" t="n">
        <f aca="false">MG37*(1-Inputs!$B$18*EXP(-Inputs!$B$21*Inputs!$B$14*Inputs!$B$17/(Inputs!$B$22*Inputs!$B$23*Inputs!$B$24*MA37*Inputs!$B$16))*Inputs!$B$19)</f>
        <v>0.0261728348115872</v>
      </c>
      <c r="MI37" s="15" t="n">
        <f aca="false">(MG37-MH37)*(1-EXP(-Inputs!$B$25*Inputs!$B$14*Inputs!$B$17*Inputs!$B$26/(MA37*Inputs!$B$16/0.866)))</f>
        <v>0.00738254001414276</v>
      </c>
      <c r="MJ37" s="15" t="n">
        <f aca="false">(MG37-MH37-MI37)*(1-Inputs!$B$19)</f>
        <v>0.00349526190518808</v>
      </c>
      <c r="MK37" s="15" t="n">
        <f aca="false">(MD37+ME37+MF37+MH37+MI37+MJ37)*(1+Inputs!$B$27)</f>
        <v>0.305356209510176</v>
      </c>
      <c r="ML37" s="15" t="n">
        <f aca="false">Inputs!$B$52/(1-MK37-G37)</f>
        <v>195388.483837429</v>
      </c>
      <c r="MM37" s="15" t="n">
        <f aca="false">ML37/Inputs!$B$34</f>
        <v>325.647473062382</v>
      </c>
      <c r="MN37" s="15" t="n">
        <f aca="false">B37^2/MM37</f>
        <v>12.9741525713932</v>
      </c>
      <c r="MO37" s="15" t="n">
        <f aca="false">Inputs!$B$54*H37/(Inputs!$B$35*F37+E37*H37^2/(PI()*MN37*Inputs!$B$36))</f>
        <v>19.8769931522751</v>
      </c>
      <c r="MP37" s="15" t="n">
        <f aca="false">EXP(-Inputs!$B$11*Inputs!$B$14*Inputs!$B$17/(Inputs!$B$51*MO37*Inputs!$B$16))</f>
        <v>0.759487036837854</v>
      </c>
      <c r="MQ37" s="15" t="n">
        <f aca="false">Inputs!$B$50*Inputs!$B$18*MP37*Inputs!$B$19</f>
        <v>0.742113185604161</v>
      </c>
      <c r="MR37" s="15" t="n">
        <f aca="false">1-MQ37</f>
        <v>0.257886814395839</v>
      </c>
      <c r="MS37" s="15" t="n">
        <f aca="false">Inputs!$B$20*MR37</f>
        <v>0.00773660443187516</v>
      </c>
      <c r="MT37" s="15" t="n">
        <f aca="false">0.8*(1-Inputs!$B$50)*(MQ37-MS37)</f>
        <v>0.00176882530842422</v>
      </c>
      <c r="MU37" s="15" t="n">
        <f aca="false">MQ37-MS37-MT37</f>
        <v>0.732607755863862</v>
      </c>
      <c r="MV37" s="15" t="n">
        <f aca="false">MU37*(1-Inputs!$B$18*EXP(-Inputs!$B$21*Inputs!$B$14*Inputs!$B$17/(Inputs!$B$22*Inputs!$B$23*Inputs!$B$24*MO37*Inputs!$B$16))*Inputs!$B$19)</f>
        <v>0.0261728348115774</v>
      </c>
      <c r="MW37" s="15" t="n">
        <f aca="false">(MU37-MV37)*(1-EXP(-Inputs!$B$25*Inputs!$B$14*Inputs!$B$17*Inputs!$B$26/(MO37*Inputs!$B$16/0.866)))</f>
        <v>0.00738254001413015</v>
      </c>
      <c r="MX37" s="15" t="n">
        <f aca="false">(MU37-MV37-MW37)*(1-Inputs!$B$19)</f>
        <v>0.00349526190519077</v>
      </c>
      <c r="MY37" s="15" t="n">
        <f aca="false">(MR37+MS37+MT37+MV37+MW37+MX37)*(1+Inputs!$B$27)</f>
        <v>0.305356209509638</v>
      </c>
      <c r="MZ37" s="15" t="n">
        <f aca="false">Inputs!$B$52/(1-MY37-G37)</f>
        <v>195388.483836799</v>
      </c>
      <c r="NA37" s="15" t="n">
        <f aca="false">MZ37/Inputs!$B$34</f>
        <v>325.647473061331</v>
      </c>
      <c r="NB37" s="15" t="n">
        <f aca="false">B37^2/NA37</f>
        <v>12.9741525714351</v>
      </c>
      <c r="NC37" s="15" t="n">
        <f aca="false">Inputs!$B$54*H37/(Inputs!$B$35*F37+E37*H37^2/(PI()*NB37*Inputs!$B$36))</f>
        <v>19.8769931522929</v>
      </c>
      <c r="ND37" s="15" t="n">
        <f aca="false">EXP(-Inputs!$B$11*Inputs!$B$14*Inputs!$B$17/(Inputs!$B$51*NC37*Inputs!$B$16))</f>
        <v>0.759487036838041</v>
      </c>
      <c r="NE37" s="15" t="n">
        <f aca="false">Inputs!$B$50*Inputs!$B$18*ND37*Inputs!$B$19</f>
        <v>0.742113185604344</v>
      </c>
      <c r="NF37" s="15" t="n">
        <f aca="false">1-NE37</f>
        <v>0.257886814395656</v>
      </c>
      <c r="NG37" s="15" t="n">
        <f aca="false">Inputs!$B$20*NF37</f>
        <v>0.00773660443186968</v>
      </c>
      <c r="NH37" s="15" t="n">
        <f aca="false">0.8*(1-Inputs!$B$50)*(NE37-NG37)</f>
        <v>0.00176882530842467</v>
      </c>
      <c r="NI37" s="15" t="n">
        <f aca="false">NE37-NG37-NH37</f>
        <v>0.73260775586405</v>
      </c>
      <c r="NJ37" s="15" t="n">
        <f aca="false">NI37*(1-Inputs!$B$18*EXP(-Inputs!$B$21*Inputs!$B$14*Inputs!$B$17/(Inputs!$B$22*Inputs!$B$23*Inputs!$B$24*NC37*Inputs!$B$16))*Inputs!$B$19)</f>
        <v>0.0261728348115737</v>
      </c>
      <c r="NK37" s="15" t="n">
        <f aca="false">(NI37-NJ37)*(1-EXP(-Inputs!$B$25*Inputs!$B$14*Inputs!$B$17*Inputs!$B$26/(NC37*Inputs!$B$16/0.866)))</f>
        <v>0.00738254001412556</v>
      </c>
      <c r="NL37" s="15" t="n">
        <f aca="false">(NI37-NJ37-NK37)*(1-Inputs!$B$19)</f>
        <v>0.00349526190519176</v>
      </c>
      <c r="NM37" s="15" t="n">
        <f aca="false">(NF37+NG37+NH37+NJ37+NK37+NL37)*(1+Inputs!$B$27)</f>
        <v>0.305356209509442</v>
      </c>
      <c r="NN37" s="15" t="n">
        <f aca="false">Inputs!$B$52/(1-NM37-G37)</f>
        <v>195388.48383657</v>
      </c>
    </row>
    <row r="38" customFormat="false" ht="15" hidden="false" customHeight="false" outlineLevel="0" collapsed="false">
      <c r="A38" s="21" t="s">
        <v>501</v>
      </c>
      <c r="B38" s="21" t="n">
        <v>65</v>
      </c>
      <c r="C38" s="22" t="n">
        <v>0.1</v>
      </c>
      <c r="D38" s="23" t="n">
        <f aca="false">B38*C38</f>
        <v>6.5</v>
      </c>
      <c r="E38" s="24" t="n">
        <f aca="false">IF(C38=0,1,(1+0.45*C38)/(1.04+2.81*C38))</f>
        <v>0.791067373202119</v>
      </c>
      <c r="F38" s="24" t="n">
        <f aca="false">1+Inputs!$B$42*D38</f>
        <v>1.0325</v>
      </c>
      <c r="G38" s="25" t="n">
        <f aca="false">Inputs!$B$31+Inputs!$B$43*(B38/Inputs!$B$32-1)+Inputs!$B$44+Inputs!$B$45*D38</f>
        <v>0.52961875</v>
      </c>
      <c r="H38" s="22" t="n">
        <f aca="false">Inputs!$B$38</f>
        <v>0.5</v>
      </c>
      <c r="I38" s="23" t="n">
        <f aca="false">Inputs!$B$40</f>
        <v>2.4</v>
      </c>
      <c r="J38" s="26" t="n">
        <f aca="false">NN38/Inputs!$B$34</f>
        <v>323.360640491658</v>
      </c>
      <c r="K38" s="23" t="n">
        <f aca="false">B38^2/J38</f>
        <v>13.0659068264339</v>
      </c>
      <c r="L38" s="23" t="n">
        <f aca="false">2*K38</f>
        <v>26.1318136528678</v>
      </c>
      <c r="M38" s="22" t="n">
        <f aca="false">NC38</f>
        <v>20.1653964168494</v>
      </c>
      <c r="N38" s="23" t="n">
        <f aca="false">B38/SQRT(E38)</f>
        <v>73.081359917999</v>
      </c>
      <c r="O38" s="24" t="n">
        <f aca="false">NM38</f>
        <v>0.30222534853554</v>
      </c>
      <c r="P38" s="23" t="n">
        <f aca="false">NN38/1000</f>
        <v>194.016384294995</v>
      </c>
      <c r="Q38" s="23" t="n">
        <f aca="false">G38*NN38/1000</f>
        <v>102.754714929835</v>
      </c>
      <c r="R38" s="23" t="n">
        <f aca="false">NM38*NN38/1000</f>
        <v>58.6366693651601</v>
      </c>
      <c r="S38" s="23" t="n">
        <f aca="false">NM38*NN38/Inputs!$B$28/1000</f>
        <v>78.1822258202135</v>
      </c>
      <c r="T38" s="27" t="n">
        <f aca="false">R38/Sweep!$R$5-1</f>
        <v>-0.0617625732292024</v>
      </c>
      <c r="U38" s="27" t="n">
        <f aca="false">R38/SUMIFS(Sweep!$R:$R,Sweep!$A:$A,"Conventional",Sweep!$B:$B,B38)-1</f>
        <v>-0.0491540408452905</v>
      </c>
      <c r="V38" s="26" t="n">
        <f aca="false">2*0.54*(J38/2)^1.5/SQRT(L38)*Inputs!$B$46*Inputs!$B$47</f>
        <v>40.6103124756167</v>
      </c>
      <c r="W38" s="28" t="n">
        <f aca="false">MIN(1,V38/S38)</f>
        <v>0.519431521033994</v>
      </c>
      <c r="X38" s="26" t="n">
        <f aca="false">1.23*SQRT(2*Inputs!$B$41*NN38*Inputs!$B$49/(1.225*J38*I38))/0.5144</f>
        <v>133.62967568068</v>
      </c>
      <c r="Y38" s="29" t="n">
        <f aca="false">(11000+6341.6*LN(0.36392/(2*Inputs!$B$50*Inputs!$B$18*(1+ND38)/2*Inputs!$B$34*Inputs!$B$49/((Inputs!$B$12*295.07)^2*H38))))/0.3048</f>
        <v>38512.9739988209</v>
      </c>
      <c r="Z38" s="26" t="n">
        <f aca="false">NN38-MZ38</f>
        <v>-2.89292074739933E-008</v>
      </c>
      <c r="AA38" s="30" t="str">
        <f aca="false">IF(ABS(NN38-MZ38)&lt;10,"Yes","No")</f>
        <v>Yes</v>
      </c>
      <c r="AC38" s="15" t="n">
        <f aca="false">Inputs!$B$52/(1-0.3154-G38)/Inputs!$B$34</f>
        <v>350.848893011251</v>
      </c>
      <c r="AD38" s="15" t="n">
        <f aca="false">B38^2/AC38</f>
        <v>12.0422212643678</v>
      </c>
      <c r="AE38" s="15" t="n">
        <f aca="false">Inputs!$B$54*H38/(Inputs!$B$35*F38+E38*H38^2/(PI()*AD38*Inputs!$B$36))</f>
        <v>19.7367891390582</v>
      </c>
      <c r="AF38" s="15" t="n">
        <f aca="false">EXP(-Inputs!$B$11*Inputs!$B$14*Inputs!$B$17/(Inputs!$B$51*AE38*Inputs!$B$16))</f>
        <v>0.758004212931479</v>
      </c>
      <c r="AG38" s="15" t="n">
        <f aca="false">Inputs!$B$50*Inputs!$B$18*AF38*Inputs!$B$19</f>
        <v>0.740664282437319</v>
      </c>
      <c r="AH38" s="15" t="n">
        <f aca="false">1-AG38</f>
        <v>0.259335717562681</v>
      </c>
      <c r="AI38" s="15" t="n">
        <f aca="false">Inputs!$B$20*AH38</f>
        <v>0.00778007152688043</v>
      </c>
      <c r="AJ38" s="15" t="n">
        <f aca="false">0.8*(1-Inputs!$B$50)*(AG38-AI38)</f>
        <v>0.00176523077347257</v>
      </c>
      <c r="AK38" s="15" t="n">
        <f aca="false">AG38-AI38-AJ38</f>
        <v>0.731118980136966</v>
      </c>
      <c r="AL38" s="15" t="n">
        <f aca="false">AK38*(1-Inputs!$B$18*EXP(-Inputs!$B$21*Inputs!$B$14*Inputs!$B$17/(Inputs!$B$22*Inputs!$B$23*Inputs!$B$24*AE38*Inputs!$B$16))*Inputs!$B$19)</f>
        <v>0.0262010401979857</v>
      </c>
      <c r="AM38" s="15" t="n">
        <f aca="false">(AK38-AL38)*(1-EXP(-Inputs!$B$25*Inputs!$B$14*Inputs!$B$17*Inputs!$B$26/(AE38*Inputs!$B$16/0.866)))</f>
        <v>0.00741874124274061</v>
      </c>
      <c r="AN38" s="15" t="n">
        <f aca="false">(AK38-AL38-AM38)*(1-Inputs!$B$19)</f>
        <v>0.0034874959934812</v>
      </c>
      <c r="AO38" s="15" t="n">
        <f aca="false">(AH38+AI38+AJ38+AL38+AM38+AN38)*(1+Inputs!$B$27)</f>
        <v>0.306906262189133</v>
      </c>
      <c r="AP38" s="15" t="n">
        <f aca="false">Inputs!$B$52/(1-AO38-G38)</f>
        <v>199571.814850022</v>
      </c>
      <c r="AQ38" s="15" t="n">
        <f aca="false">AP38/Inputs!$B$34</f>
        <v>332.619691416704</v>
      </c>
      <c r="AR38" s="15" t="n">
        <f aca="false">B38^2/AQ38</f>
        <v>12.7021944551892</v>
      </c>
      <c r="AS38" s="15" t="n">
        <f aca="false">Inputs!$B$54*H38/(Inputs!$B$35*F38+E38*H38^2/(PI()*AR38*Inputs!$B$36))</f>
        <v>20.0189617409446</v>
      </c>
      <c r="AT38" s="15" t="n">
        <f aca="false">EXP(-Inputs!$B$11*Inputs!$B$14*Inputs!$B$17/(Inputs!$B$51*AS38*Inputs!$B$16))</f>
        <v>0.760970252766548</v>
      </c>
      <c r="AU38" s="15" t="n">
        <f aca="false">Inputs!$B$50*Inputs!$B$18*AT38*Inputs!$B$19</f>
        <v>0.74356247182551</v>
      </c>
      <c r="AV38" s="15" t="n">
        <f aca="false">1-AU38</f>
        <v>0.25643752817449</v>
      </c>
      <c r="AW38" s="15" t="n">
        <f aca="false">Inputs!$B$20*AV38</f>
        <v>0.00769312584523471</v>
      </c>
      <c r="AX38" s="15" t="n">
        <f aca="false">0.8*(1-Inputs!$B$50)*(AU38-AW38)</f>
        <v>0.00177242079368286</v>
      </c>
      <c r="AY38" s="15" t="n">
        <f aca="false">AU38-AW38-AX38</f>
        <v>0.734096925186592</v>
      </c>
      <c r="AZ38" s="15" t="n">
        <f aca="false">AY38*(1-Inputs!$B$18*EXP(-Inputs!$B$21*Inputs!$B$14*Inputs!$B$17/(Inputs!$B$22*Inputs!$B$23*Inputs!$B$24*AS38*Inputs!$B$16))*Inputs!$B$19)</f>
        <v>0.0261444404110911</v>
      </c>
      <c r="BA38" s="15" t="n">
        <f aca="false">(AY38-AZ38)*(1-EXP(-Inputs!$B$25*Inputs!$B$14*Inputs!$B$17*Inputs!$B$26/(AS38*Inputs!$B$16/0.866)))</f>
        <v>0.00734620508615941</v>
      </c>
      <c r="BB38" s="15" t="n">
        <f aca="false">(AY38-AZ38-BA38)*(1-Inputs!$B$19)</f>
        <v>0.00350303139844671</v>
      </c>
      <c r="BC38" s="15" t="n">
        <f aca="false">(AV38+AW38+AX38+AZ38+BA38+BB38)*(1+Inputs!$B$27)</f>
        <v>0.303805441964232</v>
      </c>
      <c r="BD38" s="15" t="n">
        <f aca="false">Inputs!$B$52/(1-BC38-G38)</f>
        <v>195856.771668757</v>
      </c>
      <c r="BE38" s="15" t="n">
        <f aca="false">BD38/Inputs!$B$34</f>
        <v>326.427952781261</v>
      </c>
      <c r="BF38" s="15" t="n">
        <f aca="false">B38^2/BE38</f>
        <v>12.9431317508252</v>
      </c>
      <c r="BG38" s="15" t="n">
        <f aca="false">Inputs!$B$54*H38/(Inputs!$B$35*F38+E38*H38^2/(PI()*BF38*Inputs!$B$36))</f>
        <v>20.1166492313518</v>
      </c>
      <c r="BH38" s="15" t="n">
        <f aca="false">EXP(-Inputs!$B$11*Inputs!$B$14*Inputs!$B$17/(Inputs!$B$51*BG38*Inputs!$B$16))</f>
        <v>0.761980337427262</v>
      </c>
      <c r="BI38" s="15" t="n">
        <f aca="false">Inputs!$B$50*Inputs!$B$18*BH38*Inputs!$B$19</f>
        <v>0.744549450021232</v>
      </c>
      <c r="BJ38" s="15" t="n">
        <f aca="false">1-BI38</f>
        <v>0.255450549978768</v>
      </c>
      <c r="BK38" s="15" t="n">
        <f aca="false">Inputs!$B$20*BJ38</f>
        <v>0.00766351649936305</v>
      </c>
      <c r="BL38" s="15" t="n">
        <f aca="false">0.8*(1-Inputs!$B$50)*(BI38-BK38)</f>
        <v>0.00177486935456824</v>
      </c>
      <c r="BM38" s="15" t="n">
        <f aca="false">BI38-BK38-BL38</f>
        <v>0.7351110641673</v>
      </c>
      <c r="BN38" s="15" t="n">
        <f aca="false">BM38*(1-Inputs!$B$18*EXP(-Inputs!$B$21*Inputs!$B$14*Inputs!$B$17/(Inputs!$B$22*Inputs!$B$23*Inputs!$B$24*BG38*Inputs!$B$16))*Inputs!$B$19)</f>
        <v>0.0261249997854029</v>
      </c>
      <c r="BO38" s="15" t="n">
        <f aca="false">(BM38-BN38)*(1-EXP(-Inputs!$B$25*Inputs!$B$14*Inputs!$B$17*Inputs!$B$26/(BG38*Inputs!$B$16/0.866)))</f>
        <v>0.00732138969086545</v>
      </c>
      <c r="BP38" s="15" t="n">
        <f aca="false">(BM38-BN38-BO38)*(1-Inputs!$B$19)</f>
        <v>0.00350832337345516</v>
      </c>
      <c r="BQ38" s="15" t="n">
        <f aca="false">(BJ38+BK38+BL38+BN38+BO38+BP38)*(1+Inputs!$B$27)</f>
        <v>0.30274917962847</v>
      </c>
      <c r="BR38" s="15" t="n">
        <f aca="false">Inputs!$B$52/(1-BQ38-G38)</f>
        <v>194622.663358461</v>
      </c>
      <c r="BS38" s="15" t="n">
        <f aca="false">BR38/Inputs!$B$34</f>
        <v>324.371105597435</v>
      </c>
      <c r="BT38" s="15" t="n">
        <f aca="false">B38^2/BS38</f>
        <v>13.0252045484085</v>
      </c>
      <c r="BU38" s="15" t="n">
        <f aca="false">Inputs!$B$54*H38/(Inputs!$B$35*F38+E38*H38^2/(PI()*BT38*Inputs!$B$36))</f>
        <v>20.1493115510896</v>
      </c>
      <c r="BV38" s="15" t="n">
        <f aca="false">EXP(-Inputs!$B$11*Inputs!$B$14*Inputs!$B$17/(Inputs!$B$51*BU38*Inputs!$B$16))</f>
        <v>0.7623161762401</v>
      </c>
      <c r="BW38" s="15" t="n">
        <f aca="false">Inputs!$B$50*Inputs!$B$18*BV38*Inputs!$B$19</f>
        <v>0.744877606262426</v>
      </c>
      <c r="BX38" s="15" t="n">
        <f aca="false">1-BW38</f>
        <v>0.255122393737574</v>
      </c>
      <c r="BY38" s="15" t="n">
        <f aca="false">Inputs!$B$20*BX38</f>
        <v>0.00765367181212722</v>
      </c>
      <c r="BZ38" s="15" t="n">
        <f aca="false">0.8*(1-Inputs!$B$50)*(BW38-BY38)</f>
        <v>0.00177568346630847</v>
      </c>
      <c r="CA38" s="15" t="n">
        <f aca="false">BW38-BY38-BZ38</f>
        <v>0.73544825098399</v>
      </c>
      <c r="CB38" s="15" t="n">
        <f aca="false">CA38*(1-Inputs!$B$18*EXP(-Inputs!$B$21*Inputs!$B$14*Inputs!$B$17/(Inputs!$B$22*Inputs!$B$23*Inputs!$B$24*BU38*Inputs!$B$16))*Inputs!$B$19)</f>
        <v>0.0261185174529493</v>
      </c>
      <c r="CC38" s="15" t="n">
        <f aca="false">(CA38-CB38)*(1-EXP(-Inputs!$B$25*Inputs!$B$14*Inputs!$B$17*Inputs!$B$26/(BU38*Inputs!$B$16/0.866)))</f>
        <v>0.00731312620351375</v>
      </c>
      <c r="CD38" s="15" t="n">
        <f aca="false">(CA38-CB38-CC38)*(1-Inputs!$B$19)</f>
        <v>0.00351008303663764</v>
      </c>
      <c r="CE38" s="15" t="n">
        <f aca="false">(BX38+BY38+BZ38+CB38+CC38+CD38)*(1+Inputs!$B$27)</f>
        <v>0.302397956136238</v>
      </c>
      <c r="CF38" s="15" t="n">
        <f aca="false">Inputs!$B$52/(1-CE38-G38)</f>
        <v>194215.741634757</v>
      </c>
      <c r="CG38" s="15" t="n">
        <f aca="false">CF38/Inputs!$B$34</f>
        <v>323.692902724596</v>
      </c>
      <c r="CH38" s="15" t="n">
        <f aca="false">B38^2/CG38</f>
        <v>13.0524950174602</v>
      </c>
      <c r="CI38" s="15" t="n">
        <f aca="false">Inputs!$B$54*H38/(Inputs!$B$35*F38+E38*H38^2/(PI()*CH38*Inputs!$B$36))</f>
        <v>20.160104540752</v>
      </c>
      <c r="CJ38" s="15" t="n">
        <f aca="false">EXP(-Inputs!$B$11*Inputs!$B$14*Inputs!$B$17/(Inputs!$B$51*CI38*Inputs!$B$16))</f>
        <v>0.76242694459795</v>
      </c>
      <c r="CK38" s="15" t="n">
        <f aca="false">Inputs!$B$50*Inputs!$B$18*CJ38*Inputs!$B$19</f>
        <v>0.744985840708731</v>
      </c>
      <c r="CL38" s="15" t="n">
        <f aca="false">1-CK38</f>
        <v>0.255014159291269</v>
      </c>
      <c r="CM38" s="15" t="n">
        <f aca="false">Inputs!$B$20*CL38</f>
        <v>0.00765042477873807</v>
      </c>
      <c r="CN38" s="15" t="n">
        <f aca="false">0.8*(1-Inputs!$B$50)*(CK38-CM38)</f>
        <v>0.00177595198149231</v>
      </c>
      <c r="CO38" s="15" t="n">
        <f aca="false">CK38-CM38-CN38</f>
        <v>0.735559463948501</v>
      </c>
      <c r="CP38" s="15" t="n">
        <f aca="false">CO38*(1-Inputs!$B$18*EXP(-Inputs!$B$21*Inputs!$B$14*Inputs!$B$17/(Inputs!$B$22*Inputs!$B$23*Inputs!$B$24*CI38*Inputs!$B$16))*Inputs!$B$19)</f>
        <v>0.02611637737702</v>
      </c>
      <c r="CQ38" s="15" t="n">
        <f aca="false">(CO38-CP38)*(1-EXP(-Inputs!$B$25*Inputs!$B$14*Inputs!$B$17*Inputs!$B$26/(CI38*Inputs!$B$16/0.866)))</f>
        <v>0.00731039929947354</v>
      </c>
      <c r="CR38" s="15" t="n">
        <f aca="false">(CO38-CP38-CQ38)*(1-Inputs!$B$19)</f>
        <v>0.00351066343636004</v>
      </c>
      <c r="CS38" s="15" t="n">
        <f aca="false">(CL38+CM38+CN38+CP38+CQ38+CR38)*(1+Inputs!$B$27)</f>
        <v>0.302282110092846</v>
      </c>
      <c r="CT38" s="15" t="n">
        <f aca="false">Inputs!$B$52/(1-CS38-G38)</f>
        <v>194081.897254321</v>
      </c>
      <c r="CU38" s="15" t="n">
        <f aca="false">CT38/Inputs!$B$34</f>
        <v>323.469828757202</v>
      </c>
      <c r="CV38" s="15" t="n">
        <f aca="false">B38^2/CU38</f>
        <v>13.061496388188</v>
      </c>
      <c r="CW38" s="15" t="n">
        <f aca="false">Inputs!$B$54*H38/(Inputs!$B$35*F38+E38*H38^2/(PI()*CV38*Inputs!$B$36))</f>
        <v>20.1636570900916</v>
      </c>
      <c r="CX38" s="15" t="n">
        <f aca="false">EXP(-Inputs!$B$11*Inputs!$B$14*Inputs!$B$17/(Inputs!$B$51*CW38*Inputs!$B$16))</f>
        <v>0.76246338195858</v>
      </c>
      <c r="CY38" s="15" t="n">
        <f aca="false">Inputs!$B$50*Inputs!$B$18*CX38*Inputs!$B$19</f>
        <v>0.745021444536658</v>
      </c>
      <c r="CZ38" s="15" t="n">
        <f aca="false">1-CY38</f>
        <v>0.254978555463342</v>
      </c>
      <c r="DA38" s="15" t="n">
        <f aca="false">Inputs!$B$20*CZ38</f>
        <v>0.00764935666390025</v>
      </c>
      <c r="DB38" s="15" t="n">
        <f aca="false">0.8*(1-Inputs!$B$50)*(CY38-DA38)</f>
        <v>0.00177604030982703</v>
      </c>
      <c r="DC38" s="15" t="n">
        <f aca="false">CY38-DA38-DB38</f>
        <v>0.735596047562931</v>
      </c>
      <c r="DD38" s="15" t="n">
        <f aca="false">DC38*(1-Inputs!$B$18*EXP(-Inputs!$B$21*Inputs!$B$14*Inputs!$B$17/(Inputs!$B$22*Inputs!$B$23*Inputs!$B$24*CW38*Inputs!$B$16))*Inputs!$B$19)</f>
        <v>0.0261156731763937</v>
      </c>
      <c r="DE38" s="15" t="n">
        <f aca="false">(DC38-DD38)*(1-EXP(-Inputs!$B$25*Inputs!$B$14*Inputs!$B$17*Inputs!$B$26/(CW38*Inputs!$B$16/0.866)))</f>
        <v>0.00730950213086167</v>
      </c>
      <c r="DF38" s="15" t="n">
        <f aca="false">(DC38-DD38-DE38)*(1-Inputs!$B$19)</f>
        <v>0.00351085436127838</v>
      </c>
      <c r="DG38" s="15" t="n">
        <f aca="false">(CZ38+DA38+DB38+DD38+DE38+DF38)*(1+Inputs!$B$27)</f>
        <v>0.30224400205192</v>
      </c>
      <c r="DH38" s="15" t="n">
        <f aca="false">Inputs!$B$52/(1-DG38-G38)</f>
        <v>194037.908899724</v>
      </c>
      <c r="DI38" s="15" t="n">
        <f aca="false">DH38/Inputs!$B$34</f>
        <v>323.396514832874</v>
      </c>
      <c r="DJ38" s="15" t="n">
        <f aca="false">B38^2/DI38</f>
        <v>13.0644574267704</v>
      </c>
      <c r="DK38" s="15" t="n">
        <f aca="false">Inputs!$B$54*H38/(Inputs!$B$35*F38+E38*H38^2/(PI()*DJ38*Inputs!$B$36))</f>
        <v>20.1648249193985</v>
      </c>
      <c r="DL38" s="15" t="n">
        <f aca="false">EXP(-Inputs!$B$11*Inputs!$B$14*Inputs!$B$17/(Inputs!$B$51*DK38*Inputs!$B$16))</f>
        <v>0.762475357585963</v>
      </c>
      <c r="DM38" s="15" t="n">
        <f aca="false">Inputs!$B$50*Inputs!$B$18*DL38*Inputs!$B$19</f>
        <v>0.745033146212336</v>
      </c>
      <c r="DN38" s="15" t="n">
        <f aca="false">1-DM38</f>
        <v>0.254966853787664</v>
      </c>
      <c r="DO38" s="15" t="n">
        <f aca="false">Inputs!$B$20*DN38</f>
        <v>0.00764900561362991</v>
      </c>
      <c r="DP38" s="15" t="n">
        <f aca="false">0.8*(1-Inputs!$B$50)*(DM38-DO38)</f>
        <v>0.00177606934011917</v>
      </c>
      <c r="DQ38" s="15" t="n">
        <f aca="false">DM38-DO38-DP38</f>
        <v>0.735608071258587</v>
      </c>
      <c r="DR38" s="15" t="n">
        <f aca="false">DQ38*(1-Inputs!$B$18*EXP(-Inputs!$B$21*Inputs!$B$14*Inputs!$B$17/(Inputs!$B$22*Inputs!$B$23*Inputs!$B$24*DK38*Inputs!$B$16))*Inputs!$B$19)</f>
        <v>0.0261154417075745</v>
      </c>
      <c r="DS38" s="15" t="n">
        <f aca="false">(DQ38-DR38)*(1-EXP(-Inputs!$B$25*Inputs!$B$14*Inputs!$B$17*Inputs!$B$26/(DK38*Inputs!$B$16/0.866)))</f>
        <v>0.00730920724805871</v>
      </c>
      <c r="DT38" s="15" t="n">
        <f aca="false">(DQ38-DR38-DS38)*(1-Inputs!$B$19)</f>
        <v>0.00351091711151477</v>
      </c>
      <c r="DU38" s="15" t="n">
        <f aca="false">(DN38+DO38+DP38+DR38+DS38+DT38)*(1+Inputs!$B$27)</f>
        <v>0.302231477292986</v>
      </c>
      <c r="DV38" s="15" t="n">
        <f aca="false">Inputs!$B$52/(1-DU38-G38)</f>
        <v>194023.455844013</v>
      </c>
      <c r="DW38" s="15" t="n">
        <f aca="false">DV38/Inputs!$B$34</f>
        <v>323.372426406688</v>
      </c>
      <c r="DX38" s="15" t="n">
        <f aca="false">B38^2/DW38</f>
        <v>13.0654306149358</v>
      </c>
      <c r="DY38" s="15" t="n">
        <f aca="false">Inputs!$B$54*H38/(Inputs!$B$35*F38+E38*H38^2/(PI()*DX38*Inputs!$B$36))</f>
        <v>20.1652086573442</v>
      </c>
      <c r="DZ38" s="15" t="n">
        <f aca="false">EXP(-Inputs!$B$11*Inputs!$B$14*Inputs!$B$17/(Inputs!$B$51*DY38*Inputs!$B$16))</f>
        <v>0.762479292405013</v>
      </c>
      <c r="EA38" s="15" t="n">
        <f aca="false">Inputs!$B$50*Inputs!$B$18*DZ38*Inputs!$B$19</f>
        <v>0.745036991019368</v>
      </c>
      <c r="EB38" s="15" t="n">
        <f aca="false">1-EA38</f>
        <v>0.254963008980632</v>
      </c>
      <c r="EC38" s="15" t="n">
        <f aca="false">Inputs!$B$20*EB38</f>
        <v>0.00764889026941897</v>
      </c>
      <c r="ED38" s="15" t="n">
        <f aca="false">0.8*(1-Inputs!$B$50)*(EA38-EC38)</f>
        <v>0.00177607887857113</v>
      </c>
      <c r="EE38" s="15" t="n">
        <f aca="false">EA38-EC38-ED38</f>
        <v>0.735612021871378</v>
      </c>
      <c r="EF38" s="15" t="n">
        <f aca="false">EE38*(1-Inputs!$B$18*EXP(-Inputs!$B$21*Inputs!$B$14*Inputs!$B$17/(Inputs!$B$22*Inputs!$B$23*Inputs!$B$24*DY38*Inputs!$B$16))*Inputs!$B$19)</f>
        <v>0.0261153656515389</v>
      </c>
      <c r="EG38" s="15" t="n">
        <f aca="false">(EE38-EF38)*(1-EXP(-Inputs!$B$25*Inputs!$B$14*Inputs!$B$17*Inputs!$B$26/(DY38*Inputs!$B$16/0.866)))</f>
        <v>0.00730911035697186</v>
      </c>
      <c r="EH38" s="15" t="n">
        <f aca="false">(EE38-EF38-EG38)*(1-Inputs!$B$19)</f>
        <v>0.00351093772931434</v>
      </c>
      <c r="EI38" s="15" t="n">
        <f aca="false">(EB38+EC38+ED38+EF38+EG38+EH38)*(1+Inputs!$B$27)</f>
        <v>0.302227362042047</v>
      </c>
      <c r="EJ38" s="15" t="n">
        <f aca="false">Inputs!$B$52/(1-EI38-G38)</f>
        <v>194018.707483932</v>
      </c>
      <c r="EK38" s="15" t="n">
        <f aca="false">EJ38/Inputs!$B$34</f>
        <v>323.36451247322</v>
      </c>
      <c r="EL38" s="15" t="n">
        <f aca="false">B38^2/EK38</f>
        <v>13.065750374664</v>
      </c>
      <c r="EM38" s="15" t="n">
        <f aca="false">Inputs!$B$54*H38/(Inputs!$B$35*F38+E38*H38^2/(PI()*EL38*Inputs!$B$36))</f>
        <v>20.1653347325526</v>
      </c>
      <c r="EN38" s="15" t="n">
        <f aca="false">EXP(-Inputs!$B$11*Inputs!$B$14*Inputs!$B$17/(Inputs!$B$51*EM38*Inputs!$B$16))</f>
        <v>0.762480585142142</v>
      </c>
      <c r="EO38" s="15" t="n">
        <f aca="false">Inputs!$B$50*Inputs!$B$18*EN38*Inputs!$B$19</f>
        <v>0.745038254184139</v>
      </c>
      <c r="EP38" s="15" t="n">
        <f aca="false">1-EO38</f>
        <v>0.254961745815861</v>
      </c>
      <c r="EQ38" s="15" t="n">
        <f aca="false">Inputs!$B$20*EP38</f>
        <v>0.00764885237447583</v>
      </c>
      <c r="ER38" s="15" t="n">
        <f aca="false">0.8*(1-Inputs!$B$50)*(EO38-EQ38)</f>
        <v>0.00177608201231397</v>
      </c>
      <c r="ES38" s="15" t="n">
        <f aca="false">EO38-EQ38-ER38</f>
        <v>0.735613319797349</v>
      </c>
      <c r="ET38" s="15" t="n">
        <f aca="false">ES38*(1-Inputs!$B$18*EXP(-Inputs!$B$21*Inputs!$B$14*Inputs!$B$17/(Inputs!$B$22*Inputs!$B$23*Inputs!$B$24*EM38*Inputs!$B$16))*Inputs!$B$19)</f>
        <v>0.026115340663972</v>
      </c>
      <c r="EU38" s="15" t="n">
        <f aca="false">(ES38-ET38)*(1-EXP(-Inputs!$B$25*Inputs!$B$14*Inputs!$B$17*Inputs!$B$26/(EM38*Inputs!$B$16/0.866)))</f>
        <v>0.00730907852438914</v>
      </c>
      <c r="EV38" s="15" t="n">
        <f aca="false">(ES38-ET38-EU38)*(1-Inputs!$B$19)</f>
        <v>0.00351094450304494</v>
      </c>
      <c r="EW38" s="15" t="n">
        <f aca="false">(EP38+EQ38+ER38+ET38+EU38+EV38)*(1+Inputs!$B$27)</f>
        <v>0.302226010025739</v>
      </c>
      <c r="EX38" s="15" t="n">
        <f aca="false">Inputs!$B$52/(1-EW38-G38)</f>
        <v>194017.147517935</v>
      </c>
      <c r="EY38" s="15" t="n">
        <f aca="false">EX38/Inputs!$B$34</f>
        <v>323.361912529892</v>
      </c>
      <c r="EZ38" s="15" t="n">
        <f aca="false">B38^2/EY38</f>
        <v>13.0658554278851</v>
      </c>
      <c r="FA38" s="15" t="n">
        <f aca="false">Inputs!$B$54*H38/(Inputs!$B$35*F38+E38*H38^2/(PI()*EZ38*Inputs!$B$36))</f>
        <v>20.1653761520465</v>
      </c>
      <c r="FB38" s="15" t="n">
        <f aca="false">EXP(-Inputs!$B$11*Inputs!$B$14*Inputs!$B$17/(Inputs!$B$51*FA38*Inputs!$B$16))</f>
        <v>0.76248100984208</v>
      </c>
      <c r="FC38" s="15" t="n">
        <f aca="false">Inputs!$B$50*Inputs!$B$18*FB38*Inputs!$B$19</f>
        <v>0.745038669168739</v>
      </c>
      <c r="FD38" s="15" t="n">
        <f aca="false">1-FC38</f>
        <v>0.254961330831261</v>
      </c>
      <c r="FE38" s="15" t="n">
        <f aca="false">Inputs!$B$20*FD38</f>
        <v>0.00764883992493782</v>
      </c>
      <c r="FF38" s="15" t="n">
        <f aca="false">0.8*(1-Inputs!$B$50)*(FC38-FE38)</f>
        <v>0.00177608304183526</v>
      </c>
      <c r="FG38" s="15" t="n">
        <f aca="false">FC38-FE38-FF38</f>
        <v>0.735613746201966</v>
      </c>
      <c r="FH38" s="15" t="n">
        <f aca="false">FG38*(1-Inputs!$B$18*EXP(-Inputs!$B$21*Inputs!$B$14*Inputs!$B$17/(Inputs!$B$22*Inputs!$B$23*Inputs!$B$24*FA38*Inputs!$B$16))*Inputs!$B$19)</f>
        <v>0.0261153324548345</v>
      </c>
      <c r="FI38" s="15" t="n">
        <f aca="false">(FG38-FH38)*(1-EXP(-Inputs!$B$25*Inputs!$B$14*Inputs!$B$17*Inputs!$B$26/(FA38*Inputs!$B$16/0.866)))</f>
        <v>0.0073090680664838</v>
      </c>
      <c r="FJ38" s="15" t="n">
        <f aca="false">(FG38-FH38-FI38)*(1-Inputs!$B$19)</f>
        <v>0.00351094672840324</v>
      </c>
      <c r="FK38" s="15" t="n">
        <f aca="false">(FD38+FE38+FF38+FH38+FI38+FJ38)*(1+Inputs!$B$27)</f>
        <v>0.302225565850899</v>
      </c>
      <c r="FL38" s="15" t="n">
        <f aca="false">Inputs!$B$52/(1-FK38-G38)</f>
        <v>194016.635031331</v>
      </c>
      <c r="FM38" s="15" t="n">
        <f aca="false">FL38/Inputs!$B$34</f>
        <v>323.361058385552</v>
      </c>
      <c r="FN38" s="15" t="n">
        <f aca="false">B38^2/FM38</f>
        <v>13.0658899407808</v>
      </c>
      <c r="FO38" s="15" t="n">
        <f aca="false">Inputs!$B$54*H38/(Inputs!$B$35*F38+E38*H38^2/(PI()*FN38*Inputs!$B$36))</f>
        <v>20.1653897593904</v>
      </c>
      <c r="FP38" s="15" t="n">
        <f aca="false">EXP(-Inputs!$B$11*Inputs!$B$14*Inputs!$B$17/(Inputs!$B$51*FO38*Inputs!$B$16))</f>
        <v>0.762481149366346</v>
      </c>
      <c r="FQ38" s="15" t="n">
        <f aca="false">Inputs!$B$50*Inputs!$B$18*FP38*Inputs!$B$19</f>
        <v>0.74503880550128</v>
      </c>
      <c r="FR38" s="15" t="n">
        <f aca="false">1-FQ38</f>
        <v>0.25496119449872</v>
      </c>
      <c r="FS38" s="15" t="n">
        <f aca="false">Inputs!$B$20*FR38</f>
        <v>0.00764883583496161</v>
      </c>
      <c r="FT38" s="15" t="n">
        <f aca="false">0.8*(1-Inputs!$B$50)*(FQ38-FS38)</f>
        <v>0.00177608338005805</v>
      </c>
      <c r="FU38" s="15" t="n">
        <f aca="false">FQ38-FS38-FT38</f>
        <v>0.73561388628626</v>
      </c>
      <c r="FV38" s="15" t="n">
        <f aca="false">FU38*(1-Inputs!$B$18*EXP(-Inputs!$B$21*Inputs!$B$14*Inputs!$B$17/(Inputs!$B$22*Inputs!$B$23*Inputs!$B$24*FO38*Inputs!$B$16))*Inputs!$B$19)</f>
        <v>0.0261153297579297</v>
      </c>
      <c r="FW38" s="15" t="n">
        <f aca="false">(FU38-FV38)*(1-EXP(-Inputs!$B$25*Inputs!$B$14*Inputs!$B$17*Inputs!$B$26/(FO38*Inputs!$B$16/0.866)))</f>
        <v>0.00730906463080525</v>
      </c>
      <c r="FX38" s="15" t="n">
        <f aca="false">(FU38-FV38-FW38)*(1-Inputs!$B$19)</f>
        <v>0.00351094745948763</v>
      </c>
      <c r="FY38" s="15" t="n">
        <f aca="false">(FR38+FS38+FT38+FV38+FW38+FX38)*(1+Inputs!$B$27)</f>
        <v>0.302225419928648</v>
      </c>
      <c r="FZ38" s="15" t="n">
        <f aca="false">Inputs!$B$52/(1-FY38-G38)</f>
        <v>194016.466667594</v>
      </c>
      <c r="GA38" s="15" t="n">
        <f aca="false">FZ38/Inputs!$B$34</f>
        <v>323.360777779323</v>
      </c>
      <c r="GB38" s="15" t="n">
        <f aca="false">B38^2/GA38</f>
        <v>13.0659012791073</v>
      </c>
      <c r="GC38" s="15" t="n">
        <f aca="false">Inputs!$B$54*H38/(Inputs!$B$35*F38+E38*H38^2/(PI()*GB38*Inputs!$B$36))</f>
        <v>20.1653942297225</v>
      </c>
      <c r="GD38" s="15" t="n">
        <f aca="false">EXP(-Inputs!$B$11*Inputs!$B$14*Inputs!$B$17/(Inputs!$B$51*GC38*Inputs!$B$16))</f>
        <v>0.762481195203309</v>
      </c>
      <c r="GE38" s="15" t="n">
        <f aca="false">Inputs!$B$50*Inputs!$B$18*GD38*Inputs!$B$19</f>
        <v>0.745038850289687</v>
      </c>
      <c r="GF38" s="15" t="n">
        <f aca="false">1-GE38</f>
        <v>0.254961149710313</v>
      </c>
      <c r="GG38" s="15" t="n">
        <f aca="false">Inputs!$B$20*GF38</f>
        <v>0.00764883449130939</v>
      </c>
      <c r="GH38" s="15" t="n">
        <f aca="false">0.8*(1-Inputs!$B$50)*(GE38-GG38)</f>
        <v>0.0017760834911721</v>
      </c>
      <c r="GI38" s="15" t="n">
        <f aca="false">GE38-GG38-GH38</f>
        <v>0.735613932307206</v>
      </c>
      <c r="GJ38" s="15" t="n">
        <f aca="false">GI38*(1-Inputs!$B$18*EXP(-Inputs!$B$21*Inputs!$B$14*Inputs!$B$17/(Inputs!$B$22*Inputs!$B$23*Inputs!$B$24*GC38*Inputs!$B$16))*Inputs!$B$19)</f>
        <v>0.0261153288719335</v>
      </c>
      <c r="GK38" s="15" t="n">
        <f aca="false">(GI38-GJ38)*(1-EXP(-Inputs!$B$25*Inputs!$B$14*Inputs!$B$17*Inputs!$B$26/(GC38*Inputs!$B$16/0.866)))</f>
        <v>0.00730906350210469</v>
      </c>
      <c r="GL38" s="15" t="n">
        <f aca="false">(GI38-GJ38-GK38)*(1-Inputs!$B$19)</f>
        <v>0.00351094769966584</v>
      </c>
      <c r="GM38" s="15" t="n">
        <f aca="false">(GF38+GG38+GH38+GJ38+GK38+GL38)*(1+Inputs!$B$27)</f>
        <v>0.302225371989798</v>
      </c>
      <c r="GN38" s="15" t="n">
        <f aca="false">Inputs!$B$52/(1-GM38-G38)</f>
        <v>194016.411356258</v>
      </c>
      <c r="GO38" s="15" t="n">
        <f aca="false">GN38/Inputs!$B$34</f>
        <v>323.360685593763</v>
      </c>
      <c r="GP38" s="15" t="n">
        <f aca="false">B38^2/GO38</f>
        <v>13.0659050040111</v>
      </c>
      <c r="GQ38" s="15" t="n">
        <f aca="false">Inputs!$B$54*H38/(Inputs!$B$35*F38+E38*H38^2/(PI()*GP38*Inputs!$B$36))</f>
        <v>20.1653956983292</v>
      </c>
      <c r="GR38" s="15" t="n">
        <f aca="false">EXP(-Inputs!$B$11*Inputs!$B$14*Inputs!$B$17/(Inputs!$B$51*GQ38*Inputs!$B$16))</f>
        <v>0.7624812102618</v>
      </c>
      <c r="GS38" s="15" t="n">
        <f aca="false">Inputs!$B$50*Inputs!$B$18*GR38*Inputs!$B$19</f>
        <v>0.745038865003703</v>
      </c>
      <c r="GT38" s="15" t="n">
        <f aca="false">1-GS38</f>
        <v>0.254961134996297</v>
      </c>
      <c r="GU38" s="15" t="n">
        <f aca="false">Inputs!$B$20*GT38</f>
        <v>0.0076488340498889</v>
      </c>
      <c r="GV38" s="15" t="n">
        <f aca="false">0.8*(1-Inputs!$B$50)*(GS38-GU38)</f>
        <v>0.00177608352767561</v>
      </c>
      <c r="GW38" s="15" t="n">
        <f aca="false">GS38-GU38-GV38</f>
        <v>0.735613947426139</v>
      </c>
      <c r="GX38" s="15" t="n">
        <f aca="false">GW38*(1-Inputs!$B$18*EXP(-Inputs!$B$21*Inputs!$B$14*Inputs!$B$17/(Inputs!$B$22*Inputs!$B$23*Inputs!$B$24*GQ38*Inputs!$B$16))*Inputs!$B$19)</f>
        <v>0.0261153285808635</v>
      </c>
      <c r="GY38" s="15" t="n">
        <f aca="false">(GW38-GX38)*(1-EXP(-Inputs!$B$25*Inputs!$B$14*Inputs!$B$17*Inputs!$B$26/(GQ38*Inputs!$B$16/0.866)))</f>
        <v>0.00730906313130081</v>
      </c>
      <c r="GZ38" s="15" t="n">
        <f aca="false">(GW38-GX38-GY38)*(1-Inputs!$B$19)</f>
        <v>0.00351094777856988</v>
      </c>
      <c r="HA38" s="15" t="n">
        <f aca="false">(GT38+GU38+GV38+GX38+GY38+GZ38)*(1+Inputs!$B$27)</f>
        <v>0.302225356240789</v>
      </c>
      <c r="HB38" s="15" t="n">
        <f aca="false">Inputs!$B$52/(1-HA38-G38)</f>
        <v>194016.393185225</v>
      </c>
      <c r="HC38" s="15" t="n">
        <f aca="false">HB38/Inputs!$B$34</f>
        <v>323.360655308709</v>
      </c>
      <c r="HD38" s="15" t="n">
        <f aca="false">B38^2/HC38</f>
        <v>13.0659062277272</v>
      </c>
      <c r="HE38" s="15" t="n">
        <f aca="false">Inputs!$B$54*H38/(Inputs!$B$35*F38+E38*H38^2/(PI()*HD38*Inputs!$B$36))</f>
        <v>20.1653961808</v>
      </c>
      <c r="HF38" s="15" t="n">
        <f aca="false">EXP(-Inputs!$B$11*Inputs!$B$14*Inputs!$B$17/(Inputs!$B$51*HE38*Inputs!$B$16))</f>
        <v>0.762481215208857</v>
      </c>
      <c r="HG38" s="15" t="n">
        <f aca="false">Inputs!$B$50*Inputs!$B$18*HF38*Inputs!$B$19</f>
        <v>0.745038869837593</v>
      </c>
      <c r="HH38" s="15" t="n">
        <f aca="false">1-HG38</f>
        <v>0.254961130162408</v>
      </c>
      <c r="HI38" s="15" t="n">
        <f aca="false">Inputs!$B$20*HH38</f>
        <v>0.00764883390487223</v>
      </c>
      <c r="HJ38" s="15" t="n">
        <f aca="false">0.8*(1-Inputs!$B$50)*(HG38-HI38)</f>
        <v>0.00177608353966784</v>
      </c>
      <c r="HK38" s="15" t="n">
        <f aca="false">HG38-HI38-HJ38</f>
        <v>0.735613952393052</v>
      </c>
      <c r="HL38" s="15" t="n">
        <f aca="false">HK38*(1-Inputs!$B$18*EXP(-Inputs!$B$21*Inputs!$B$14*Inputs!$B$17/(Inputs!$B$22*Inputs!$B$23*Inputs!$B$24*HE38*Inputs!$B$16))*Inputs!$B$19)</f>
        <v>0.0261153284852403</v>
      </c>
      <c r="HM38" s="15" t="n">
        <f aca="false">(HK38-HL38)*(1-EXP(-Inputs!$B$25*Inputs!$B$14*Inputs!$B$17*Inputs!$B$26/(HE38*Inputs!$B$16/0.866)))</f>
        <v>0.00730906300948323</v>
      </c>
      <c r="HN38" s="15" t="n">
        <f aca="false">(HK38-HL38-HM38)*(1-Inputs!$B$19)</f>
        <v>0.00351094780449165</v>
      </c>
      <c r="HO38" s="15" t="n">
        <f aca="false">(HH38+HI38+HJ38+HL38+HM38+HN38)*(1+Inputs!$B$27)</f>
        <v>0.302225351066881</v>
      </c>
      <c r="HP38" s="15" t="n">
        <f aca="false">Inputs!$B$52/(1-HO38-G38)</f>
        <v>194016.387215628</v>
      </c>
      <c r="HQ38" s="15" t="n">
        <f aca="false">HP38/Inputs!$B$34</f>
        <v>323.36064535938</v>
      </c>
      <c r="HR38" s="15" t="n">
        <f aca="false">B38^2/HQ38</f>
        <v>13.0659066297458</v>
      </c>
      <c r="HS38" s="15" t="n">
        <f aca="false">Inputs!$B$54*H38/(Inputs!$B$35*F38+E38*H38^2/(PI()*HR38*Inputs!$B$36))</f>
        <v>20.1653963393026</v>
      </c>
      <c r="HT38" s="15" t="n">
        <f aca="false">EXP(-Inputs!$B$11*Inputs!$B$14*Inputs!$B$17/(Inputs!$B$51*HS38*Inputs!$B$16))</f>
        <v>0.762481216834078</v>
      </c>
      <c r="HU38" s="15" t="n">
        <f aca="false">Inputs!$B$50*Inputs!$B$18*HT38*Inputs!$B$19</f>
        <v>0.745038871425635</v>
      </c>
      <c r="HV38" s="15" t="n">
        <f aca="false">1-HU38</f>
        <v>0.254961128574365</v>
      </c>
      <c r="HW38" s="15" t="n">
        <f aca="false">Inputs!$B$20*HV38</f>
        <v>0.00764883385723095</v>
      </c>
      <c r="HX38" s="15" t="n">
        <f aca="false">0.8*(1-Inputs!$B$50)*(HU38-HW38)</f>
        <v>0.00177608354360756</v>
      </c>
      <c r="HY38" s="15" t="n">
        <f aca="false">HU38-HW38-HX38</f>
        <v>0.735613954024797</v>
      </c>
      <c r="HZ38" s="15" t="n">
        <f aca="false">HY38*(1-Inputs!$B$18*EXP(-Inputs!$B$21*Inputs!$B$14*Inputs!$B$17/(Inputs!$B$22*Inputs!$B$23*Inputs!$B$24*HS38*Inputs!$B$16))*Inputs!$B$19)</f>
        <v>0.026115328453826</v>
      </c>
      <c r="IA38" s="15" t="n">
        <f aca="false">(HY38-HZ38)*(1-EXP(-Inputs!$B$25*Inputs!$B$14*Inputs!$B$17*Inputs!$B$26/(HS38*Inputs!$B$16/0.866)))</f>
        <v>0.00730906296946337</v>
      </c>
      <c r="IB38" s="15" t="n">
        <f aca="false">(HY38-HZ38-IA38)*(1-Inputs!$B$19)</f>
        <v>0.00351094781300754</v>
      </c>
      <c r="IC38" s="15" t="n">
        <f aca="false">(HV38+HW38+HX38+HZ38+IA38+IB38)*(1+Inputs!$B$27)</f>
        <v>0.302225349367135</v>
      </c>
      <c r="ID38" s="15" t="n">
        <f aca="false">Inputs!$B$52/(1-IC38-G38)</f>
        <v>194016.38525448</v>
      </c>
      <c r="IE38" s="15" t="n">
        <f aca="false">ID38/Inputs!$B$34</f>
        <v>323.3606420908</v>
      </c>
      <c r="IF38" s="15" t="n">
        <f aca="false">B38^2/IE38</f>
        <v>13.065906761818</v>
      </c>
      <c r="IG38" s="15" t="n">
        <f aca="false">Inputs!$B$54*H38/(Inputs!$B$35*F38+E38*H38^2/(PI()*IF38*Inputs!$B$36))</f>
        <v>20.1653963913743</v>
      </c>
      <c r="IH38" s="15" t="n">
        <f aca="false">EXP(-Inputs!$B$11*Inputs!$B$14*Inputs!$B$17/(Inputs!$B$51*IG38*Inputs!$B$16))</f>
        <v>0.762481217367999</v>
      </c>
      <c r="II38" s="15" t="n">
        <f aca="false">Inputs!$B$50*Inputs!$B$18*IH38*Inputs!$B$19</f>
        <v>0.745038871947343</v>
      </c>
      <c r="IJ38" s="15" t="n">
        <f aca="false">1-II38</f>
        <v>0.254961128052657</v>
      </c>
      <c r="IK38" s="15" t="n">
        <f aca="false">Inputs!$B$20*IJ38</f>
        <v>0.00764883384157971</v>
      </c>
      <c r="IL38" s="15" t="n">
        <f aca="false">0.8*(1-Inputs!$B$50)*(II38-IK38)</f>
        <v>0.00177608354490185</v>
      </c>
      <c r="IM38" s="15" t="n">
        <f aca="false">II38-IK38-IL38</f>
        <v>0.735613954560861</v>
      </c>
      <c r="IN38" s="15" t="n">
        <f aca="false">IM38*(1-Inputs!$B$18*EXP(-Inputs!$B$21*Inputs!$B$14*Inputs!$B$17/(Inputs!$B$22*Inputs!$B$23*Inputs!$B$24*IG38*Inputs!$B$16))*Inputs!$B$19)</f>
        <v>0.0261153284435057</v>
      </c>
      <c r="IO38" s="15" t="n">
        <f aca="false">(IM38-IN38)*(1-EXP(-Inputs!$B$25*Inputs!$B$14*Inputs!$B$17*Inputs!$B$26/(IG38*Inputs!$B$16/0.866)))</f>
        <v>0.00730906295631595</v>
      </c>
      <c r="IP38" s="15" t="n">
        <f aca="false">(IM38-IN38-IO38)*(1-Inputs!$B$19)</f>
        <v>0.0035109478158052</v>
      </c>
      <c r="IQ38" s="15" t="n">
        <f aca="false">(IJ38+IK38+IL38+IN38+IO38+IP38)*(1+Inputs!$B$27)</f>
        <v>0.30222534880873</v>
      </c>
      <c r="IR38" s="15" t="n">
        <f aca="false">Inputs!$B$52/(1-IQ38-G38)</f>
        <v>194016.384610198</v>
      </c>
      <c r="IS38" s="15" t="n">
        <f aca="false">IR38/Inputs!$B$34</f>
        <v>323.360641016997</v>
      </c>
      <c r="IT38" s="15" t="n">
        <f aca="false">B38^2/IS38</f>
        <v>13.0659068052067</v>
      </c>
      <c r="IU38" s="15" t="n">
        <f aca="false">Inputs!$B$54*H38/(Inputs!$B$35*F38+E38*H38^2/(PI()*IT38*Inputs!$B$36))</f>
        <v>20.165396408481</v>
      </c>
      <c r="IV38" s="15" t="n">
        <f aca="false">EXP(-Inputs!$B$11*Inputs!$B$14*Inputs!$B$17/(Inputs!$B$51*IU38*Inputs!$B$16))</f>
        <v>0.762481217543405</v>
      </c>
      <c r="IW38" s="15" t="n">
        <f aca="false">Inputs!$B$50*Inputs!$B$18*IV38*Inputs!$B$19</f>
        <v>0.745038872118736</v>
      </c>
      <c r="IX38" s="15" t="n">
        <f aca="false">1-IW38</f>
        <v>0.254961127881264</v>
      </c>
      <c r="IY38" s="15" t="n">
        <f aca="false">Inputs!$B$20*IX38</f>
        <v>0.00764883383643792</v>
      </c>
      <c r="IZ38" s="15" t="n">
        <f aca="false">0.8*(1-Inputs!$B$50)*(IW38-IY38)</f>
        <v>0.00177608354532705</v>
      </c>
      <c r="JA38" s="15" t="n">
        <f aca="false">IW38-IY38-IZ38</f>
        <v>0.735613954736971</v>
      </c>
      <c r="JB38" s="15" t="n">
        <f aca="false">JA38*(1-Inputs!$B$18*EXP(-Inputs!$B$21*Inputs!$B$14*Inputs!$B$17/(Inputs!$B$22*Inputs!$B$23*Inputs!$B$24*IU38*Inputs!$B$16))*Inputs!$B$19)</f>
        <v>0.0261153284401152</v>
      </c>
      <c r="JC38" s="15" t="n">
        <f aca="false">(JA38-JB38)*(1-EXP(-Inputs!$B$25*Inputs!$B$14*Inputs!$B$17*Inputs!$B$26/(IU38*Inputs!$B$16/0.866)))</f>
        <v>0.00730906295199678</v>
      </c>
      <c r="JD38" s="15" t="n">
        <f aca="false">(JA38-JB38-JC38)*(1-Inputs!$B$19)</f>
        <v>0.0035109478167243</v>
      </c>
      <c r="JE38" s="15" t="n">
        <f aca="false">(IX38+IY38+IZ38+JB38+JC38+JD38)*(1+Inputs!$B$27)</f>
        <v>0.302225348625281</v>
      </c>
      <c r="JF38" s="15" t="n">
        <f aca="false">Inputs!$B$52/(1-JE38-G38)</f>
        <v>194016.384398537</v>
      </c>
      <c r="JG38" s="15" t="n">
        <f aca="false">JF38/Inputs!$B$34</f>
        <v>323.360640664228</v>
      </c>
      <c r="JH38" s="15" t="n">
        <f aca="false">B38^2/JG38</f>
        <v>13.0659068194609</v>
      </c>
      <c r="JI38" s="15" t="n">
        <f aca="false">Inputs!$B$54*H38/(Inputs!$B$35*F38+E38*H38^2/(PI()*JH38*Inputs!$B$36))</f>
        <v>20.165396414101</v>
      </c>
      <c r="JJ38" s="15" t="n">
        <f aca="false">EXP(-Inputs!$B$11*Inputs!$B$14*Inputs!$B$17/(Inputs!$B$51*JI38*Inputs!$B$16))</f>
        <v>0.76248121760103</v>
      </c>
      <c r="JK38" s="15" t="n">
        <f aca="false">Inputs!$B$50*Inputs!$B$18*JJ38*Inputs!$B$19</f>
        <v>0.745038872175042</v>
      </c>
      <c r="JL38" s="15" t="n">
        <f aca="false">1-JK38</f>
        <v>0.254961127824958</v>
      </c>
      <c r="JM38" s="15" t="n">
        <f aca="false">Inputs!$B$20*JL38</f>
        <v>0.00764883383474873</v>
      </c>
      <c r="JN38" s="15" t="n">
        <f aca="false">0.8*(1-Inputs!$B$50)*(JK38-JM38)</f>
        <v>0.00177608354546674</v>
      </c>
      <c r="JO38" s="15" t="n">
        <f aca="false">JK38-JM38-JN38</f>
        <v>0.735613954794827</v>
      </c>
      <c r="JP38" s="15" t="n">
        <f aca="false">JO38*(1-Inputs!$B$18*EXP(-Inputs!$B$21*Inputs!$B$14*Inputs!$B$17/(Inputs!$B$22*Inputs!$B$23*Inputs!$B$24*JI38*Inputs!$B$16))*Inputs!$B$19)</f>
        <v>0.0261153284390013</v>
      </c>
      <c r="JQ38" s="15" t="n">
        <f aca="false">(JO38-JP38)*(1-EXP(-Inputs!$B$25*Inputs!$B$14*Inputs!$B$17*Inputs!$B$26/(JI38*Inputs!$B$16/0.866)))</f>
        <v>0.00730906295057775</v>
      </c>
      <c r="JR38" s="15" t="n">
        <f aca="false">(JO38-JP38-JQ38)*(1-Inputs!$B$19)</f>
        <v>0.00351094781702624</v>
      </c>
      <c r="JS38" s="15" t="n">
        <f aca="false">(JL38+JM38+JN38+JP38+JQ38+JR38)*(1+Inputs!$B$27)</f>
        <v>0.302225348565014</v>
      </c>
      <c r="JT38" s="15" t="n">
        <f aca="false">Inputs!$B$52/(1-JS38-G38)</f>
        <v>194016.384329002</v>
      </c>
      <c r="JU38" s="15" t="n">
        <f aca="false">JT38/Inputs!$B$34</f>
        <v>323.360640548336</v>
      </c>
      <c r="JV38" s="15" t="n">
        <f aca="false">B38^2/JU38</f>
        <v>13.0659068241438</v>
      </c>
      <c r="JW38" s="15" t="n">
        <f aca="false">Inputs!$B$54*H38/(Inputs!$B$35*F38+E38*H38^2/(PI()*JV38*Inputs!$B$36))</f>
        <v>20.1653964159473</v>
      </c>
      <c r="JX38" s="15" t="n">
        <f aca="false">EXP(-Inputs!$B$11*Inputs!$B$14*Inputs!$B$17/(Inputs!$B$51*JW38*Inputs!$B$16))</f>
        <v>0.762481217619961</v>
      </c>
      <c r="JY38" s="15" t="n">
        <f aca="false">Inputs!$B$50*Inputs!$B$18*JX38*Inputs!$B$19</f>
        <v>0.74503887219354</v>
      </c>
      <c r="JZ38" s="15" t="n">
        <f aca="false">1-JY38</f>
        <v>0.25496112780646</v>
      </c>
      <c r="KA38" s="15" t="n">
        <f aca="false">Inputs!$B$20*JZ38</f>
        <v>0.00764883383419379</v>
      </c>
      <c r="KB38" s="15" t="n">
        <f aca="false">0.8*(1-Inputs!$B$50)*(JY38-KA38)</f>
        <v>0.00177608354551263</v>
      </c>
      <c r="KC38" s="15" t="n">
        <f aca="false">JY38-KA38-KB38</f>
        <v>0.735613954813834</v>
      </c>
      <c r="KD38" s="15" t="n">
        <f aca="false">KC38*(1-Inputs!$B$18*EXP(-Inputs!$B$21*Inputs!$B$14*Inputs!$B$17/(Inputs!$B$22*Inputs!$B$23*Inputs!$B$24*JW38*Inputs!$B$16))*Inputs!$B$19)</f>
        <v>0.0261153284386354</v>
      </c>
      <c r="KE38" s="15" t="n">
        <f aca="false">(KC38-KD38)*(1-EXP(-Inputs!$B$25*Inputs!$B$14*Inputs!$B$17*Inputs!$B$26/(JW38*Inputs!$B$16/0.866)))</f>
        <v>0.00730906295011164</v>
      </c>
      <c r="KF38" s="15" t="n">
        <f aca="false">(KC38-KD38-KE38)*(1-Inputs!$B$19)</f>
        <v>0.00351094781712544</v>
      </c>
      <c r="KG38" s="15" t="n">
        <f aca="false">(JZ38+KA38+KB38+KD38+KE38+KF38)*(1+Inputs!$B$27)</f>
        <v>0.302225348545215</v>
      </c>
      <c r="KH38" s="15" t="n">
        <f aca="false">Inputs!$B$52/(1-KG38-G38)</f>
        <v>194016.384306158</v>
      </c>
      <c r="KI38" s="15" t="n">
        <f aca="false">KH38/Inputs!$B$34</f>
        <v>323.360640510263</v>
      </c>
      <c r="KJ38" s="15" t="n">
        <f aca="false">B38^2/KI38</f>
        <v>13.0659068256822</v>
      </c>
      <c r="KK38" s="15" t="n">
        <f aca="false">Inputs!$B$54*H38/(Inputs!$B$35*F38+E38*H38^2/(PI()*KJ38*Inputs!$B$36))</f>
        <v>20.1653964165538</v>
      </c>
      <c r="KL38" s="15" t="n">
        <f aca="false">EXP(-Inputs!$B$11*Inputs!$B$14*Inputs!$B$17/(Inputs!$B$51*KK38*Inputs!$B$16))</f>
        <v>0.76248121762618</v>
      </c>
      <c r="KM38" s="15" t="n">
        <f aca="false">Inputs!$B$50*Inputs!$B$18*KL38*Inputs!$B$19</f>
        <v>0.745038872199617</v>
      </c>
      <c r="KN38" s="15" t="n">
        <f aca="false">1-KM38</f>
        <v>0.254961127800383</v>
      </c>
      <c r="KO38" s="15" t="n">
        <f aca="false">Inputs!$B$20*KN38</f>
        <v>0.00764883383401148</v>
      </c>
      <c r="KP38" s="15" t="n">
        <f aca="false">0.8*(1-Inputs!$B$50)*(KM38-KO38)</f>
        <v>0.00177608354552771</v>
      </c>
      <c r="KQ38" s="15" t="n">
        <f aca="false">KM38-KO38-KP38</f>
        <v>0.735613954820078</v>
      </c>
      <c r="KR38" s="15" t="n">
        <f aca="false">KQ38*(1-Inputs!$B$18*EXP(-Inputs!$B$21*Inputs!$B$14*Inputs!$B$17/(Inputs!$B$22*Inputs!$B$23*Inputs!$B$24*KK38*Inputs!$B$16))*Inputs!$B$19)</f>
        <v>0.0261153284385152</v>
      </c>
      <c r="KS38" s="15" t="n">
        <f aca="false">(KQ38-KR38)*(1-EXP(-Inputs!$B$25*Inputs!$B$14*Inputs!$B$17*Inputs!$B$26/(KK38*Inputs!$B$16/0.866)))</f>
        <v>0.00730906294995846</v>
      </c>
      <c r="KT38" s="15" t="n">
        <f aca="false">(KQ38-KR38-KS38)*(1-Inputs!$B$19)</f>
        <v>0.00351094781715803</v>
      </c>
      <c r="KU38" s="15" t="n">
        <f aca="false">(KN38+KO38+KP38+KR38+KS38+KT38)*(1+Inputs!$B$27)</f>
        <v>0.30222534853871</v>
      </c>
      <c r="KV38" s="15" t="n">
        <f aca="false">Inputs!$B$52/(1-KU38-G38)</f>
        <v>194016.384298653</v>
      </c>
      <c r="KW38" s="15" t="n">
        <f aca="false">KV38/Inputs!$B$34</f>
        <v>323.360640497755</v>
      </c>
      <c r="KX38" s="15" t="n">
        <f aca="false">B38^2/KW38</f>
        <v>13.0659068261876</v>
      </c>
      <c r="KY38" s="15" t="n">
        <f aca="false">Inputs!$B$54*H38/(Inputs!$B$35*F38+E38*H38^2/(PI()*KX38*Inputs!$B$36))</f>
        <v>20.1653964167531</v>
      </c>
      <c r="KZ38" s="15" t="n">
        <f aca="false">EXP(-Inputs!$B$11*Inputs!$B$14*Inputs!$B$17/(Inputs!$B$51*KY38*Inputs!$B$16))</f>
        <v>0.762481217628223</v>
      </c>
      <c r="LA38" s="15" t="n">
        <f aca="false">Inputs!$B$50*Inputs!$B$18*KZ38*Inputs!$B$19</f>
        <v>0.745038872201614</v>
      </c>
      <c r="LB38" s="15" t="n">
        <f aca="false">1-LA38</f>
        <v>0.254961127798386</v>
      </c>
      <c r="LC38" s="15" t="n">
        <f aca="false">Inputs!$B$20*LB38</f>
        <v>0.00764883383395159</v>
      </c>
      <c r="LD38" s="15" t="n">
        <f aca="false">0.8*(1-Inputs!$B$50)*(LA38-LC38)</f>
        <v>0.00177608354553266</v>
      </c>
      <c r="LE38" s="15" t="n">
        <f aca="false">LA38-LC38-LD38</f>
        <v>0.735613954822129</v>
      </c>
      <c r="LF38" s="15" t="n">
        <f aca="false">LE38*(1-Inputs!$B$18*EXP(-Inputs!$B$21*Inputs!$B$14*Inputs!$B$17/(Inputs!$B$22*Inputs!$B$23*Inputs!$B$24*KY38*Inputs!$B$16))*Inputs!$B$19)</f>
        <v>0.0261153284384757</v>
      </c>
      <c r="LG38" s="15" t="n">
        <f aca="false">(LE38-LF38)*(1-EXP(-Inputs!$B$25*Inputs!$B$14*Inputs!$B$17*Inputs!$B$26/(KY38*Inputs!$B$16/0.866)))</f>
        <v>0.00730906294990816</v>
      </c>
      <c r="LH38" s="15" t="n">
        <f aca="false">(LE38-LF38-LG38)*(1-Inputs!$B$19)</f>
        <v>0.00351094781716873</v>
      </c>
      <c r="LI38" s="15" t="n">
        <f aca="false">(LB38+LC38+LD38+LF38+LG38+LH38)*(1+Inputs!$B$27)</f>
        <v>0.302225348536574</v>
      </c>
      <c r="LJ38" s="15" t="n">
        <f aca="false">Inputs!$B$52/(1-LI38-G38)</f>
        <v>194016.384296188</v>
      </c>
      <c r="LK38" s="15" t="n">
        <f aca="false">LJ38/Inputs!$B$34</f>
        <v>323.360640493646</v>
      </c>
      <c r="LL38" s="15" t="n">
        <f aca="false">B38^2/LK38</f>
        <v>13.0659068263536</v>
      </c>
      <c r="LM38" s="15" t="n">
        <f aca="false">Inputs!$B$54*H38/(Inputs!$B$35*F38+E38*H38^2/(PI()*LL38*Inputs!$B$36))</f>
        <v>20.1653964168185</v>
      </c>
      <c r="LN38" s="15" t="n">
        <f aca="false">EXP(-Inputs!$B$11*Inputs!$B$14*Inputs!$B$17/(Inputs!$B$51*LM38*Inputs!$B$16))</f>
        <v>0.762481217628894</v>
      </c>
      <c r="LO38" s="15" t="n">
        <f aca="false">Inputs!$B$50*Inputs!$B$18*LN38*Inputs!$B$19</f>
        <v>0.74503887220227</v>
      </c>
      <c r="LP38" s="15" t="n">
        <f aca="false">1-LO38</f>
        <v>0.254961127797731</v>
      </c>
      <c r="LQ38" s="15" t="n">
        <f aca="false">Inputs!$B$20*LP38</f>
        <v>0.00764883383393192</v>
      </c>
      <c r="LR38" s="15" t="n">
        <f aca="false">0.8*(1-Inputs!$B$50)*(LO38-LQ38)</f>
        <v>0.00177608354553429</v>
      </c>
      <c r="LS38" s="15" t="n">
        <f aca="false">LO38-LQ38-LR38</f>
        <v>0.735613954822803</v>
      </c>
      <c r="LT38" s="15" t="n">
        <f aca="false">LS38*(1-Inputs!$B$18*EXP(-Inputs!$B$21*Inputs!$B$14*Inputs!$B$17/(Inputs!$B$22*Inputs!$B$23*Inputs!$B$24*LM38*Inputs!$B$16))*Inputs!$B$19)</f>
        <v>0.0261153284384627</v>
      </c>
      <c r="LU38" s="15" t="n">
        <f aca="false">(LS38-LT38)*(1-EXP(-Inputs!$B$25*Inputs!$B$14*Inputs!$B$17*Inputs!$B$26/(LM38*Inputs!$B$16/0.866)))</f>
        <v>0.0073090629498916</v>
      </c>
      <c r="LV38" s="15" t="n">
        <f aca="false">(LS38-LT38-LU38)*(1-Inputs!$B$19)</f>
        <v>0.00351094781717225</v>
      </c>
      <c r="LW38" s="15" t="n">
        <f aca="false">(LP38+LQ38+LR38+LT38+LU38+LV38)*(1+Inputs!$B$27)</f>
        <v>0.302225348535871</v>
      </c>
      <c r="LX38" s="15" t="n">
        <f aca="false">Inputs!$B$52/(1-LW38-G38)</f>
        <v>194016.384295378</v>
      </c>
      <c r="LY38" s="15" t="n">
        <f aca="false">LX38/Inputs!$B$34</f>
        <v>323.360640492296</v>
      </c>
      <c r="LZ38" s="15" t="n">
        <f aca="false">B38^2/LY38</f>
        <v>13.0659068264081</v>
      </c>
      <c r="MA38" s="15" t="n">
        <f aca="false">Inputs!$B$54*H38/(Inputs!$B$35*F38+E38*H38^2/(PI()*LZ38*Inputs!$B$36))</f>
        <v>20.1653964168401</v>
      </c>
      <c r="MB38" s="15" t="n">
        <f aca="false">EXP(-Inputs!$B$11*Inputs!$B$14*Inputs!$B$17/(Inputs!$B$51*MA38*Inputs!$B$16))</f>
        <v>0.762481217629115</v>
      </c>
      <c r="MC38" s="15" t="n">
        <f aca="false">Inputs!$B$50*Inputs!$B$18*MB38*Inputs!$B$19</f>
        <v>0.745038872202485</v>
      </c>
      <c r="MD38" s="15" t="n">
        <f aca="false">1-MC38</f>
        <v>0.254961127797515</v>
      </c>
      <c r="ME38" s="15" t="n">
        <f aca="false">Inputs!$B$20*MD38</f>
        <v>0.00764883383392545</v>
      </c>
      <c r="MF38" s="15" t="n">
        <f aca="false">0.8*(1-Inputs!$B$50)*(MC38-ME38)</f>
        <v>0.00177608354553482</v>
      </c>
      <c r="MG38" s="15" t="n">
        <f aca="false">MC38-ME38-MF38</f>
        <v>0.735613954823025</v>
      </c>
      <c r="MH38" s="15" t="n">
        <f aca="false">MG38*(1-Inputs!$B$18*EXP(-Inputs!$B$21*Inputs!$B$14*Inputs!$B$17/(Inputs!$B$22*Inputs!$B$23*Inputs!$B$24*MA38*Inputs!$B$16))*Inputs!$B$19)</f>
        <v>0.0261153284384584</v>
      </c>
      <c r="MI38" s="15" t="n">
        <f aca="false">(MG38-MH38)*(1-EXP(-Inputs!$B$25*Inputs!$B$14*Inputs!$B$17*Inputs!$B$26/(MA38*Inputs!$B$16/0.866)))</f>
        <v>0.00730906294988621</v>
      </c>
      <c r="MJ38" s="15" t="n">
        <f aca="false">(MG38-MH38-MI38)*(1-Inputs!$B$19)</f>
        <v>0.0035109478171734</v>
      </c>
      <c r="MK38" s="15" t="n">
        <f aca="false">(MD38+ME38+MF38+MH38+MI38+MJ38)*(1+Inputs!$B$27)</f>
        <v>0.302225348535641</v>
      </c>
      <c r="ML38" s="15" t="n">
        <f aca="false">Inputs!$B$52/(1-MK38-G38)</f>
        <v>194016.384295111</v>
      </c>
      <c r="MM38" s="15" t="n">
        <f aca="false">ML38/Inputs!$B$34</f>
        <v>323.360640491852</v>
      </c>
      <c r="MN38" s="15" t="n">
        <f aca="false">B38^2/MM38</f>
        <v>13.0659068264261</v>
      </c>
      <c r="MO38" s="15" t="n">
        <f aca="false">Inputs!$B$54*H38/(Inputs!$B$35*F38+E38*H38^2/(PI()*MN38*Inputs!$B$36))</f>
        <v>20.1653964168471</v>
      </c>
      <c r="MP38" s="15" t="n">
        <f aca="false">EXP(-Inputs!$B$11*Inputs!$B$14*Inputs!$B$17/(Inputs!$B$51*MO38*Inputs!$B$16))</f>
        <v>0.762481217629187</v>
      </c>
      <c r="MQ38" s="15" t="n">
        <f aca="false">Inputs!$B$50*Inputs!$B$18*MP38*Inputs!$B$19</f>
        <v>0.745038872202556</v>
      </c>
      <c r="MR38" s="15" t="n">
        <f aca="false">1-MQ38</f>
        <v>0.254961127797444</v>
      </c>
      <c r="MS38" s="15" t="n">
        <f aca="false">Inputs!$B$20*MR38</f>
        <v>0.00764883383392333</v>
      </c>
      <c r="MT38" s="15" t="n">
        <f aca="false">0.8*(1-Inputs!$B$50)*(MQ38-MS38)</f>
        <v>0.001776083545535</v>
      </c>
      <c r="MU38" s="15" t="n">
        <f aca="false">MQ38-MS38-MT38</f>
        <v>0.735613954823097</v>
      </c>
      <c r="MV38" s="15" t="n">
        <f aca="false">MU38*(1-Inputs!$B$18*EXP(-Inputs!$B$21*Inputs!$B$14*Inputs!$B$17/(Inputs!$B$22*Inputs!$B$23*Inputs!$B$24*MO38*Inputs!$B$16))*Inputs!$B$19)</f>
        <v>0.026115328438457</v>
      </c>
      <c r="MW38" s="15" t="n">
        <f aca="false">(MU38-MV38)*(1-EXP(-Inputs!$B$25*Inputs!$B$14*Inputs!$B$17*Inputs!$B$26/(MO38*Inputs!$B$16/0.866)))</f>
        <v>0.00730906294988445</v>
      </c>
      <c r="MX38" s="15" t="n">
        <f aca="false">(MU38-MV38-MW38)*(1-Inputs!$B$19)</f>
        <v>0.00351094781717378</v>
      </c>
      <c r="MY38" s="15" t="n">
        <f aca="false">(MR38+MS38+MT38+MV38+MW38+MX38)*(1+Inputs!$B$27)</f>
        <v>0.302225348535565</v>
      </c>
      <c r="MZ38" s="15" t="n">
        <f aca="false">Inputs!$B$52/(1-MY38-G38)</f>
        <v>194016.384295024</v>
      </c>
      <c r="NA38" s="15" t="n">
        <f aca="false">MZ38/Inputs!$B$34</f>
        <v>323.360640491707</v>
      </c>
      <c r="NB38" s="15" t="n">
        <f aca="false">B38^2/NA38</f>
        <v>13.065906826432</v>
      </c>
      <c r="NC38" s="15" t="n">
        <f aca="false">Inputs!$B$54*H38/(Inputs!$B$35*F38+E38*H38^2/(PI()*NB38*Inputs!$B$36))</f>
        <v>20.1653964168494</v>
      </c>
      <c r="ND38" s="15" t="n">
        <f aca="false">EXP(-Inputs!$B$11*Inputs!$B$14*Inputs!$B$17/(Inputs!$B$51*NC38*Inputs!$B$16))</f>
        <v>0.762481217629211</v>
      </c>
      <c r="NE38" s="15" t="n">
        <f aca="false">Inputs!$B$50*Inputs!$B$18*ND38*Inputs!$B$19</f>
        <v>0.745038872202579</v>
      </c>
      <c r="NF38" s="15" t="n">
        <f aca="false">1-NE38</f>
        <v>0.254961127797421</v>
      </c>
      <c r="NG38" s="15" t="n">
        <f aca="false">Inputs!$B$20*NF38</f>
        <v>0.00764883383392263</v>
      </c>
      <c r="NH38" s="15" t="n">
        <f aca="false">0.8*(1-Inputs!$B$50)*(NE38-NG38)</f>
        <v>0.00177608354553505</v>
      </c>
      <c r="NI38" s="15" t="n">
        <f aca="false">NE38-NG38-NH38</f>
        <v>0.735613954823121</v>
      </c>
      <c r="NJ38" s="15" t="n">
        <f aca="false">NI38*(1-Inputs!$B$18*EXP(-Inputs!$B$21*Inputs!$B$14*Inputs!$B$17/(Inputs!$B$22*Inputs!$B$23*Inputs!$B$24*NC38*Inputs!$B$16))*Inputs!$B$19)</f>
        <v>0.0261153284384566</v>
      </c>
      <c r="NK38" s="15" t="n">
        <f aca="false">(NI38-NJ38)*(1-EXP(-Inputs!$B$25*Inputs!$B$14*Inputs!$B$17*Inputs!$B$26/(NC38*Inputs!$B$16/0.866)))</f>
        <v>0.00730906294988384</v>
      </c>
      <c r="NL38" s="15" t="n">
        <f aca="false">(NI38-NJ38-NK38)*(1-Inputs!$B$19)</f>
        <v>0.00351094781717391</v>
      </c>
      <c r="NM38" s="15" t="n">
        <f aca="false">(NF38+NG38+NH38+NJ38+NK38+NL38)*(1+Inputs!$B$27)</f>
        <v>0.30222534853554</v>
      </c>
      <c r="NN38" s="15" t="n">
        <f aca="false">Inputs!$B$52/(1-NM38-G38)</f>
        <v>194016.384294995</v>
      </c>
    </row>
    <row r="39" customFormat="false" ht="15" hidden="false" customHeight="false" outlineLevel="0" collapsed="false">
      <c r="A39" s="21" t="s">
        <v>501</v>
      </c>
      <c r="B39" s="21" t="n">
        <v>65</v>
      </c>
      <c r="C39" s="22" t="n">
        <v>0.15</v>
      </c>
      <c r="D39" s="23" t="n">
        <f aca="false">B39*C39</f>
        <v>9.75</v>
      </c>
      <c r="E39" s="24" t="n">
        <f aca="false">IF(C39=0,1,(1+0.45*C39)/(1.04+2.81*C39))</f>
        <v>0.73041395826206</v>
      </c>
      <c r="F39" s="24" t="n">
        <f aca="false">1+Inputs!$B$42*D39</f>
        <v>1.04875</v>
      </c>
      <c r="G39" s="25" t="n">
        <f aca="false">Inputs!$B$31+Inputs!$B$43*(B39/Inputs!$B$32-1)+Inputs!$B$44+Inputs!$B$45*D39</f>
        <v>0.53156875</v>
      </c>
      <c r="H39" s="22" t="n">
        <f aca="false">Inputs!$B$38</f>
        <v>0.5</v>
      </c>
      <c r="I39" s="23" t="n">
        <f aca="false">Inputs!$B$40</f>
        <v>2.4</v>
      </c>
      <c r="J39" s="26" t="n">
        <f aca="false">NN39/Inputs!$B$34</f>
        <v>324.04337962932</v>
      </c>
      <c r="K39" s="23" t="n">
        <f aca="false">B39^2/J39</f>
        <v>13.0383777777934</v>
      </c>
      <c r="L39" s="23" t="n">
        <f aca="false">2*K39</f>
        <v>26.0767555555868</v>
      </c>
      <c r="M39" s="22" t="n">
        <f aca="false">NC39</f>
        <v>20.3151372923977</v>
      </c>
      <c r="N39" s="23" t="n">
        <f aca="false">B39/SQRT(E39)</f>
        <v>76.0551845747716</v>
      </c>
      <c r="O39" s="24" t="n">
        <f aca="false">NM39</f>
        <v>0.30062964250473</v>
      </c>
      <c r="P39" s="23" t="n">
        <f aca="false">NN39/1000</f>
        <v>194.426027777592</v>
      </c>
      <c r="Q39" s="23" t="n">
        <f aca="false">G39*NN39/1000</f>
        <v>103.3508005532</v>
      </c>
      <c r="R39" s="23" t="n">
        <f aca="false">NM39*NN39/1000</f>
        <v>58.4502272243922</v>
      </c>
      <c r="S39" s="23" t="n">
        <f aca="false">NM39*NN39/Inputs!$B$28/1000</f>
        <v>77.9336362991896</v>
      </c>
      <c r="T39" s="27" t="n">
        <f aca="false">R39/Sweep!$R$5-1</f>
        <v>-0.0647458087418878</v>
      </c>
      <c r="U39" s="27" t="n">
        <f aca="false">R39/SUMIFS(Sweep!$R:$R,Sweep!$A:$A,"Conventional",Sweep!$B:$B,B39)-1</f>
        <v>-0.0521773666597453</v>
      </c>
      <c r="V39" s="26" t="n">
        <f aca="false">2*0.54*(J39/2)^1.5/SQRT(L39)*Inputs!$B$46*Inputs!$B$47</f>
        <v>40.7819816069352</v>
      </c>
      <c r="W39" s="28" t="n">
        <f aca="false">MIN(1,V39/S39)</f>
        <v>0.523291142868939</v>
      </c>
      <c r="X39" s="26" t="n">
        <f aca="false">1.23*SQRT(2*Inputs!$B$41*NN39*Inputs!$B$49/(1.225*J39*I39))/0.5144</f>
        <v>133.62967568068</v>
      </c>
      <c r="Y39" s="29" t="n">
        <f aca="false">(11000+6341.6*LN(0.36392/(2*Inputs!$B$50*Inputs!$B$18*(1+ND39)/2*Inputs!$B$34*Inputs!$B$49/((Inputs!$B$12*295.07)^2*H39))))/0.3048</f>
        <v>38494.9724920782</v>
      </c>
      <c r="Z39" s="26" t="n">
        <f aca="false">NN39-MZ39</f>
        <v>-5.67524693906307E-009</v>
      </c>
      <c r="AA39" s="30" t="str">
        <f aca="false">IF(ABS(NN39-MZ39)&lt;10,"Yes","No")</f>
        <v>Yes</v>
      </c>
      <c r="AC39" s="15" t="n">
        <f aca="false">Inputs!$B$52/(1-0.3154-G39)/Inputs!$B$34</f>
        <v>355.31958341842</v>
      </c>
      <c r="AD39" s="15" t="n">
        <f aca="false">B39^2/AC39</f>
        <v>11.8907040229885</v>
      </c>
      <c r="AE39" s="15" t="n">
        <f aca="false">Inputs!$B$54*H39/(Inputs!$B$35*F39+E39*H39^2/(PI()*AD39*Inputs!$B$36))</f>
        <v>19.8587120962565</v>
      </c>
      <c r="AF39" s="15" t="n">
        <f aca="false">EXP(-Inputs!$B$11*Inputs!$B$14*Inputs!$B$17/(Inputs!$B$51*AE39*Inputs!$B$16))</f>
        <v>0.759294716529563</v>
      </c>
      <c r="AG39" s="15" t="n">
        <f aca="false">Inputs!$B$50*Inputs!$B$18*AF39*Inputs!$B$19</f>
        <v>0.741925264771126</v>
      </c>
      <c r="AH39" s="15" t="n">
        <f aca="false">1-AG39</f>
        <v>0.258074735228874</v>
      </c>
      <c r="AI39" s="15" t="n">
        <f aca="false">Inputs!$B$20*AH39</f>
        <v>0.00774224205686622</v>
      </c>
      <c r="AJ39" s="15" t="n">
        <f aca="false">0.8*(1-Inputs!$B$50)*(AG39-AI39)</f>
        <v>0.00176835910197375</v>
      </c>
      <c r="AK39" s="15" t="n">
        <f aca="false">AG39-AI39-AJ39</f>
        <v>0.732414663612286</v>
      </c>
      <c r="AL39" s="15" t="n">
        <f aca="false">AK39*(1-Inputs!$B$18*EXP(-Inputs!$B$21*Inputs!$B$14*Inputs!$B$17/(Inputs!$B$22*Inputs!$B$23*Inputs!$B$24*AE39*Inputs!$B$16))*Inputs!$B$19)</f>
        <v>0.0261765032631513</v>
      </c>
      <c r="AM39" s="15" t="n">
        <f aca="false">(AK39-AL39)*(1-EXP(-Inputs!$B$25*Inputs!$B$14*Inputs!$B$17*Inputs!$B$26/(AE39*Inputs!$B$16/0.866)))</f>
        <v>0.00738724227317412</v>
      </c>
      <c r="AN39" s="15" t="n">
        <f aca="false">(AK39-AL39-AM39)*(1-Inputs!$B$19)</f>
        <v>0.00349425459037981</v>
      </c>
      <c r="AO39" s="15" t="n">
        <f aca="false">(AH39+AI39+AJ39+AL39+AM39+AN39)*(1+Inputs!$B$27)</f>
        <v>0.305557266523963</v>
      </c>
      <c r="AP39" s="15" t="n">
        <f aca="false">Inputs!$B$52/(1-AO39-G39)</f>
        <v>200308.234032969</v>
      </c>
      <c r="AQ39" s="15" t="n">
        <f aca="false">AP39/Inputs!$B$34</f>
        <v>333.847056721615</v>
      </c>
      <c r="AR39" s="15" t="n">
        <f aca="false">B39^2/AQ39</f>
        <v>12.6554957275634</v>
      </c>
      <c r="AS39" s="15" t="n">
        <f aca="false">Inputs!$B$54*H39/(Inputs!$B$35*F39+E39*H39^2/(PI()*AR39*Inputs!$B$36))</f>
        <v>20.1698272352553</v>
      </c>
      <c r="AT39" s="15" t="n">
        <f aca="false">EXP(-Inputs!$B$11*Inputs!$B$14*Inputs!$B$17/(Inputs!$B$51*AS39*Inputs!$B$16))</f>
        <v>0.762526640790538</v>
      </c>
      <c r="AU39" s="15" t="n">
        <f aca="false">Inputs!$B$50*Inputs!$B$18*AT39*Inputs!$B$19</f>
        <v>0.745083256274087</v>
      </c>
      <c r="AV39" s="15" t="n">
        <f aca="false">1-AU39</f>
        <v>0.254916743725913</v>
      </c>
      <c r="AW39" s="15" t="n">
        <f aca="false">Inputs!$B$20*AV39</f>
        <v>0.00764750231177738</v>
      </c>
      <c r="AX39" s="15" t="n">
        <f aca="false">0.8*(1-Inputs!$B$50)*(AU39-AW39)</f>
        <v>0.00177619365647965</v>
      </c>
      <c r="AY39" s="15" t="n">
        <f aca="false">AU39-AW39-AX39</f>
        <v>0.735659560305831</v>
      </c>
      <c r="AZ39" s="15" t="n">
        <f aca="false">AY39*(1-Inputs!$B$18*EXP(-Inputs!$B$21*Inputs!$B$14*Inputs!$B$17/(Inputs!$B$22*Inputs!$B$23*Inputs!$B$24*AS39*Inputs!$B$16))*Inputs!$B$19)</f>
        <v>0.0261144503557545</v>
      </c>
      <c r="BA39" s="15" t="n">
        <f aca="false">(AY39-AZ39)*(1-EXP(-Inputs!$B$25*Inputs!$B$14*Inputs!$B$17*Inputs!$B$26/(AS39*Inputs!$B$16/0.866)))</f>
        <v>0.00730794438081673</v>
      </c>
      <c r="BB39" s="15" t="n">
        <f aca="false">(AY39-AZ39-BA39)*(1-Inputs!$B$19)</f>
        <v>0.0035111858278463</v>
      </c>
      <c r="BC39" s="15" t="n">
        <f aca="false">(AV39+AW39+AX39+AZ39+BA39+BB39)*(1+Inputs!$B$27)</f>
        <v>0.302177842319363</v>
      </c>
      <c r="BD39" s="15" t="n">
        <f aca="false">Inputs!$B$52/(1-BC39-G39)</f>
        <v>196236.579178399</v>
      </c>
      <c r="BE39" s="15" t="n">
        <f aca="false">BD39/Inputs!$B$34</f>
        <v>327.060965297332</v>
      </c>
      <c r="BF39" s="15" t="n">
        <f aca="false">B39^2/BE39</f>
        <v>12.9180808726564</v>
      </c>
      <c r="BG39" s="15" t="n">
        <f aca="false">Inputs!$B$54*H39/(Inputs!$B$35*F39+E39*H39^2/(PI()*BF39*Inputs!$B$36))</f>
        <v>20.2701881009273</v>
      </c>
      <c r="BH39" s="15" t="n">
        <f aca="false">EXP(-Inputs!$B$11*Inputs!$B$14*Inputs!$B$17/(Inputs!$B$51*BG39*Inputs!$B$16))</f>
        <v>0.763550903223725</v>
      </c>
      <c r="BI39" s="15" t="n">
        <f aca="false">Inputs!$B$50*Inputs!$B$18*BH39*Inputs!$B$19</f>
        <v>0.746084087914812</v>
      </c>
      <c r="BJ39" s="15" t="n">
        <f aca="false">1-BI39</f>
        <v>0.253915912085189</v>
      </c>
      <c r="BK39" s="15" t="n">
        <f aca="false">Inputs!$B$20*BJ39</f>
        <v>0.00761747736255565</v>
      </c>
      <c r="BL39" s="15" t="n">
        <f aca="false">0.8*(1-Inputs!$B$50)*(BI39-BK39)</f>
        <v>0.00177867658590905</v>
      </c>
      <c r="BM39" s="15" t="n">
        <f aca="false">BI39-BK39-BL39</f>
        <v>0.736687933966347</v>
      </c>
      <c r="BN39" s="15" t="n">
        <f aca="false">BM39*(1-Inputs!$B$18*EXP(-Inputs!$B$21*Inputs!$B$14*Inputs!$B$17/(Inputs!$B$22*Inputs!$B$23*Inputs!$B$24*BG39*Inputs!$B$16))*Inputs!$B$19)</f>
        <v>0.026094605145621</v>
      </c>
      <c r="BO39" s="15" t="n">
        <f aca="false">(BM39-BN39)*(1-EXP(-Inputs!$B$25*Inputs!$B$14*Inputs!$B$17*Inputs!$B$26/(BG39*Inputs!$B$16/0.866)))</f>
        <v>0.00728269058867622</v>
      </c>
      <c r="BP39" s="15" t="n">
        <f aca="false">(BM39-BN39-BO39)*(1-Inputs!$B$19)</f>
        <v>0.00351655319116025</v>
      </c>
      <c r="BQ39" s="15" t="n">
        <f aca="false">(BJ39+BK39+BL39+BN39+BO39+BP39)*(1+Inputs!$B$27)</f>
        <v>0.301106532703988</v>
      </c>
      <c r="BR39" s="15" t="n">
        <f aca="false">Inputs!$B$52/(1-BQ39-G39)</f>
        <v>194980.15910156</v>
      </c>
      <c r="BS39" s="15" t="n">
        <f aca="false">BR39/Inputs!$B$34</f>
        <v>324.966931835934</v>
      </c>
      <c r="BT39" s="15" t="n">
        <f aca="false">B39^2/BS39</f>
        <v>13.0013228611614</v>
      </c>
      <c r="BU39" s="15" t="n">
        <f aca="false">Inputs!$B$54*H39/(Inputs!$B$35*F39+E39*H39^2/(PI()*BT39*Inputs!$B$36))</f>
        <v>20.3013591375486</v>
      </c>
      <c r="BV39" s="15" t="n">
        <f aca="false">EXP(-Inputs!$B$11*Inputs!$B$14*Inputs!$B$17/(Inputs!$B$51*BU39*Inputs!$B$16))</f>
        <v>0.763867245007292</v>
      </c>
      <c r="BW39" s="15" t="n">
        <f aca="false">Inputs!$B$50*Inputs!$B$18*BV39*Inputs!$B$19</f>
        <v>0.746393193136304</v>
      </c>
      <c r="BX39" s="15" t="n">
        <f aca="false">1-BW39</f>
        <v>0.253606806863696</v>
      </c>
      <c r="BY39" s="15" t="n">
        <f aca="false">Inputs!$B$20*BX39</f>
        <v>0.00760820420591089</v>
      </c>
      <c r="BZ39" s="15" t="n">
        <f aca="false">0.8*(1-Inputs!$B$50)*(BW39-BY39)</f>
        <v>0.00177944343461766</v>
      </c>
      <c r="CA39" s="15" t="n">
        <f aca="false">BW39-BY39-BZ39</f>
        <v>0.737005545495775</v>
      </c>
      <c r="CB39" s="15" t="n">
        <f aca="false">CA39*(1-Inputs!$B$18*EXP(-Inputs!$B$21*Inputs!$B$14*Inputs!$B$17/(Inputs!$B$22*Inputs!$B$23*Inputs!$B$24*BU39*Inputs!$B$16))*Inputs!$B$19)</f>
        <v>0.0260884585682829</v>
      </c>
      <c r="CC39" s="15" t="n">
        <f aca="false">(CA39-CB39)*(1-EXP(-Inputs!$B$25*Inputs!$B$14*Inputs!$B$17*Inputs!$B$26/(BU39*Inputs!$B$16/0.866)))</f>
        <v>0.00727487908265608</v>
      </c>
      <c r="CD39" s="15" t="n">
        <f aca="false">(CA39-CB39-CC39)*(1-Inputs!$B$19)</f>
        <v>0.00351821103922418</v>
      </c>
      <c r="CE39" s="15" t="n">
        <f aca="false">(BX39+BY39+BZ39+CB39+CC39+CD39)*(1+Inputs!$B$27)</f>
        <v>0.300775631203971</v>
      </c>
      <c r="CF39" s="15" t="n">
        <f aca="false">Inputs!$B$52/(1-CE39-G39)</f>
        <v>194595.327220687</v>
      </c>
      <c r="CG39" s="15" t="n">
        <f aca="false">CF39/Inputs!$B$34</f>
        <v>324.325545367812</v>
      </c>
      <c r="CH39" s="15" t="n">
        <f aca="false">B39^2/CG39</f>
        <v>13.0270342880593</v>
      </c>
      <c r="CI39" s="15" t="n">
        <f aca="false">Inputs!$B$54*H39/(Inputs!$B$35*F39+E39*H39^2/(PI()*CH39*Inputs!$B$36))</f>
        <v>20.3109257760075</v>
      </c>
      <c r="CJ39" s="15" t="n">
        <f aca="false">EXP(-Inputs!$B$11*Inputs!$B$14*Inputs!$B$17/(Inputs!$B$51*CI39*Inputs!$B$16))</f>
        <v>0.763964164298187</v>
      </c>
      <c r="CK39" s="15" t="n">
        <f aca="false">Inputs!$B$50*Inputs!$B$18*CJ39*Inputs!$B$19</f>
        <v>0.746487895323733</v>
      </c>
      <c r="CL39" s="15" t="n">
        <f aca="false">1-CK39</f>
        <v>0.253512104676267</v>
      </c>
      <c r="CM39" s="15" t="n">
        <f aca="false">Inputs!$B$20*CL39</f>
        <v>0.00760536314028801</v>
      </c>
      <c r="CN39" s="15" t="n">
        <f aca="false">0.8*(1-Inputs!$B$50)*(CK39-CM39)</f>
        <v>0.0017796783780773</v>
      </c>
      <c r="CO39" s="15" t="n">
        <f aca="false">CK39-CM39-CN39</f>
        <v>0.737102853805368</v>
      </c>
      <c r="CP39" s="15" t="n">
        <f aca="false">CO39*(1-Inputs!$B$18*EXP(-Inputs!$B$21*Inputs!$B$14*Inputs!$B$17/(Inputs!$B$22*Inputs!$B$23*Inputs!$B$24*CI39*Inputs!$B$16))*Inputs!$B$19)</f>
        <v>0.026086573765263</v>
      </c>
      <c r="CQ39" s="15" t="n">
        <f aca="false">(CO39-CP39)*(1-EXP(-Inputs!$B$25*Inputs!$B$14*Inputs!$B$17*Inputs!$B$26/(CI39*Inputs!$B$16/0.866)))</f>
        <v>0.00727248470605264</v>
      </c>
      <c r="CR39" s="15" t="n">
        <f aca="false">(CO39-CP39-CQ39)*(1-Inputs!$B$19)</f>
        <v>0.00351871897667026</v>
      </c>
      <c r="CS39" s="15" t="n">
        <f aca="false">(CL39+CM39+CN39+CP39+CQ39+CR39)*(1+Inputs!$B$27)</f>
        <v>0.300674248413546</v>
      </c>
      <c r="CT39" s="15" t="n">
        <f aca="false">Inputs!$B$52/(1-CS39-G39)</f>
        <v>194477.724872703</v>
      </c>
      <c r="CU39" s="15" t="n">
        <f aca="false">CT39/Inputs!$B$34</f>
        <v>324.129541454505</v>
      </c>
      <c r="CV39" s="15" t="n">
        <f aca="false">B39^2/CU39</f>
        <v>13.0349118474072</v>
      </c>
      <c r="CW39" s="15" t="n">
        <f aca="false">Inputs!$B$54*H39/(Inputs!$B$35*F39+E39*H39^2/(PI()*CV39*Inputs!$B$36))</f>
        <v>20.3138510830798</v>
      </c>
      <c r="CX39" s="15" t="n">
        <f aca="false">EXP(-Inputs!$B$11*Inputs!$B$14*Inputs!$B$17/(Inputs!$B$51*CW39*Inputs!$B$16))</f>
        <v>0.763993784713664</v>
      </c>
      <c r="CY39" s="15" t="n">
        <f aca="false">Inputs!$B$50*Inputs!$B$18*CX39*Inputs!$B$19</f>
        <v>0.746516838149381</v>
      </c>
      <c r="CZ39" s="15" t="n">
        <f aca="false">1-CY39</f>
        <v>0.25348316185062</v>
      </c>
      <c r="DA39" s="15" t="n">
        <f aca="false">Inputs!$B$20*CZ39</f>
        <v>0.00760449485551858</v>
      </c>
      <c r="DB39" s="15" t="n">
        <f aca="false">0.8*(1-Inputs!$B$50)*(CY39-DA39)</f>
        <v>0.00177975018135634</v>
      </c>
      <c r="DC39" s="15" t="n">
        <f aca="false">CY39-DA39-DB39</f>
        <v>0.737132593112506</v>
      </c>
      <c r="DD39" s="15" t="n">
        <f aca="false">DC39*(1-Inputs!$B$18*EXP(-Inputs!$B$21*Inputs!$B$14*Inputs!$B$17/(Inputs!$B$22*Inputs!$B$23*Inputs!$B$24*CW39*Inputs!$B$16))*Inputs!$B$19)</f>
        <v>0.0260859975790895</v>
      </c>
      <c r="DE39" s="15" t="n">
        <f aca="false">(DC39-DD39)*(1-EXP(-Inputs!$B$25*Inputs!$B$14*Inputs!$B$17*Inputs!$B$26/(CW39*Inputs!$B$16/0.866)))</f>
        <v>0.00727175283289575</v>
      </c>
      <c r="DF39" s="15" t="n">
        <f aca="false">(DC39-DD39-DE39)*(1-Inputs!$B$19)</f>
        <v>0.00351887421350261</v>
      </c>
      <c r="DG39" s="15" t="n">
        <f aca="false">(CZ39+DA39+DB39+DD39+DE39+DF39)*(1+Inputs!$B$27)</f>
        <v>0.300643263607521</v>
      </c>
      <c r="DH39" s="15" t="n">
        <f aca="false">Inputs!$B$52/(1-DG39-G39)</f>
        <v>194441.81136834</v>
      </c>
      <c r="DI39" s="15" t="n">
        <f aca="false">DH39/Inputs!$B$34</f>
        <v>324.0696856139</v>
      </c>
      <c r="DJ39" s="15" t="n">
        <f aca="false">B39^2/DI39</f>
        <v>13.0373194024501</v>
      </c>
      <c r="DK39" s="15" t="n">
        <f aca="false">Inputs!$B$54*H39/(Inputs!$B$35*F39+E39*H39^2/(PI()*DJ39*Inputs!$B$36))</f>
        <v>20.3147445837866</v>
      </c>
      <c r="DL39" s="15" t="n">
        <f aca="false">EXP(-Inputs!$B$11*Inputs!$B$14*Inputs!$B$17/(Inputs!$B$51*DK39*Inputs!$B$16))</f>
        <v>0.764002830450067</v>
      </c>
      <c r="DM39" s="15" t="n">
        <f aca="false">Inputs!$B$50*Inputs!$B$18*DL39*Inputs!$B$19</f>
        <v>0.746525676957592</v>
      </c>
      <c r="DN39" s="15" t="n">
        <f aca="false">1-DM39</f>
        <v>0.253474323042408</v>
      </c>
      <c r="DO39" s="15" t="n">
        <f aca="false">Inputs!$B$20*DN39</f>
        <v>0.00760422969127224</v>
      </c>
      <c r="DP39" s="15" t="n">
        <f aca="false">0.8*(1-Inputs!$B$50)*(DM39-DO39)</f>
        <v>0.00177977210925724</v>
      </c>
      <c r="DQ39" s="15" t="n">
        <f aca="false">DM39-DO39-DP39</f>
        <v>0.737141675157063</v>
      </c>
      <c r="DR39" s="15" t="n">
        <f aca="false">DQ39*(1-Inputs!$B$18*EXP(-Inputs!$B$21*Inputs!$B$14*Inputs!$B$17/(Inputs!$B$22*Inputs!$B$23*Inputs!$B$24*DK39*Inputs!$B$16))*Inputs!$B$19)</f>
        <v>0.0260858216040646</v>
      </c>
      <c r="DS39" s="15" t="n">
        <f aca="false">(DQ39-DR39)*(1-EXP(-Inputs!$B$25*Inputs!$B$14*Inputs!$B$17*Inputs!$B$26/(DK39*Inputs!$B$16/0.866)))</f>
        <v>0.00727152931737914</v>
      </c>
      <c r="DT39" s="15" t="n">
        <f aca="false">(DQ39-DR39-DS39)*(1-Inputs!$B$19)</f>
        <v>0.0035189216211781</v>
      </c>
      <c r="DU39" s="15" t="n">
        <f aca="false">(DN39+DO39+DP39+DR39+DS39+DT39)*(1+Inputs!$B$27)</f>
        <v>0.300633801177716</v>
      </c>
      <c r="DV39" s="15" t="n">
        <f aca="false">Inputs!$B$52/(1-DU39-G39)</f>
        <v>194430.846410266</v>
      </c>
      <c r="DW39" s="15" t="n">
        <f aca="false">DV39/Inputs!$B$34</f>
        <v>324.051410683777</v>
      </c>
      <c r="DX39" s="15" t="n">
        <f aca="false">B39^2/DW39</f>
        <v>13.0380546441223</v>
      </c>
      <c r="DY39" s="15" t="n">
        <f aca="false">Inputs!$B$54*H39/(Inputs!$B$35*F39+E39*H39^2/(PI()*DX39*Inputs!$B$36))</f>
        <v>20.3150173992767</v>
      </c>
      <c r="DZ39" s="15" t="n">
        <f aca="false">EXP(-Inputs!$B$11*Inputs!$B$14*Inputs!$B$17/(Inputs!$B$51*DY39*Inputs!$B$16))</f>
        <v>0.76400559227709</v>
      </c>
      <c r="EA39" s="15" t="n">
        <f aca="false">Inputs!$B$50*Inputs!$B$18*DZ39*Inputs!$B$19</f>
        <v>0.746528375605694</v>
      </c>
      <c r="EB39" s="15" t="n">
        <f aca="false">1-EA39</f>
        <v>0.253471624394306</v>
      </c>
      <c r="EC39" s="15" t="n">
        <f aca="false">Inputs!$B$20*EB39</f>
        <v>0.00760414873182917</v>
      </c>
      <c r="ED39" s="15" t="n">
        <f aca="false">0.8*(1-Inputs!$B$50)*(EA39-EC39)</f>
        <v>0.00177977880424221</v>
      </c>
      <c r="EE39" s="15" t="n">
        <f aca="false">EA39-EC39-ED39</f>
        <v>0.737144448069623</v>
      </c>
      <c r="EF39" s="15" t="n">
        <f aca="false">EE39*(1-Inputs!$B$18*EXP(-Inputs!$B$21*Inputs!$B$14*Inputs!$B$17/(Inputs!$B$22*Inputs!$B$23*Inputs!$B$24*DY39*Inputs!$B$16))*Inputs!$B$19)</f>
        <v>0.0260857678743668</v>
      </c>
      <c r="EG39" s="15" t="n">
        <f aca="false">(EE39-EF39)*(1-EXP(-Inputs!$B$25*Inputs!$B$14*Inputs!$B$17*Inputs!$B$26/(DY39*Inputs!$B$16/0.866)))</f>
        <v>0.00727146107313156</v>
      </c>
      <c r="EH39" s="15" t="n">
        <f aca="false">(EE39-EF39-EG39)*(1-Inputs!$B$19)</f>
        <v>0.00351893609561063</v>
      </c>
      <c r="EI39" s="15" t="n">
        <f aca="false">(EB39+EC39+ED39+EF39+EG39+EH39)*(1+Inputs!$B$27)</f>
        <v>0.300630912124406</v>
      </c>
      <c r="EJ39" s="15" t="n">
        <f aca="false">Inputs!$B$52/(1-EI39-G39)</f>
        <v>194427.498853954</v>
      </c>
      <c r="EK39" s="15" t="n">
        <f aca="false">EJ39/Inputs!$B$34</f>
        <v>324.045831423256</v>
      </c>
      <c r="EL39" s="15" t="n">
        <f aca="false">B39^2/EK39</f>
        <v>13.0382791268852</v>
      </c>
      <c r="EM39" s="15" t="n">
        <f aca="false">Inputs!$B$54*H39/(Inputs!$B$35*F39+E39*H39^2/(PI()*EL39*Inputs!$B$36))</f>
        <v>20.3151006901766</v>
      </c>
      <c r="EN39" s="15" t="n">
        <f aca="false">EXP(-Inputs!$B$11*Inputs!$B$14*Inputs!$B$17/(Inputs!$B$51*EM39*Inputs!$B$16))</f>
        <v>0.764006435453438</v>
      </c>
      <c r="EO39" s="15" t="n">
        <f aca="false">Inputs!$B$50*Inputs!$B$18*EN39*Inputs!$B$19</f>
        <v>0.746529199493733</v>
      </c>
      <c r="EP39" s="15" t="n">
        <f aca="false">1-EO39</f>
        <v>0.253470800506267</v>
      </c>
      <c r="EQ39" s="15" t="n">
        <f aca="false">Inputs!$B$20*EP39</f>
        <v>0.00760412401518801</v>
      </c>
      <c r="ER39" s="15" t="n">
        <f aca="false">0.8*(1-Inputs!$B$50)*(EO39-EQ39)</f>
        <v>0.00177978084819823</v>
      </c>
      <c r="ES39" s="15" t="n">
        <f aca="false">EO39-EQ39-ER39</f>
        <v>0.737145294630347</v>
      </c>
      <c r="ET39" s="15" t="n">
        <f aca="false">ES39*(1-Inputs!$B$18*EXP(-Inputs!$B$21*Inputs!$B$14*Inputs!$B$17/(Inputs!$B$22*Inputs!$B$23*Inputs!$B$24*EM39*Inputs!$B$16))*Inputs!$B$19)</f>
        <v>0.026085751470749</v>
      </c>
      <c r="EU39" s="15" t="n">
        <f aca="false">(ES39-ET39)*(1-EXP(-Inputs!$B$25*Inputs!$B$14*Inputs!$B$17*Inputs!$B$26/(EM39*Inputs!$B$16/0.866)))</f>
        <v>0.00727144023831075</v>
      </c>
      <c r="EV39" s="15" t="n">
        <f aca="false">(ES39-ET39-EU39)*(1-Inputs!$B$19)</f>
        <v>0.00351894051460644</v>
      </c>
      <c r="EW39" s="15" t="n">
        <f aca="false">(EP39+EQ39+ER39+ET39+EU39+EV39)*(1+Inputs!$B$27)</f>
        <v>0.300630030106099</v>
      </c>
      <c r="EX39" s="15" t="n">
        <f aca="false">Inputs!$B$52/(1-EW39-G39)</f>
        <v>194426.476879182</v>
      </c>
      <c r="EY39" s="15" t="n">
        <f aca="false">EX39/Inputs!$B$34</f>
        <v>324.04412813197</v>
      </c>
      <c r="EZ39" s="15" t="n">
        <f aca="false">B39^2/EY39</f>
        <v>13.0383476607215</v>
      </c>
      <c r="FA39" s="15" t="n">
        <f aca="false">Inputs!$B$54*H39/(Inputs!$B$35*F39+E39*H39^2/(PI()*EZ39*Inputs!$B$36))</f>
        <v>20.3151261181742</v>
      </c>
      <c r="FB39" s="15" t="n">
        <f aca="false">EXP(-Inputs!$B$11*Inputs!$B$14*Inputs!$B$17/(Inputs!$B$51*FA39*Inputs!$B$16))</f>
        <v>0.764006692866755</v>
      </c>
      <c r="FC39" s="15" t="n">
        <f aca="false">Inputs!$B$50*Inputs!$B$18*FB39*Inputs!$B$19</f>
        <v>0.746529451018523</v>
      </c>
      <c r="FD39" s="15" t="n">
        <f aca="false">1-FC39</f>
        <v>0.253470548981478</v>
      </c>
      <c r="FE39" s="15" t="n">
        <f aca="false">Inputs!$B$20*FD39</f>
        <v>0.00760411646944432</v>
      </c>
      <c r="FF39" s="15" t="n">
        <f aca="false">0.8*(1-Inputs!$B$50)*(FC39-FE39)</f>
        <v>0.00177978147219759</v>
      </c>
      <c r="FG39" s="15" t="n">
        <f aca="false">FC39-FE39-FF39</f>
        <v>0.737145553076881</v>
      </c>
      <c r="FH39" s="15" t="n">
        <f aca="false">FG39*(1-Inputs!$B$18*EXP(-Inputs!$B$21*Inputs!$B$14*Inputs!$B$17/(Inputs!$B$22*Inputs!$B$23*Inputs!$B$24*FA39*Inputs!$B$16))*Inputs!$B$19)</f>
        <v>0.0260857464628768</v>
      </c>
      <c r="FI39" s="15" t="n">
        <f aca="false">(FG39-FH39)*(1-EXP(-Inputs!$B$25*Inputs!$B$14*Inputs!$B$17*Inputs!$B$26/(FA39*Inputs!$B$16/0.866)))</f>
        <v>0.00727143387764013</v>
      </c>
      <c r="FJ39" s="15" t="n">
        <f aca="false">(FG39-FH39-FI39)*(1-Inputs!$B$19)</f>
        <v>0.00351894186368182</v>
      </c>
      <c r="FK39" s="15" t="n">
        <f aca="false">(FD39+FE39+FF39+FH39+FI39+FJ39)*(1+Inputs!$B$27)</f>
        <v>0.3006297608347</v>
      </c>
      <c r="FL39" s="15" t="n">
        <f aca="false">Inputs!$B$52/(1-FK39-G39)</f>
        <v>194426.164882609</v>
      </c>
      <c r="FM39" s="15" t="n">
        <f aca="false">FL39/Inputs!$B$34</f>
        <v>324.043608137682</v>
      </c>
      <c r="FN39" s="15" t="n">
        <f aca="false">B39^2/FM39</f>
        <v>13.0383685834187</v>
      </c>
      <c r="FO39" s="15" t="n">
        <f aca="false">Inputs!$B$54*H39/(Inputs!$B$35*F39+E39*H39^2/(PI()*FN39*Inputs!$B$36))</f>
        <v>20.3151338810479</v>
      </c>
      <c r="FP39" s="15" t="n">
        <f aca="false">EXP(-Inputs!$B$11*Inputs!$B$14*Inputs!$B$17/(Inputs!$B$51*FO39*Inputs!$B$16))</f>
        <v>0.764006771451954</v>
      </c>
      <c r="FQ39" s="15" t="n">
        <f aca="false">Inputs!$B$50*Inputs!$B$18*FP39*Inputs!$B$19</f>
        <v>0.746529527806024</v>
      </c>
      <c r="FR39" s="15" t="n">
        <f aca="false">1-FQ39</f>
        <v>0.253470472193976</v>
      </c>
      <c r="FS39" s="15" t="n">
        <f aca="false">Inputs!$B$20*FR39</f>
        <v>0.00760411416581927</v>
      </c>
      <c r="FT39" s="15" t="n">
        <f aca="false">0.8*(1-Inputs!$B$50)*(FQ39-FS39)</f>
        <v>0.00177978166269711</v>
      </c>
      <c r="FU39" s="15" t="n">
        <f aca="false">FQ39-FS39-FT39</f>
        <v>0.737145631977508</v>
      </c>
      <c r="FV39" s="15" t="n">
        <f aca="false">FU39*(1-Inputs!$B$18*EXP(-Inputs!$B$21*Inputs!$B$14*Inputs!$B$17/(Inputs!$B$22*Inputs!$B$23*Inputs!$B$24*FO39*Inputs!$B$16))*Inputs!$B$19)</f>
        <v>0.0260857449340323</v>
      </c>
      <c r="FW39" s="15" t="n">
        <f aca="false">(FU39-FV39)*(1-EXP(-Inputs!$B$25*Inputs!$B$14*Inputs!$B$17*Inputs!$B$26/(FO39*Inputs!$B$16/0.866)))</f>
        <v>0.00727143193580293</v>
      </c>
      <c r="FX39" s="15" t="n">
        <f aca="false">(FU39-FV39-FW39)*(1-Inputs!$B$19)</f>
        <v>0.00351894227553837</v>
      </c>
      <c r="FY39" s="15" t="n">
        <f aca="false">(FR39+FS39+FT39+FV39+FW39+FX39)*(1+Inputs!$B$27)</f>
        <v>0.300629678629369</v>
      </c>
      <c r="FZ39" s="15" t="n">
        <f aca="false">Inputs!$B$52/(1-FY39-G39)</f>
        <v>194426.069633995</v>
      </c>
      <c r="GA39" s="15" t="n">
        <f aca="false">FZ39/Inputs!$B$34</f>
        <v>324.043449389992</v>
      </c>
      <c r="GB39" s="15" t="n">
        <f aca="false">B39^2/GA39</f>
        <v>13.0383749708674</v>
      </c>
      <c r="GC39" s="15" t="n">
        <f aca="false">Inputs!$B$54*H39/(Inputs!$B$35*F39+E39*H39^2/(PI()*GB39*Inputs!$B$36))</f>
        <v>20.3151362509564</v>
      </c>
      <c r="GD39" s="15" t="n">
        <f aca="false">EXP(-Inputs!$B$11*Inputs!$B$14*Inputs!$B$17/(Inputs!$B$51*GC39*Inputs!$B$16))</f>
        <v>0.764006795443024</v>
      </c>
      <c r="GE39" s="15" t="n">
        <f aca="false">Inputs!$B$50*Inputs!$B$18*GD39*Inputs!$B$19</f>
        <v>0.746529551248281</v>
      </c>
      <c r="GF39" s="15" t="n">
        <f aca="false">1-GE39</f>
        <v>0.253470448751719</v>
      </c>
      <c r="GG39" s="15" t="n">
        <f aca="false">Inputs!$B$20*GF39</f>
        <v>0.00760411346255158</v>
      </c>
      <c r="GH39" s="15" t="n">
        <f aca="false">0.8*(1-Inputs!$B$50)*(GE39-GG39)</f>
        <v>0.00177978172085421</v>
      </c>
      <c r="GI39" s="15" t="n">
        <f aca="false">GE39-GG39-GH39</f>
        <v>0.737145656064875</v>
      </c>
      <c r="GJ39" s="15" t="n">
        <f aca="false">GI39*(1-Inputs!$B$18*EXP(-Inputs!$B$21*Inputs!$B$14*Inputs!$B$17/(Inputs!$B$22*Inputs!$B$23*Inputs!$B$24*GC39*Inputs!$B$16))*Inputs!$B$19)</f>
        <v>0.0260857444672953</v>
      </c>
      <c r="GK39" s="15" t="n">
        <f aca="false">(GI39-GJ39)*(1-EXP(-Inputs!$B$25*Inputs!$B$14*Inputs!$B$17*Inputs!$B$26/(GC39*Inputs!$B$16/0.866)))</f>
        <v>0.00727143134298443</v>
      </c>
      <c r="GL39" s="15" t="n">
        <f aca="false">(GI39-GJ39-GK39)*(1-Inputs!$B$19)</f>
        <v>0.00351894240127298</v>
      </c>
      <c r="GM39" s="15" t="n">
        <f aca="false">(GF39+GG39+GH39+GJ39+GK39+GL39)*(1+Inputs!$B$27)</f>
        <v>0.300629653533118</v>
      </c>
      <c r="GN39" s="15" t="n">
        <f aca="false">Inputs!$B$52/(1-GM39-G39)</f>
        <v>194426.040555812</v>
      </c>
      <c r="GO39" s="15" t="n">
        <f aca="false">GN39/Inputs!$B$34</f>
        <v>324.043400926353</v>
      </c>
      <c r="GP39" s="15" t="n">
        <f aca="false">B39^2/GO39</f>
        <v>13.038376920875</v>
      </c>
      <c r="GQ39" s="15" t="n">
        <f aca="false">Inputs!$B$54*H39/(Inputs!$B$35*F39+E39*H39^2/(PI()*GP39*Inputs!$B$36))</f>
        <v>20.3151369744592</v>
      </c>
      <c r="GR39" s="15" t="n">
        <f aca="false">EXP(-Inputs!$B$11*Inputs!$B$14*Inputs!$B$17/(Inputs!$B$51*GQ39*Inputs!$B$16))</f>
        <v>0.764006802767191</v>
      </c>
      <c r="GS39" s="15" t="n">
        <f aca="false">Inputs!$B$50*Inputs!$B$18*GR39*Inputs!$B$19</f>
        <v>0.746529558404902</v>
      </c>
      <c r="GT39" s="15" t="n">
        <f aca="false">1-GS39</f>
        <v>0.253470441595098</v>
      </c>
      <c r="GU39" s="15" t="n">
        <f aca="false">Inputs!$B$20*GT39</f>
        <v>0.00760411324785295</v>
      </c>
      <c r="GV39" s="15" t="n">
        <f aca="false">0.8*(1-Inputs!$B$50)*(GS39-GU39)</f>
        <v>0.00177978173860883</v>
      </c>
      <c r="GW39" s="15" t="n">
        <f aca="false">GS39-GU39-GV39</f>
        <v>0.73714566341844</v>
      </c>
      <c r="GX39" s="15" t="n">
        <f aca="false">GW39*(1-Inputs!$B$18*EXP(-Inputs!$B$21*Inputs!$B$14*Inputs!$B$17/(Inputs!$B$22*Inputs!$B$23*Inputs!$B$24*GQ39*Inputs!$B$16))*Inputs!$B$19)</f>
        <v>0.0260857443248064</v>
      </c>
      <c r="GY39" s="15" t="n">
        <f aca="false">(GW39-GX39)*(1-EXP(-Inputs!$B$25*Inputs!$B$14*Inputs!$B$17*Inputs!$B$26/(GQ39*Inputs!$B$16/0.866)))</f>
        <v>0.00727143116200455</v>
      </c>
      <c r="GZ39" s="15" t="n">
        <f aca="false">(GW39-GX39-GY39)*(1-Inputs!$B$19)</f>
        <v>0.00351894243965815</v>
      </c>
      <c r="HA39" s="15" t="n">
        <f aca="false">(GT39+GU39+GV39+GX39+GY39+GZ39)*(1+Inputs!$B$27)</f>
        <v>0.300629645871553</v>
      </c>
      <c r="HB39" s="15" t="n">
        <f aca="false">Inputs!$B$52/(1-HA39-G39)</f>
        <v>194426.031678616</v>
      </c>
      <c r="HC39" s="15" t="n">
        <f aca="false">HB39/Inputs!$B$34</f>
        <v>324.043386131027</v>
      </c>
      <c r="HD39" s="15" t="n">
        <f aca="false">B39^2/HC39</f>
        <v>13.0383775161873</v>
      </c>
      <c r="HE39" s="15" t="n">
        <f aca="false">Inputs!$B$54*H39/(Inputs!$B$35*F39+E39*H39^2/(PI()*HD39*Inputs!$B$36))</f>
        <v>20.3151371953353</v>
      </c>
      <c r="HF39" s="15" t="n">
        <f aca="false">EXP(-Inputs!$B$11*Inputs!$B$14*Inputs!$B$17/(Inputs!$B$51*HE39*Inputs!$B$16))</f>
        <v>0.764006805003165</v>
      </c>
      <c r="HG39" s="15" t="n">
        <f aca="false">Inputs!$B$50*Inputs!$B$18*HF39*Inputs!$B$19</f>
        <v>0.746529560589726</v>
      </c>
      <c r="HH39" s="15" t="n">
        <f aca="false">1-HG39</f>
        <v>0.253470439410274</v>
      </c>
      <c r="HI39" s="15" t="n">
        <f aca="false">Inputs!$B$20*HH39</f>
        <v>0.00760411318230822</v>
      </c>
      <c r="HJ39" s="15" t="n">
        <f aca="false">0.8*(1-Inputs!$B$50)*(HG39-HI39)</f>
        <v>0.00177978174402909</v>
      </c>
      <c r="HK39" s="15" t="n">
        <f aca="false">HG39-HI39-HJ39</f>
        <v>0.737145665663389</v>
      </c>
      <c r="HL39" s="15" t="n">
        <f aca="false">HK39*(1-Inputs!$B$18*EXP(-Inputs!$B$21*Inputs!$B$14*Inputs!$B$17/(Inputs!$B$22*Inputs!$B$23*Inputs!$B$24*HE39*Inputs!$B$16))*Inputs!$B$19)</f>
        <v>0.0260857442813064</v>
      </c>
      <c r="HM39" s="15" t="n">
        <f aca="false">(HK39-HL39)*(1-EXP(-Inputs!$B$25*Inputs!$B$14*Inputs!$B$17*Inputs!$B$26/(HE39*Inputs!$B$16/0.866)))</f>
        <v>0.00727143110675373</v>
      </c>
      <c r="HN39" s="15" t="n">
        <f aca="false">(HK39-HL39-HM39)*(1-Inputs!$B$19)</f>
        <v>0.00351894245137665</v>
      </c>
      <c r="HO39" s="15" t="n">
        <f aca="false">(HH39+HI39+HJ39+HL39+HM39+HN39)*(1+Inputs!$B$27)</f>
        <v>0.300629643532576</v>
      </c>
      <c r="HP39" s="15" t="n">
        <f aca="false">Inputs!$B$52/(1-HO39-G39)</f>
        <v>194426.028968523</v>
      </c>
      <c r="HQ39" s="15" t="n">
        <f aca="false">HP39/Inputs!$B$34</f>
        <v>324.043381614205</v>
      </c>
      <c r="HR39" s="15" t="n">
        <f aca="false">B39^2/HQ39</f>
        <v>13.0383776979286</v>
      </c>
      <c r="HS39" s="15" t="n">
        <f aca="false">Inputs!$B$54*H39/(Inputs!$B$35*F39+E39*H39^2/(PI()*HR39*Inputs!$B$36))</f>
        <v>20.315137262766</v>
      </c>
      <c r="HT39" s="15" t="n">
        <f aca="false">EXP(-Inputs!$B$11*Inputs!$B$14*Inputs!$B$17/(Inputs!$B$51*HS39*Inputs!$B$16))</f>
        <v>0.76400680568578</v>
      </c>
      <c r="HU39" s="15" t="n">
        <f aca="false">Inputs!$B$50*Inputs!$B$18*HT39*Inputs!$B$19</f>
        <v>0.746529561256725</v>
      </c>
      <c r="HV39" s="15" t="n">
        <f aca="false">1-HU39</f>
        <v>0.253470438743275</v>
      </c>
      <c r="HW39" s="15" t="n">
        <f aca="false">Inputs!$B$20*HV39</f>
        <v>0.00760411316229826</v>
      </c>
      <c r="HX39" s="15" t="n">
        <f aca="false">0.8*(1-Inputs!$B$50)*(HU39-HW39)</f>
        <v>0.00177978174568382</v>
      </c>
      <c r="HY39" s="15" t="n">
        <f aca="false">HU39-HW39-HX39</f>
        <v>0.737145666348743</v>
      </c>
      <c r="HZ39" s="15" t="n">
        <f aca="false">HY39*(1-Inputs!$B$18*EXP(-Inputs!$B$21*Inputs!$B$14*Inputs!$B$17/(Inputs!$B$22*Inputs!$B$23*Inputs!$B$24*HS39*Inputs!$B$16))*Inputs!$B$19)</f>
        <v>0.0260857442680264</v>
      </c>
      <c r="IA39" s="15" t="n">
        <f aca="false">(HY39-HZ39)*(1-EXP(-Inputs!$B$25*Inputs!$B$14*Inputs!$B$17*Inputs!$B$26/(HS39*Inputs!$B$16/0.866)))</f>
        <v>0.00727143108988632</v>
      </c>
      <c r="IB39" s="15" t="n">
        <f aca="false">(HY39-HZ39-IA39)*(1-Inputs!$B$19)</f>
        <v>0.00351894245495415</v>
      </c>
      <c r="IC39" s="15" t="n">
        <f aca="false">(HV39+HW39+HX39+HZ39+IA39+IB39)*(1+Inputs!$B$27)</f>
        <v>0.300629642818517</v>
      </c>
      <c r="ID39" s="15" t="n">
        <f aca="false">Inputs!$B$52/(1-IC39-G39)</f>
        <v>194426.028141166</v>
      </c>
      <c r="IE39" s="15" t="n">
        <f aca="false">ID39/Inputs!$B$34</f>
        <v>324.043380235277</v>
      </c>
      <c r="IF39" s="15" t="n">
        <f aca="false">B39^2/IE39</f>
        <v>13.0383777534118</v>
      </c>
      <c r="IG39" s="15" t="n">
        <f aca="false">Inputs!$B$54*H39/(Inputs!$B$35*F39+E39*H39^2/(PI()*IF39*Inputs!$B$36))</f>
        <v>20.3151372833517</v>
      </c>
      <c r="IH39" s="15" t="n">
        <f aca="false">EXP(-Inputs!$B$11*Inputs!$B$14*Inputs!$B$17/(Inputs!$B$51*IG39*Inputs!$B$16))</f>
        <v>0.764006805894173</v>
      </c>
      <c r="II39" s="15" t="n">
        <f aca="false">Inputs!$B$50*Inputs!$B$18*IH39*Inputs!$B$19</f>
        <v>0.746529561460351</v>
      </c>
      <c r="IJ39" s="15" t="n">
        <f aca="false">1-II39</f>
        <v>0.253470438539649</v>
      </c>
      <c r="IK39" s="15" t="n">
        <f aca="false">Inputs!$B$20*IJ39</f>
        <v>0.00760411315618947</v>
      </c>
      <c r="IL39" s="15" t="n">
        <f aca="false">0.8*(1-Inputs!$B$50)*(II39-IK39)</f>
        <v>0.00177978174618899</v>
      </c>
      <c r="IM39" s="15" t="n">
        <f aca="false">II39-IK39-IL39</f>
        <v>0.737145666557972</v>
      </c>
      <c r="IN39" s="15" t="n">
        <f aca="false">IM39*(1-Inputs!$B$18*EXP(-Inputs!$B$21*Inputs!$B$14*Inputs!$B$17/(Inputs!$B$22*Inputs!$B$23*Inputs!$B$24*IG39*Inputs!$B$16))*Inputs!$B$19)</f>
        <v>0.0260857442639723</v>
      </c>
      <c r="IO39" s="15" t="n">
        <f aca="false">(IM39-IN39)*(1-EXP(-Inputs!$B$25*Inputs!$B$14*Inputs!$B$17*Inputs!$B$26/(IG39*Inputs!$B$16/0.866)))</f>
        <v>0.00727143108473694</v>
      </c>
      <c r="IP39" s="15" t="n">
        <f aca="false">(IM39-IN39-IO39)*(1-Inputs!$B$19)</f>
        <v>0.00351894245604632</v>
      </c>
      <c r="IQ39" s="15" t="n">
        <f aca="false">(IJ39+IK39+IL39+IN39+IO39+IP39)*(1+Inputs!$B$27)</f>
        <v>0.300629642600523</v>
      </c>
      <c r="IR39" s="15" t="n">
        <f aca="false">Inputs!$B$52/(1-IQ39-G39)</f>
        <v>194426.027888585</v>
      </c>
      <c r="IS39" s="15" t="n">
        <f aca="false">IR39/Inputs!$B$34</f>
        <v>324.043379814308</v>
      </c>
      <c r="IT39" s="15" t="n">
        <f aca="false">B39^2/IS39</f>
        <v>13.0383777703501</v>
      </c>
      <c r="IU39" s="15" t="n">
        <f aca="false">Inputs!$B$54*H39/(Inputs!$B$35*F39+E39*H39^2/(PI()*IT39*Inputs!$B$36))</f>
        <v>20.3151372896362</v>
      </c>
      <c r="IV39" s="15" t="n">
        <f aca="false">EXP(-Inputs!$B$11*Inputs!$B$14*Inputs!$B$17/(Inputs!$B$51*IU39*Inputs!$B$16))</f>
        <v>0.764006805957793</v>
      </c>
      <c r="IW39" s="15" t="n">
        <f aca="false">Inputs!$B$50*Inputs!$B$18*IV39*Inputs!$B$19</f>
        <v>0.746529561522515</v>
      </c>
      <c r="IX39" s="15" t="n">
        <f aca="false">1-IW39</f>
        <v>0.253470438477485</v>
      </c>
      <c r="IY39" s="15" t="n">
        <f aca="false">Inputs!$B$20*IX39</f>
        <v>0.00760411315432454</v>
      </c>
      <c r="IZ39" s="15" t="n">
        <f aca="false">0.8*(1-Inputs!$B$50)*(IW39-IY39)</f>
        <v>0.00177978174634321</v>
      </c>
      <c r="JA39" s="15" t="n">
        <f aca="false">IW39-IY39-IZ39</f>
        <v>0.737145666621848</v>
      </c>
      <c r="JB39" s="15" t="n">
        <f aca="false">JA39*(1-Inputs!$B$18*EXP(-Inputs!$B$21*Inputs!$B$14*Inputs!$B$17/(Inputs!$B$22*Inputs!$B$23*Inputs!$B$24*IU39*Inputs!$B$16))*Inputs!$B$19)</f>
        <v>0.0260857442627346</v>
      </c>
      <c r="JC39" s="15" t="n">
        <f aca="false">(JA39-JB39)*(1-EXP(-Inputs!$B$25*Inputs!$B$14*Inputs!$B$17*Inputs!$B$26/(IU39*Inputs!$B$16/0.866)))</f>
        <v>0.00727143108316491</v>
      </c>
      <c r="JD39" s="15" t="n">
        <f aca="false">(JA39-JB39-JC39)*(1-Inputs!$B$19)</f>
        <v>0.00351894245637974</v>
      </c>
      <c r="JE39" s="15" t="n">
        <f aca="false">(IX39+IY39+IZ39+JB39+JC39+JD39)*(1+Inputs!$B$27)</f>
        <v>0.300629642533973</v>
      </c>
      <c r="JF39" s="15" t="n">
        <f aca="false">Inputs!$B$52/(1-JE39-G39)</f>
        <v>194426.027811475</v>
      </c>
      <c r="JG39" s="15" t="n">
        <f aca="false">JF39/Inputs!$B$34</f>
        <v>324.043379685792</v>
      </c>
      <c r="JH39" s="15" t="n">
        <f aca="false">B39^2/JG39</f>
        <v>13.0383777755212</v>
      </c>
      <c r="JI39" s="15" t="n">
        <f aca="false">Inputs!$B$54*H39/(Inputs!$B$35*F39+E39*H39^2/(PI()*JH39*Inputs!$B$36))</f>
        <v>20.3151372915548</v>
      </c>
      <c r="JJ39" s="15" t="n">
        <f aca="false">EXP(-Inputs!$B$11*Inputs!$B$14*Inputs!$B$17/(Inputs!$B$51*JI39*Inputs!$B$16))</f>
        <v>0.764006805977215</v>
      </c>
      <c r="JK39" s="15" t="n">
        <f aca="false">Inputs!$B$50*Inputs!$B$18*JJ39*Inputs!$B$19</f>
        <v>0.746529561541493</v>
      </c>
      <c r="JL39" s="15" t="n">
        <f aca="false">1-JK39</f>
        <v>0.253470438458507</v>
      </c>
      <c r="JM39" s="15" t="n">
        <f aca="false">Inputs!$B$20*JL39</f>
        <v>0.0076041131537552</v>
      </c>
      <c r="JN39" s="15" t="n">
        <f aca="false">0.8*(1-Inputs!$B$50)*(JK39-JM39)</f>
        <v>0.00177978174639029</v>
      </c>
      <c r="JO39" s="15" t="n">
        <f aca="false">JK39-JM39-JN39</f>
        <v>0.737145666641348</v>
      </c>
      <c r="JP39" s="15" t="n">
        <f aca="false">JO39*(1-Inputs!$B$18*EXP(-Inputs!$B$21*Inputs!$B$14*Inputs!$B$17/(Inputs!$B$22*Inputs!$B$23*Inputs!$B$24*JI39*Inputs!$B$16))*Inputs!$B$19)</f>
        <v>0.0260857442623566</v>
      </c>
      <c r="JQ39" s="15" t="n">
        <f aca="false">(JO39-JP39)*(1-EXP(-Inputs!$B$25*Inputs!$B$14*Inputs!$B$17*Inputs!$B$26/(JI39*Inputs!$B$16/0.866)))</f>
        <v>0.00727143108268493</v>
      </c>
      <c r="JR39" s="15" t="n">
        <f aca="false">(JO39-JP39-JQ39)*(1-Inputs!$B$19)</f>
        <v>0.00351894245648153</v>
      </c>
      <c r="JS39" s="15" t="n">
        <f aca="false">(JL39+JM39+JN39+JP39+JQ39+JR39)*(1+Inputs!$B$27)</f>
        <v>0.300629642513656</v>
      </c>
      <c r="JT39" s="15" t="n">
        <f aca="false">Inputs!$B$52/(1-JS39-G39)</f>
        <v>194426.027787934</v>
      </c>
      <c r="JU39" s="15" t="n">
        <f aca="false">JT39/Inputs!$B$34</f>
        <v>324.043379646557</v>
      </c>
      <c r="JV39" s="15" t="n">
        <f aca="false">B39^2/JU39</f>
        <v>13.0383777770998</v>
      </c>
      <c r="JW39" s="15" t="n">
        <f aca="false">Inputs!$B$54*H39/(Inputs!$B$35*F39+E39*H39^2/(PI()*JV39*Inputs!$B$36))</f>
        <v>20.3151372921405</v>
      </c>
      <c r="JX39" s="15" t="n">
        <f aca="false">EXP(-Inputs!$B$11*Inputs!$B$14*Inputs!$B$17/(Inputs!$B$51*JW39*Inputs!$B$16))</f>
        <v>0.764006805983144</v>
      </c>
      <c r="JY39" s="15" t="n">
        <f aca="false">Inputs!$B$50*Inputs!$B$18*JX39*Inputs!$B$19</f>
        <v>0.746529561547287</v>
      </c>
      <c r="JZ39" s="15" t="n">
        <f aca="false">1-JY39</f>
        <v>0.253470438452713</v>
      </c>
      <c r="KA39" s="15" t="n">
        <f aca="false">Inputs!$B$20*JZ39</f>
        <v>0.00760411315358139</v>
      </c>
      <c r="KB39" s="15" t="n">
        <f aca="false">0.8*(1-Inputs!$B$50)*(JY39-KA39)</f>
        <v>0.00177978174640467</v>
      </c>
      <c r="KC39" s="15" t="n">
        <f aca="false">JY39-KA39-KB39</f>
        <v>0.737145666647301</v>
      </c>
      <c r="KD39" s="15" t="n">
        <f aca="false">KC39*(1-Inputs!$B$18*EXP(-Inputs!$B$21*Inputs!$B$14*Inputs!$B$17/(Inputs!$B$22*Inputs!$B$23*Inputs!$B$24*JW39*Inputs!$B$16))*Inputs!$B$19)</f>
        <v>0.0260857442622413</v>
      </c>
      <c r="KE39" s="15" t="n">
        <f aca="false">(KC39-KD39)*(1-EXP(-Inputs!$B$25*Inputs!$B$14*Inputs!$B$17*Inputs!$B$26/(JW39*Inputs!$B$16/0.866)))</f>
        <v>0.00727143108253842</v>
      </c>
      <c r="KF39" s="15" t="n">
        <f aca="false">(KC39-KD39-KE39)*(1-Inputs!$B$19)</f>
        <v>0.00351894245651261</v>
      </c>
      <c r="KG39" s="15" t="n">
        <f aca="false">(JZ39+KA39+KB39+KD39+KE39+KF39)*(1+Inputs!$B$27)</f>
        <v>0.300629642507453</v>
      </c>
      <c r="KH39" s="15" t="n">
        <f aca="false">Inputs!$B$52/(1-KG39-G39)</f>
        <v>194426.027780748</v>
      </c>
      <c r="KI39" s="15" t="n">
        <f aca="false">KH39/Inputs!$B$34</f>
        <v>324.04337963458</v>
      </c>
      <c r="KJ39" s="15" t="n">
        <f aca="false">B39^2/KI39</f>
        <v>13.0383777775818</v>
      </c>
      <c r="KK39" s="15" t="n">
        <f aca="false">Inputs!$B$54*H39/(Inputs!$B$35*F39+E39*H39^2/(PI()*KJ39*Inputs!$B$36))</f>
        <v>20.3151372923194</v>
      </c>
      <c r="KL39" s="15" t="n">
        <f aca="false">EXP(-Inputs!$B$11*Inputs!$B$14*Inputs!$B$17/(Inputs!$B$51*KK39*Inputs!$B$16))</f>
        <v>0.764006805984954</v>
      </c>
      <c r="KM39" s="15" t="n">
        <f aca="false">Inputs!$B$50*Inputs!$B$18*KL39*Inputs!$B$19</f>
        <v>0.746529561549056</v>
      </c>
      <c r="KN39" s="15" t="n">
        <f aca="false">1-KM39</f>
        <v>0.253470438450944</v>
      </c>
      <c r="KO39" s="15" t="n">
        <f aca="false">Inputs!$B$20*KN39</f>
        <v>0.00760411315352833</v>
      </c>
      <c r="KP39" s="15" t="n">
        <f aca="false">0.8*(1-Inputs!$B$50)*(KM39-KO39)</f>
        <v>0.00177978174640906</v>
      </c>
      <c r="KQ39" s="15" t="n">
        <f aca="false">KM39-KO39-KP39</f>
        <v>0.737145666649118</v>
      </c>
      <c r="KR39" s="15" t="n">
        <f aca="false">KQ39*(1-Inputs!$B$18*EXP(-Inputs!$B$21*Inputs!$B$14*Inputs!$B$17/(Inputs!$B$22*Inputs!$B$23*Inputs!$B$24*KK39*Inputs!$B$16))*Inputs!$B$19)</f>
        <v>0.0260857442622061</v>
      </c>
      <c r="KS39" s="15" t="n">
        <f aca="false">(KQ39-KR39)*(1-EXP(-Inputs!$B$25*Inputs!$B$14*Inputs!$B$17*Inputs!$B$26/(KK39*Inputs!$B$16/0.866)))</f>
        <v>0.00727143108249374</v>
      </c>
      <c r="KT39" s="15" t="n">
        <f aca="false">(KQ39-KR39-KS39)*(1-Inputs!$B$19)</f>
        <v>0.0035189424565221</v>
      </c>
      <c r="KU39" s="15" t="n">
        <f aca="false">(KN39+KO39+KP39+KR39+KS39+KT39)*(1+Inputs!$B$27)</f>
        <v>0.30062964250556</v>
      </c>
      <c r="KV39" s="15" t="n">
        <f aca="false">Inputs!$B$52/(1-KU39-G39)</f>
        <v>194426.027778554</v>
      </c>
      <c r="KW39" s="15" t="n">
        <f aca="false">KV39/Inputs!$B$34</f>
        <v>324.043379630923</v>
      </c>
      <c r="KX39" s="15" t="n">
        <f aca="false">B39^2/KW39</f>
        <v>13.0383777777289</v>
      </c>
      <c r="KY39" s="15" t="n">
        <f aca="false">Inputs!$B$54*H39/(Inputs!$B$35*F39+E39*H39^2/(PI()*KX39*Inputs!$B$36))</f>
        <v>20.3151372923739</v>
      </c>
      <c r="KZ39" s="15" t="n">
        <f aca="false">EXP(-Inputs!$B$11*Inputs!$B$14*Inputs!$B$17/(Inputs!$B$51*KY39*Inputs!$B$16))</f>
        <v>0.764006805985507</v>
      </c>
      <c r="LA39" s="15" t="n">
        <f aca="false">Inputs!$B$50*Inputs!$B$18*KZ39*Inputs!$B$19</f>
        <v>0.746529561549596</v>
      </c>
      <c r="LB39" s="15" t="n">
        <f aca="false">1-LA39</f>
        <v>0.253470438450404</v>
      </c>
      <c r="LC39" s="15" t="n">
        <f aca="false">Inputs!$B$20*LB39</f>
        <v>0.00760411315351213</v>
      </c>
      <c r="LD39" s="15" t="n">
        <f aca="false">0.8*(1-Inputs!$B$50)*(LA39-LC39)</f>
        <v>0.00177978174641039</v>
      </c>
      <c r="LE39" s="15" t="n">
        <f aca="false">LA39-LC39-LD39</f>
        <v>0.737145666649673</v>
      </c>
      <c r="LF39" s="15" t="n">
        <f aca="false">LE39*(1-Inputs!$B$18*EXP(-Inputs!$B$21*Inputs!$B$14*Inputs!$B$17/(Inputs!$B$22*Inputs!$B$23*Inputs!$B$24*KY39*Inputs!$B$16))*Inputs!$B$19)</f>
        <v>0.0260857442621953</v>
      </c>
      <c r="LG39" s="15" t="n">
        <f aca="false">(LE39-LF39)*(1-EXP(-Inputs!$B$25*Inputs!$B$14*Inputs!$B$17*Inputs!$B$26/(KY39*Inputs!$B$16/0.866)))</f>
        <v>0.0072714310824801</v>
      </c>
      <c r="LH39" s="15" t="n">
        <f aca="false">(LE39-LF39-LG39)*(1-Inputs!$B$19)</f>
        <v>0.00351894245652499</v>
      </c>
      <c r="LI39" s="15" t="n">
        <f aca="false">(LB39+LC39+LD39+LF39+LG39+LH39)*(1+Inputs!$B$27)</f>
        <v>0.300629642504982</v>
      </c>
      <c r="LJ39" s="15" t="n">
        <f aca="false">Inputs!$B$52/(1-LI39-G39)</f>
        <v>194426.027777884</v>
      </c>
      <c r="LK39" s="15" t="n">
        <f aca="false">LJ39/Inputs!$B$34</f>
        <v>324.043379629807</v>
      </c>
      <c r="LL39" s="15" t="n">
        <f aca="false">B39^2/LK39</f>
        <v>13.0383777777738</v>
      </c>
      <c r="LM39" s="15" t="n">
        <f aca="false">Inputs!$B$54*H39/(Inputs!$B$35*F39+E39*H39^2/(PI()*LL39*Inputs!$B$36))</f>
        <v>20.3151372923906</v>
      </c>
      <c r="LN39" s="15" t="n">
        <f aca="false">EXP(-Inputs!$B$11*Inputs!$B$14*Inputs!$B$17/(Inputs!$B$51*LM39*Inputs!$B$16))</f>
        <v>0.764006805985676</v>
      </c>
      <c r="LO39" s="15" t="n">
        <f aca="false">Inputs!$B$50*Inputs!$B$18*LN39*Inputs!$B$19</f>
        <v>0.746529561549761</v>
      </c>
      <c r="LP39" s="15" t="n">
        <f aca="false">1-LO39</f>
        <v>0.253470438450239</v>
      </c>
      <c r="LQ39" s="15" t="n">
        <f aca="false">Inputs!$B$20*LP39</f>
        <v>0.00760411315350718</v>
      </c>
      <c r="LR39" s="15" t="n">
        <f aca="false">0.8*(1-Inputs!$B$50)*(LO39-LQ39)</f>
        <v>0.0017797817464108</v>
      </c>
      <c r="LS39" s="15" t="n">
        <f aca="false">LO39-LQ39-LR39</f>
        <v>0.737145666649843</v>
      </c>
      <c r="LT39" s="15" t="n">
        <f aca="false">LS39*(1-Inputs!$B$18*EXP(-Inputs!$B$21*Inputs!$B$14*Inputs!$B$17/(Inputs!$B$22*Inputs!$B$23*Inputs!$B$24*LM39*Inputs!$B$16))*Inputs!$B$19)</f>
        <v>0.0260857442621921</v>
      </c>
      <c r="LU39" s="15" t="n">
        <f aca="false">(LS39-LT39)*(1-EXP(-Inputs!$B$25*Inputs!$B$14*Inputs!$B$17*Inputs!$B$26/(LM39*Inputs!$B$16/0.866)))</f>
        <v>0.00727143108247587</v>
      </c>
      <c r="LV39" s="15" t="n">
        <f aca="false">(LS39-LT39-LU39)*(1-Inputs!$B$19)</f>
        <v>0.00351894245652588</v>
      </c>
      <c r="LW39" s="15" t="n">
        <f aca="false">(LP39+LQ39+LR39+LT39+LU39+LV39)*(1+Inputs!$B$27)</f>
        <v>0.300629642504805</v>
      </c>
      <c r="LX39" s="15" t="n">
        <f aca="false">Inputs!$B$52/(1-LW39-G39)</f>
        <v>194426.027777679</v>
      </c>
      <c r="LY39" s="15" t="n">
        <f aca="false">LX39/Inputs!$B$34</f>
        <v>324.043379629466</v>
      </c>
      <c r="LZ39" s="15" t="n">
        <f aca="false">B39^2/LY39</f>
        <v>13.0383777777876</v>
      </c>
      <c r="MA39" s="15" t="n">
        <f aca="false">Inputs!$B$54*H39/(Inputs!$B$35*F39+E39*H39^2/(PI()*LZ39*Inputs!$B$36))</f>
        <v>20.3151372923957</v>
      </c>
      <c r="MB39" s="15" t="n">
        <f aca="false">EXP(-Inputs!$B$11*Inputs!$B$14*Inputs!$B$17/(Inputs!$B$51*MA39*Inputs!$B$16))</f>
        <v>0.764006805985727</v>
      </c>
      <c r="MC39" s="15" t="n">
        <f aca="false">Inputs!$B$50*Inputs!$B$18*MB39*Inputs!$B$19</f>
        <v>0.746529561549811</v>
      </c>
      <c r="MD39" s="15" t="n">
        <f aca="false">1-MC39</f>
        <v>0.253470438450189</v>
      </c>
      <c r="ME39" s="15" t="n">
        <f aca="false">Inputs!$B$20*MD39</f>
        <v>0.00760411315350567</v>
      </c>
      <c r="MF39" s="15" t="n">
        <f aca="false">0.8*(1-Inputs!$B$50)*(MC39-ME39)</f>
        <v>0.00177978174641093</v>
      </c>
      <c r="MG39" s="15" t="n">
        <f aca="false">MC39-ME39-MF39</f>
        <v>0.737145666649895</v>
      </c>
      <c r="MH39" s="15" t="n">
        <f aca="false">MG39*(1-Inputs!$B$18*EXP(-Inputs!$B$21*Inputs!$B$14*Inputs!$B$17/(Inputs!$B$22*Inputs!$B$23*Inputs!$B$24*MA39*Inputs!$B$16))*Inputs!$B$19)</f>
        <v>0.026085744262191</v>
      </c>
      <c r="MI39" s="15" t="n">
        <f aca="false">(MG39-MH39)*(1-EXP(-Inputs!$B$25*Inputs!$B$14*Inputs!$B$17*Inputs!$B$26/(MA39*Inputs!$B$16/0.866)))</f>
        <v>0.00727143108247459</v>
      </c>
      <c r="MJ39" s="15" t="n">
        <f aca="false">(MG39-MH39-MI39)*(1-Inputs!$B$19)</f>
        <v>0.00351894245652615</v>
      </c>
      <c r="MK39" s="15" t="n">
        <f aca="false">(MD39+ME39+MF39+MH39+MI39+MJ39)*(1+Inputs!$B$27)</f>
        <v>0.300629642504751</v>
      </c>
      <c r="ML39" s="15" t="n">
        <f aca="false">Inputs!$B$52/(1-MK39-G39)</f>
        <v>194426.027777617</v>
      </c>
      <c r="MM39" s="15" t="n">
        <f aca="false">ML39/Inputs!$B$34</f>
        <v>324.043379629362</v>
      </c>
      <c r="MN39" s="15" t="n">
        <f aca="false">B39^2/MM39</f>
        <v>13.0383777777917</v>
      </c>
      <c r="MO39" s="15" t="n">
        <f aca="false">Inputs!$B$54*H39/(Inputs!$B$35*F39+E39*H39^2/(PI()*MN39*Inputs!$B$36))</f>
        <v>20.3151372923973</v>
      </c>
      <c r="MP39" s="15" t="n">
        <f aca="false">EXP(-Inputs!$B$11*Inputs!$B$14*Inputs!$B$17/(Inputs!$B$51*MO39*Inputs!$B$16))</f>
        <v>0.764006805985743</v>
      </c>
      <c r="MQ39" s="15" t="n">
        <f aca="false">Inputs!$B$50*Inputs!$B$18*MP39*Inputs!$B$19</f>
        <v>0.746529561549826</v>
      </c>
      <c r="MR39" s="15" t="n">
        <f aca="false">1-MQ39</f>
        <v>0.253470438450174</v>
      </c>
      <c r="MS39" s="15" t="n">
        <f aca="false">Inputs!$B$20*MR39</f>
        <v>0.00760411315350521</v>
      </c>
      <c r="MT39" s="15" t="n">
        <f aca="false">0.8*(1-Inputs!$B$50)*(MQ39-MS39)</f>
        <v>0.00177978174641097</v>
      </c>
      <c r="MU39" s="15" t="n">
        <f aca="false">MQ39-MS39-MT39</f>
        <v>0.73714566664991</v>
      </c>
      <c r="MV39" s="15" t="n">
        <f aca="false">MU39*(1-Inputs!$B$18*EXP(-Inputs!$B$21*Inputs!$B$14*Inputs!$B$17/(Inputs!$B$22*Inputs!$B$23*Inputs!$B$24*MO39*Inputs!$B$16))*Inputs!$B$19)</f>
        <v>0.0260857442621908</v>
      </c>
      <c r="MW39" s="15" t="n">
        <f aca="false">(MU39-MV39)*(1-EXP(-Inputs!$B$25*Inputs!$B$14*Inputs!$B$17*Inputs!$B$26/(MO39*Inputs!$B$16/0.866)))</f>
        <v>0.0072714310824742</v>
      </c>
      <c r="MX39" s="15" t="n">
        <f aca="false">(MU39-MV39-MW39)*(1-Inputs!$B$19)</f>
        <v>0.00351894245652623</v>
      </c>
      <c r="MY39" s="15" t="n">
        <f aca="false">(MR39+MS39+MT39+MV39+MW39+MX39)*(1+Inputs!$B$27)</f>
        <v>0.300629642504735</v>
      </c>
      <c r="MZ39" s="15" t="n">
        <f aca="false">Inputs!$B$52/(1-MY39-G39)</f>
        <v>194426.027777598</v>
      </c>
      <c r="NA39" s="15" t="n">
        <f aca="false">MZ39/Inputs!$B$34</f>
        <v>324.04337962933</v>
      </c>
      <c r="NB39" s="15" t="n">
        <f aca="false">B39^2/NA39</f>
        <v>13.038377777793</v>
      </c>
      <c r="NC39" s="15" t="n">
        <f aca="false">Inputs!$B$54*H39/(Inputs!$B$35*F39+E39*H39^2/(PI()*NB39*Inputs!$B$36))</f>
        <v>20.3151372923977</v>
      </c>
      <c r="ND39" s="15" t="n">
        <f aca="false">EXP(-Inputs!$B$11*Inputs!$B$14*Inputs!$B$17/(Inputs!$B$51*NC39*Inputs!$B$16))</f>
        <v>0.764006805985748</v>
      </c>
      <c r="NE39" s="15" t="n">
        <f aca="false">Inputs!$B$50*Inputs!$B$18*ND39*Inputs!$B$19</f>
        <v>0.746529561549831</v>
      </c>
      <c r="NF39" s="15" t="n">
        <f aca="false">1-NE39</f>
        <v>0.253470438450169</v>
      </c>
      <c r="NG39" s="15" t="n">
        <f aca="false">Inputs!$B$20*NF39</f>
        <v>0.00760411315350507</v>
      </c>
      <c r="NH39" s="15" t="n">
        <f aca="false">0.8*(1-Inputs!$B$50)*(NE39-NG39)</f>
        <v>0.00177978174641098</v>
      </c>
      <c r="NI39" s="15" t="n">
        <f aca="false">NE39-NG39-NH39</f>
        <v>0.737145666649915</v>
      </c>
      <c r="NJ39" s="15" t="n">
        <f aca="false">NI39*(1-Inputs!$B$18*EXP(-Inputs!$B$21*Inputs!$B$14*Inputs!$B$17/(Inputs!$B$22*Inputs!$B$23*Inputs!$B$24*NC39*Inputs!$B$16))*Inputs!$B$19)</f>
        <v>0.0260857442621907</v>
      </c>
      <c r="NK39" s="15" t="n">
        <f aca="false">(NI39-NJ39)*(1-EXP(-Inputs!$B$25*Inputs!$B$14*Inputs!$B$17*Inputs!$B$26/(NC39*Inputs!$B$16/0.866)))</f>
        <v>0.00727143108247409</v>
      </c>
      <c r="NL39" s="15" t="n">
        <f aca="false">(NI39-NJ39-NK39)*(1-Inputs!$B$19)</f>
        <v>0.00351894245652625</v>
      </c>
      <c r="NM39" s="15" t="n">
        <f aca="false">(NF39+NG39+NH39+NJ39+NK39+NL39)*(1+Inputs!$B$27)</f>
        <v>0.30062964250473</v>
      </c>
      <c r="NN39" s="15" t="n">
        <f aca="false">Inputs!$B$52/(1-NM39-G39)</f>
        <v>194426.027777592</v>
      </c>
    </row>
    <row r="40" customFormat="false" ht="15" hidden="false" customHeight="false" outlineLevel="0" collapsed="false">
      <c r="A40" s="21" t="s">
        <v>501</v>
      </c>
      <c r="B40" s="21" t="n">
        <v>65</v>
      </c>
      <c r="C40" s="22" t="n">
        <v>0.2</v>
      </c>
      <c r="D40" s="23" t="n">
        <f aca="false">B40*C40</f>
        <v>13</v>
      </c>
      <c r="E40" s="24" t="n">
        <f aca="false">IF(C40=0,1,(1+0.45*C40)/(1.04+2.81*C40))</f>
        <v>0.68039950062422</v>
      </c>
      <c r="F40" s="24" t="n">
        <f aca="false">1+Inputs!$B$42*D40</f>
        <v>1.065</v>
      </c>
      <c r="G40" s="25" t="n">
        <f aca="false">Inputs!$B$31+Inputs!$B$43*(B40/Inputs!$B$32-1)+Inputs!$B$44+Inputs!$B$45*D40</f>
        <v>0.53351875</v>
      </c>
      <c r="H40" s="22" t="n">
        <f aca="false">Inputs!$B$38</f>
        <v>0.5</v>
      </c>
      <c r="I40" s="23" t="n">
        <f aca="false">Inputs!$B$40</f>
        <v>2.4</v>
      </c>
      <c r="J40" s="26" t="n">
        <f aca="false">NN40/Inputs!$B$34</f>
        <v>326.722903937397</v>
      </c>
      <c r="K40" s="23" t="n">
        <f aca="false">B40^2/J40</f>
        <v>12.9314472572439</v>
      </c>
      <c r="L40" s="23" t="n">
        <f aca="false">2*K40</f>
        <v>25.8628945144877</v>
      </c>
      <c r="M40" s="22" t="n">
        <f aca="false">NC40</f>
        <v>20.3694484227859</v>
      </c>
      <c r="N40" s="23" t="n">
        <f aca="false">B40/SQRT(E40)</f>
        <v>78.8009337251996</v>
      </c>
      <c r="O40" s="24" t="n">
        <f aca="false">NM40</f>
        <v>0.300055819322453</v>
      </c>
      <c r="P40" s="23" t="n">
        <f aca="false">NN40/1000</f>
        <v>196.033742362438</v>
      </c>
      <c r="Q40" s="23" t="n">
        <f aca="false">G40*NN40/1000</f>
        <v>104.58767718303</v>
      </c>
      <c r="R40" s="23" t="n">
        <f aca="false">NM40*NN40/1000</f>
        <v>58.821065179408</v>
      </c>
      <c r="S40" s="23" t="n">
        <f aca="false">NM40*NN40/Inputs!$B$28/1000</f>
        <v>78.4280869058774</v>
      </c>
      <c r="T40" s="27" t="n">
        <f aca="false">R40/Sweep!$R$5-1</f>
        <v>-0.0588120807107776</v>
      </c>
      <c r="U40" s="27" t="n">
        <f aca="false">R40/SUMIFS(Sweep!$R:$R,Sweep!$A:$A,"Conventional",Sweep!$B:$B,B40)-1</f>
        <v>-0.0461638980428272</v>
      </c>
      <c r="V40" s="26" t="n">
        <f aca="false">2*0.54*(J40/2)^1.5/SQRT(L40)*Inputs!$B$46*Inputs!$B$47</f>
        <v>41.4592249791026</v>
      </c>
      <c r="W40" s="28" t="n">
        <f aca="false">MIN(1,V40/S40)</f>
        <v>0.528627263710492</v>
      </c>
      <c r="X40" s="26" t="n">
        <f aca="false">1.23*SQRT(2*Inputs!$B$41*NN40*Inputs!$B$49/(1.225*J40*I40))/0.5144</f>
        <v>133.62967568068</v>
      </c>
      <c r="Y40" s="29" t="n">
        <f aca="false">(11000+6341.6*LN(0.36392/(2*Inputs!$B$50*Inputs!$B$18*(1+ND40)/2*Inputs!$B$34*Inputs!$B$49/((Inputs!$B$12*295.07)^2*H40))))/0.3048</f>
        <v>38488.503758421</v>
      </c>
      <c r="Z40" s="26" t="n">
        <f aca="false">NN40-MZ40</f>
        <v>-1.83354131877422E-009</v>
      </c>
      <c r="AA40" s="30" t="str">
        <f aca="false">IF(ABS(NN40-MZ40)&lt;10,"Yes","No")</f>
        <v>Yes</v>
      </c>
      <c r="AC40" s="15" t="n">
        <f aca="false">Inputs!$B$52/(1-0.3154-G40)/Inputs!$B$34</f>
        <v>359.905679890787</v>
      </c>
      <c r="AD40" s="15" t="n">
        <f aca="false">B40^2/AC40</f>
        <v>11.7391867816092</v>
      </c>
      <c r="AE40" s="15" t="n">
        <f aca="false">Inputs!$B$54*H40/(Inputs!$B$35*F40+E40*H40^2/(PI()*AD40*Inputs!$B$36))</f>
        <v>19.9158510700645</v>
      </c>
      <c r="AF40" s="15" t="n">
        <f aca="false">EXP(-Inputs!$B$11*Inputs!$B$14*Inputs!$B$17/(Inputs!$B$51*AE40*Inputs!$B$16))</f>
        <v>0.759894817999174</v>
      </c>
      <c r="AG40" s="15" t="n">
        <f aca="false">Inputs!$B$50*Inputs!$B$18*AF40*Inputs!$B$19</f>
        <v>0.742511638457177</v>
      </c>
      <c r="AH40" s="15" t="n">
        <f aca="false">1-AG40</f>
        <v>0.257488361542823</v>
      </c>
      <c r="AI40" s="15" t="n">
        <f aca="false">Inputs!$B$20*AH40</f>
        <v>0.00772465084628469</v>
      </c>
      <c r="AJ40" s="15" t="n">
        <f aca="false">0.8*(1-Inputs!$B$50)*(AG40-AI40)</f>
        <v>0.0017698138166555</v>
      </c>
      <c r="AK40" s="15" t="n">
        <f aca="false">AG40-AI40-AJ40</f>
        <v>0.733017173794237</v>
      </c>
      <c r="AL40" s="15" t="n">
        <f aca="false">AK40*(1-Inputs!$B$18*EXP(-Inputs!$B$21*Inputs!$B$14*Inputs!$B$17/(Inputs!$B$22*Inputs!$B$23*Inputs!$B$24*AE40*Inputs!$B$16))*Inputs!$B$19)</f>
        <v>0.0261650464113554</v>
      </c>
      <c r="AM40" s="15" t="n">
        <f aca="false">(AK40-AL40)*(1-EXP(-Inputs!$B$25*Inputs!$B$14*Inputs!$B$17*Inputs!$B$26/(AE40*Inputs!$B$16/0.866)))</f>
        <v>0.00737256280232403</v>
      </c>
      <c r="AN40" s="15" t="n">
        <f aca="false">(AK40-AL40-AM40)*(1-Inputs!$B$19)</f>
        <v>0.00349739782290279</v>
      </c>
      <c r="AO40" s="15" t="n">
        <f aca="false">(AH40+AI40+AJ40+AL40+AM40+AN40)*(1+Inputs!$B$27)</f>
        <v>0.304929886742072</v>
      </c>
      <c r="AP40" s="15" t="n">
        <f aca="false">Inputs!$B$52/(1-AO40-G40)</f>
        <v>201948.156561898</v>
      </c>
      <c r="AQ40" s="15" t="n">
        <f aca="false">AP40/Inputs!$B$34</f>
        <v>336.580260936496</v>
      </c>
      <c r="AR40" s="15" t="n">
        <f aca="false">B40^2/AQ40</f>
        <v>12.5527266163631</v>
      </c>
      <c r="AS40" s="15" t="n">
        <f aca="false">Inputs!$B$54*H40/(Inputs!$B$35*F40+E40*H40^2/(PI()*AR40*Inputs!$B$36))</f>
        <v>20.2325588950255</v>
      </c>
      <c r="AT40" s="15" t="n">
        <f aca="false">EXP(-Inputs!$B$11*Inputs!$B$14*Inputs!$B$17/(Inputs!$B$51*AS40*Inputs!$B$16))</f>
        <v>0.763167897052175</v>
      </c>
      <c r="AU40" s="15" t="n">
        <f aca="false">Inputs!$B$50*Inputs!$B$18*AT40*Inputs!$B$19</f>
        <v>0.745709843304583</v>
      </c>
      <c r="AV40" s="15" t="n">
        <f aca="false">1-AU40</f>
        <v>0.254290156695417</v>
      </c>
      <c r="AW40" s="15" t="n">
        <f aca="false">Inputs!$B$20*AV40</f>
        <v>0.00762870470086252</v>
      </c>
      <c r="AX40" s="15" t="n">
        <f aca="false">0.8*(1-Inputs!$B$50)*(AU40-AW40)</f>
        <v>0.00177774813509003</v>
      </c>
      <c r="AY40" s="15" t="n">
        <f aca="false">AU40-AW40-AX40</f>
        <v>0.73630339046863</v>
      </c>
      <c r="AZ40" s="15" t="n">
        <f aca="false">AY40*(1-Inputs!$B$18*EXP(-Inputs!$B$21*Inputs!$B$14*Inputs!$B$17/(Inputs!$B$22*Inputs!$B$23*Inputs!$B$24*AS40*Inputs!$B$16))*Inputs!$B$19)</f>
        <v>0.0261020360266508</v>
      </c>
      <c r="BA40" s="15" t="n">
        <f aca="false">(AY40-AZ40)*(1-EXP(-Inputs!$B$25*Inputs!$B$14*Inputs!$B$17*Inputs!$B$26/(AS40*Inputs!$B$16/0.866)))</f>
        <v>0.00729214073224281</v>
      </c>
      <c r="BB40" s="15" t="n">
        <f aca="false">(AY40-AZ40-BA40)*(1-Inputs!$B$19)</f>
        <v>0.00351454606854869</v>
      </c>
      <c r="BC40" s="15" t="n">
        <f aca="false">(AV40+AW40+AX40+AZ40+BA40+BB40)*(1+Inputs!$B$27)</f>
        <v>0.301507148355889</v>
      </c>
      <c r="BD40" s="15" t="n">
        <f aca="false">Inputs!$B$52/(1-BC40-G40)</f>
        <v>197758.312819184</v>
      </c>
      <c r="BE40" s="15" t="n">
        <f aca="false">BD40/Inputs!$B$34</f>
        <v>329.597188031973</v>
      </c>
      <c r="BF40" s="15" t="n">
        <f aca="false">B40^2/BE40</f>
        <v>12.8186773231516</v>
      </c>
      <c r="BG40" s="15" t="n">
        <f aca="false">Inputs!$B$54*H40/(Inputs!$B$35*F40+E40*H40^2/(PI()*BF40*Inputs!$B$36))</f>
        <v>20.329342183174</v>
      </c>
      <c r="BH40" s="15" t="n">
        <f aca="false">EXP(-Inputs!$B$11*Inputs!$B$14*Inputs!$B$17/(Inputs!$B$51*BG40*Inputs!$B$16))</f>
        <v>0.764150518022085</v>
      </c>
      <c r="BI40" s="15" t="n">
        <f aca="false">Inputs!$B$50*Inputs!$B$18*BH40*Inputs!$B$19</f>
        <v>0.746669986062591</v>
      </c>
      <c r="BJ40" s="15" t="n">
        <f aca="false">1-BI40</f>
        <v>0.253330013937409</v>
      </c>
      <c r="BK40" s="15" t="n">
        <f aca="false">Inputs!$B$20*BJ40</f>
        <v>0.00759990041812226</v>
      </c>
      <c r="BL40" s="15" t="n">
        <f aca="false">0.8*(1-Inputs!$B$50)*(BI40-BK40)</f>
        <v>0.00178013012084395</v>
      </c>
      <c r="BM40" s="15" t="n">
        <f aca="false">BI40-BK40-BL40</f>
        <v>0.737289955523625</v>
      </c>
      <c r="BN40" s="15" t="n">
        <f aca="false">BM40*(1-Inputs!$B$18*EXP(-Inputs!$B$21*Inputs!$B$14*Inputs!$B$17/(Inputs!$B$22*Inputs!$B$23*Inputs!$B$24*BG40*Inputs!$B$16))*Inputs!$B$19)</f>
        <v>0.0260829475522388</v>
      </c>
      <c r="BO40" s="15" t="n">
        <f aca="false">(BM40-BN40)*(1-EXP(-Inputs!$B$25*Inputs!$B$14*Inputs!$B$17*Inputs!$B$26/(BG40*Inputs!$B$16/0.866)))</f>
        <v>0.00726787938335238</v>
      </c>
      <c r="BP40" s="15" t="n">
        <f aca="false">(BM40-BN40-BO40)*(1-Inputs!$B$19)</f>
        <v>0.00351969564294017</v>
      </c>
      <c r="BQ40" s="15" t="n">
        <f aca="false">(BJ40+BK40+BL40+BN40+BO40+BP40)*(1+Inputs!$B$27)</f>
        <v>0.300479308756071</v>
      </c>
      <c r="BR40" s="15" t="n">
        <f aca="false">Inputs!$B$52/(1-BQ40-G40)</f>
        <v>196533.846264242</v>
      </c>
      <c r="BS40" s="15" t="n">
        <f aca="false">BR40/Inputs!$B$34</f>
        <v>327.556410440403</v>
      </c>
      <c r="BT40" s="15" t="n">
        <f aca="false">B40^2/BS40</f>
        <v>12.8985416414823</v>
      </c>
      <c r="BU40" s="15" t="n">
        <f aca="false">Inputs!$B$54*H40/(Inputs!$B$35*F40+E40*H40^2/(PI()*BT40*Inputs!$B$36))</f>
        <v>20.3578018323964</v>
      </c>
      <c r="BV40" s="15" t="n">
        <f aca="false">EXP(-Inputs!$B$11*Inputs!$B$14*Inputs!$B$17/(Inputs!$B$51*BU40*Inputs!$B$16))</f>
        <v>0.764437924244873</v>
      </c>
      <c r="BW40" s="15" t="n">
        <f aca="false">Inputs!$B$50*Inputs!$B$18*BV40*Inputs!$B$19</f>
        <v>0.746950817646557</v>
      </c>
      <c r="BX40" s="15" t="n">
        <f aca="false">1-BW40</f>
        <v>0.253049182353444</v>
      </c>
      <c r="BY40" s="15" t="n">
        <f aca="false">Inputs!$B$20*BX40</f>
        <v>0.00759147547060331</v>
      </c>
      <c r="BZ40" s="15" t="n">
        <f aca="false">0.8*(1-Inputs!$B$50)*(BW40-BY40)</f>
        <v>0.00178082682643974</v>
      </c>
      <c r="CA40" s="15" t="n">
        <f aca="false">BW40-BY40-BZ40</f>
        <v>0.737578515349513</v>
      </c>
      <c r="CB40" s="15" t="n">
        <f aca="false">CA40*(1-Inputs!$B$18*EXP(-Inputs!$B$21*Inputs!$B$14*Inputs!$B$17/(Inputs!$B$22*Inputs!$B$23*Inputs!$B$24*BU40*Inputs!$B$16))*Inputs!$B$19)</f>
        <v>0.0260773493968527</v>
      </c>
      <c r="CC40" s="15" t="n">
        <f aca="false">(CA40-CB40)*(1-EXP(-Inputs!$B$25*Inputs!$B$14*Inputs!$B$17*Inputs!$B$26/(BU40*Inputs!$B$16/0.866)))</f>
        <v>0.00726077294901488</v>
      </c>
      <c r="CD40" s="15" t="n">
        <f aca="false">(CA40-CB40-CC40)*(1-Inputs!$B$19)</f>
        <v>0.00352120196501823</v>
      </c>
      <c r="CE40" s="15" t="n">
        <f aca="false">(BX40+BY40+BZ40+CB40+CC40+CD40)*(1+Inputs!$B$27)</f>
        <v>0.300178651388257</v>
      </c>
      <c r="CF40" s="15" t="n">
        <f aca="false">Inputs!$B$52/(1-CE40-G40)</f>
        <v>196178.534023798</v>
      </c>
      <c r="CG40" s="15" t="n">
        <f aca="false">CF40/Inputs!$B$34</f>
        <v>326.964223372997</v>
      </c>
      <c r="CH40" s="15" t="n">
        <f aca="false">B40^2/CG40</f>
        <v>12.9219030645447</v>
      </c>
      <c r="CI40" s="15" t="n">
        <f aca="false">Inputs!$B$54*H40/(Inputs!$B$35*F40+E40*H40^2/(PI()*CH40*Inputs!$B$36))</f>
        <v>20.3660750948085</v>
      </c>
      <c r="CJ40" s="15" t="n">
        <f aca="false">EXP(-Inputs!$B$11*Inputs!$B$14*Inputs!$B$17/(Inputs!$B$51*CI40*Inputs!$B$16))</f>
        <v>0.764521343202288</v>
      </c>
      <c r="CK40" s="15" t="n">
        <f aca="false">Inputs!$B$50*Inputs!$B$18*CJ40*Inputs!$B$19</f>
        <v>0.747032328331037</v>
      </c>
      <c r="CL40" s="15" t="n">
        <f aca="false">1-CK40</f>
        <v>0.252967671668963</v>
      </c>
      <c r="CM40" s="15" t="n">
        <f aca="false">Inputs!$B$20*CL40</f>
        <v>0.00758903015006889</v>
      </c>
      <c r="CN40" s="15" t="n">
        <f aca="false">0.8*(1-Inputs!$B$50)*(CK40-CM40)</f>
        <v>0.00178102904354507</v>
      </c>
      <c r="CO40" s="15" t="n">
        <f aca="false">CK40-CM40-CN40</f>
        <v>0.737662269137423</v>
      </c>
      <c r="CP40" s="15" t="n">
        <f aca="false">CO40*(1-Inputs!$B$18*EXP(-Inputs!$B$21*Inputs!$B$14*Inputs!$B$17/(Inputs!$B$22*Inputs!$B$23*Inputs!$B$24*CI40*Inputs!$B$16))*Inputs!$B$19)</f>
        <v>0.0260757232771774</v>
      </c>
      <c r="CQ40" s="15" t="n">
        <f aca="false">(CO40-CP40)*(1-EXP(-Inputs!$B$25*Inputs!$B$14*Inputs!$B$17*Inputs!$B$26/(CI40*Inputs!$B$16/0.866)))</f>
        <v>0.00725870945578451</v>
      </c>
      <c r="CR40" s="15" t="n">
        <f aca="false">(CO40-CP40-CQ40)*(1-Inputs!$B$19)</f>
        <v>0.00352163918202231</v>
      </c>
      <c r="CS40" s="15" t="n">
        <f aca="false">(CL40+CM40+CN40+CP40+CQ40+CR40)*(1+Inputs!$B$27)</f>
        <v>0.300091384185894</v>
      </c>
      <c r="CT40" s="15" t="n">
        <f aca="false">Inputs!$B$52/(1-CS40-G40)</f>
        <v>196075.643431609</v>
      </c>
      <c r="CU40" s="15" t="n">
        <f aca="false">CT40/Inputs!$B$34</f>
        <v>326.792739052682</v>
      </c>
      <c r="CV40" s="15" t="n">
        <f aca="false">B40^2/CU40</f>
        <v>12.9286838264754</v>
      </c>
      <c r="CW40" s="15" t="n">
        <f aca="false">Inputs!$B$54*H40/(Inputs!$B$35*F40+E40*H40^2/(PI()*CV40*Inputs!$B$36))</f>
        <v>20.368472104927</v>
      </c>
      <c r="CX40" s="15" t="n">
        <f aca="false">EXP(-Inputs!$B$11*Inputs!$B$14*Inputs!$B$17/(Inputs!$B$51*CW40*Inputs!$B$16))</f>
        <v>0.764545501193084</v>
      </c>
      <c r="CY40" s="15" t="n">
        <f aca="false">Inputs!$B$50*Inputs!$B$18*CX40*Inputs!$B$19</f>
        <v>0.747055933689177</v>
      </c>
      <c r="CZ40" s="15" t="n">
        <f aca="false">1-CY40</f>
        <v>0.252944066310823</v>
      </c>
      <c r="DA40" s="15" t="n">
        <f aca="false">Inputs!$B$20*CZ40</f>
        <v>0.00758832198932469</v>
      </c>
      <c r="DB40" s="15" t="n">
        <f aca="false">0.8*(1-Inputs!$B$50)*(CY40-DA40)</f>
        <v>0.00178108760528116</v>
      </c>
      <c r="DC40" s="15" t="n">
        <f aca="false">CY40-DA40-DB40</f>
        <v>0.737686524094571</v>
      </c>
      <c r="DD40" s="15" t="n">
        <f aca="false">DC40*(1-Inputs!$B$18*EXP(-Inputs!$B$21*Inputs!$B$14*Inputs!$B$17/(Inputs!$B$22*Inputs!$B$23*Inputs!$B$24*CW40*Inputs!$B$16))*Inputs!$B$19)</f>
        <v>0.0260752522490664</v>
      </c>
      <c r="DE40" s="15" t="n">
        <f aca="false">(DC40-DD40)*(1-EXP(-Inputs!$B$25*Inputs!$B$14*Inputs!$B$17*Inputs!$B$26/(CW40*Inputs!$B$16/0.866)))</f>
        <v>0.0072581117986828</v>
      </c>
      <c r="DF40" s="15" t="n">
        <f aca="false">(DC40-DD40-DE40)*(1-Inputs!$B$19)</f>
        <v>0.00352176580023411</v>
      </c>
      <c r="DG40" s="15" t="n">
        <f aca="false">(CZ40+DA40+DB40+DD40+DE40+DF40)*(1+Inputs!$B$27)</f>
        <v>0.300066111570673</v>
      </c>
      <c r="DH40" s="15" t="n">
        <f aca="false">Inputs!$B$52/(1-DG40-G40)</f>
        <v>196045.866427321</v>
      </c>
      <c r="DI40" s="15" t="n">
        <f aca="false">DH40/Inputs!$B$34</f>
        <v>326.743110712201</v>
      </c>
      <c r="DJ40" s="15" t="n">
        <f aca="false">B40^2/DI40</f>
        <v>12.9306475377271</v>
      </c>
      <c r="DK40" s="15" t="n">
        <f aca="false">Inputs!$B$54*H40/(Inputs!$B$35*F40+E40*H40^2/(PI()*DJ40*Inputs!$B$36))</f>
        <v>20.3691659158117</v>
      </c>
      <c r="DL40" s="15" t="n">
        <f aca="false">EXP(-Inputs!$B$11*Inputs!$B$14*Inputs!$B$17/(Inputs!$B$51*DK40*Inputs!$B$16))</f>
        <v>0.764552492767674</v>
      </c>
      <c r="DM40" s="15" t="n">
        <f aca="false">Inputs!$B$50*Inputs!$B$18*DL40*Inputs!$B$19</f>
        <v>0.747062765326111</v>
      </c>
      <c r="DN40" s="15" t="n">
        <f aca="false">1-DM40</f>
        <v>0.252937234673889</v>
      </c>
      <c r="DO40" s="15" t="n">
        <f aca="false">Inputs!$B$20*DN40</f>
        <v>0.00758811704021667</v>
      </c>
      <c r="DP40" s="15" t="n">
        <f aca="false">0.8*(1-Inputs!$B$50)*(DM40-DO40)</f>
        <v>0.00178110455365859</v>
      </c>
      <c r="DQ40" s="15" t="n">
        <f aca="false">DM40-DO40-DP40</f>
        <v>0.737693543732236</v>
      </c>
      <c r="DR40" s="15" t="n">
        <f aca="false">DQ40*(1-Inputs!$B$18*EXP(-Inputs!$B$21*Inputs!$B$14*Inputs!$B$17/(Inputs!$B$22*Inputs!$B$23*Inputs!$B$24*DK40*Inputs!$B$16))*Inputs!$B$19)</f>
        <v>0.0260751159196864</v>
      </c>
      <c r="DS40" s="15" t="n">
        <f aca="false">(DQ40-DR40)*(1-EXP(-Inputs!$B$25*Inputs!$B$14*Inputs!$B$17*Inputs!$B$26/(DK40*Inputs!$B$16/0.866)))</f>
        <v>0.00725793882437241</v>
      </c>
      <c r="DT40" s="15" t="n">
        <f aca="false">(DQ40-DR40-DS40)*(1-Inputs!$B$19)</f>
        <v>0.00352180244494089</v>
      </c>
      <c r="DU40" s="15" t="n">
        <f aca="false">(DN40+DO40+DP40+DR40+DS40+DT40)*(1+Inputs!$B$27)</f>
        <v>0.300058797397134</v>
      </c>
      <c r="DV40" s="15" t="n">
        <f aca="false">Inputs!$B$52/(1-DU40-G40)</f>
        <v>196037.250321344</v>
      </c>
      <c r="DW40" s="15" t="n">
        <f aca="false">DV40/Inputs!$B$34</f>
        <v>326.728750535573</v>
      </c>
      <c r="DX40" s="15" t="n">
        <f aca="false">B40^2/DW40</f>
        <v>12.9312158574181</v>
      </c>
      <c r="DY40" s="15" t="n">
        <f aca="false">Inputs!$B$54*H40/(Inputs!$B$35*F40+E40*H40^2/(PI()*DX40*Inputs!$B$36))</f>
        <v>20.3693666818324</v>
      </c>
      <c r="DZ40" s="15" t="n">
        <f aca="false">EXP(-Inputs!$B$11*Inputs!$B$14*Inputs!$B$17/(Inputs!$B$51*DY40*Inputs!$B$16))</f>
        <v>0.764554515822182</v>
      </c>
      <c r="EA40" s="15" t="n">
        <f aca="false">Inputs!$B$50*Inputs!$B$18*DZ40*Inputs!$B$19</f>
        <v>0.747064742101688</v>
      </c>
      <c r="EB40" s="15" t="n">
        <f aca="false">1-EA40</f>
        <v>0.252935257898312</v>
      </c>
      <c r="EC40" s="15" t="n">
        <f aca="false">Inputs!$B$20*EB40</f>
        <v>0.00758805773694936</v>
      </c>
      <c r="ED40" s="15" t="n">
        <f aca="false">0.8*(1-Inputs!$B$50)*(EA40-EC40)</f>
        <v>0.00178110945777439</v>
      </c>
      <c r="EE40" s="15" t="n">
        <f aca="false">EA40-EC40-ED40</f>
        <v>0.737695574906964</v>
      </c>
      <c r="EF40" s="15" t="n">
        <f aca="false">EE40*(1-Inputs!$B$18*EXP(-Inputs!$B$21*Inputs!$B$14*Inputs!$B$17/(Inputs!$B$22*Inputs!$B$23*Inputs!$B$24*DY40*Inputs!$B$16))*Inputs!$B$19)</f>
        <v>0.0260750764712058</v>
      </c>
      <c r="EG40" s="15" t="n">
        <f aca="false">(EE40-EF40)*(1-EXP(-Inputs!$B$25*Inputs!$B$14*Inputs!$B$17*Inputs!$B$26/(DY40*Inputs!$B$16/0.866)))</f>
        <v>0.00725788877269514</v>
      </c>
      <c r="EH40" s="15" t="n">
        <f aca="false">(EE40-EF40-EG40)*(1-Inputs!$B$19)</f>
        <v>0.00352181304831532</v>
      </c>
      <c r="EI40" s="15" t="n">
        <f aca="false">(EB40+EC40+ED40+EF40+EG40+EH40)*(1+Inputs!$B$27)</f>
        <v>0.300056680995408</v>
      </c>
      <c r="EJ40" s="15" t="n">
        <f aca="false">Inputs!$B$52/(1-EI40-G40)</f>
        <v>196034.757338622</v>
      </c>
      <c r="EK40" s="15" t="n">
        <f aca="false">EJ40/Inputs!$B$34</f>
        <v>326.72459556437</v>
      </c>
      <c r="EL40" s="15" t="n">
        <f aca="false">B40^2/EK40</f>
        <v>12.9313803042649</v>
      </c>
      <c r="EM40" s="15" t="n">
        <f aca="false">Inputs!$B$54*H40/(Inputs!$B$35*F40+E40*H40^2/(PI()*EL40*Inputs!$B$36))</f>
        <v>20.3694247721789</v>
      </c>
      <c r="EN40" s="15" t="n">
        <f aca="false">EXP(-Inputs!$B$11*Inputs!$B$14*Inputs!$B$17/(Inputs!$B$51*EM40*Inputs!$B$16))</f>
        <v>0.764555101173448</v>
      </c>
      <c r="EO40" s="15" t="n">
        <f aca="false">Inputs!$B$50*Inputs!$B$18*EN40*Inputs!$B$19</f>
        <v>0.747065314062592</v>
      </c>
      <c r="EP40" s="15" t="n">
        <f aca="false">1-EO40</f>
        <v>0.252934685937408</v>
      </c>
      <c r="EQ40" s="15" t="n">
        <f aca="false">Inputs!$B$20*EP40</f>
        <v>0.00758804057812224</v>
      </c>
      <c r="ER40" s="15" t="n">
        <f aca="false">0.8*(1-Inputs!$B$50)*(EO40-EQ40)</f>
        <v>0.00178111087673288</v>
      </c>
      <c r="ES40" s="15" t="n">
        <f aca="false">EO40-EQ40-ER40</f>
        <v>0.737696162607737</v>
      </c>
      <c r="ET40" s="15" t="n">
        <f aca="false">ES40*(1-Inputs!$B$18*EXP(-Inputs!$B$21*Inputs!$B$14*Inputs!$B$17/(Inputs!$B$22*Inputs!$B$23*Inputs!$B$24*EM40*Inputs!$B$16))*Inputs!$B$19)</f>
        <v>0.0260750650571067</v>
      </c>
      <c r="EU40" s="15" t="n">
        <f aca="false">(ES40-ET40)*(1-EXP(-Inputs!$B$25*Inputs!$B$14*Inputs!$B$17*Inputs!$B$26/(EM40*Inputs!$B$16/0.866)))</f>
        <v>0.00725787429068337</v>
      </c>
      <c r="EV40" s="15" t="n">
        <f aca="false">(ES40-ET40-EU40)*(1-Inputs!$B$19)</f>
        <v>0.00352181611629974</v>
      </c>
      <c r="EW40" s="15" t="n">
        <f aca="false">(EP40+EQ40+ER40+ET40+EU40+EV40)*(1+Inputs!$B$27)</f>
        <v>0.300056068634922</v>
      </c>
      <c r="EX40" s="15" t="n">
        <f aca="false">Inputs!$B$52/(1-EW40-G40)</f>
        <v>196034.036029874</v>
      </c>
      <c r="EY40" s="15" t="n">
        <f aca="false">EX40/Inputs!$B$34</f>
        <v>326.723393383123</v>
      </c>
      <c r="EZ40" s="15" t="n">
        <f aca="false">B40^2/EY40</f>
        <v>12.9314278853785</v>
      </c>
      <c r="FA40" s="15" t="n">
        <f aca="false">Inputs!$B$54*H40/(Inputs!$B$35*F40+E40*H40^2/(PI()*EZ40*Inputs!$B$36))</f>
        <v>20.3694415798482</v>
      </c>
      <c r="FB40" s="15" t="n">
        <f aca="false">EXP(-Inputs!$B$11*Inputs!$B$14*Inputs!$B$17/(Inputs!$B$51*FA40*Inputs!$B$16))</f>
        <v>0.764555270536514</v>
      </c>
      <c r="FC40" s="15" t="n">
        <f aca="false">Inputs!$B$50*Inputs!$B$18*FB40*Inputs!$B$19</f>
        <v>0.747065479551347</v>
      </c>
      <c r="FD40" s="15" t="n">
        <f aca="false">1-FC40</f>
        <v>0.252934520448653</v>
      </c>
      <c r="FE40" s="15" t="n">
        <f aca="false">Inputs!$B$20*FD40</f>
        <v>0.00758803561345958</v>
      </c>
      <c r="FF40" s="15" t="n">
        <f aca="false">0.8*(1-Inputs!$B$50)*(FC40-FE40)</f>
        <v>0.00178111128728835</v>
      </c>
      <c r="FG40" s="15" t="n">
        <f aca="false">FC40-FE40-FF40</f>
        <v>0.7376963326506</v>
      </c>
      <c r="FH40" s="15" t="n">
        <f aca="false">FG40*(1-Inputs!$B$18*EXP(-Inputs!$B$21*Inputs!$B$14*Inputs!$B$17/(Inputs!$B$22*Inputs!$B$23*Inputs!$B$24*FA40*Inputs!$B$16))*Inputs!$B$19)</f>
        <v>0.0260750617545941</v>
      </c>
      <c r="FI40" s="15" t="n">
        <f aca="false">(FG40-FH40)*(1-EXP(-Inputs!$B$25*Inputs!$B$14*Inputs!$B$17*Inputs!$B$26/(FA40*Inputs!$B$16/0.866)))</f>
        <v>0.00725787010051551</v>
      </c>
      <c r="FJ40" s="15" t="n">
        <f aca="false">(FG40-FH40-FI40)*(1-Inputs!$B$19)</f>
        <v>0.00352181700397745</v>
      </c>
      <c r="FK40" s="15" t="n">
        <f aca="false">(FD40+FE40+FF40+FH40+FI40+FJ40)*(1+Inputs!$B$27)</f>
        <v>0.300055891457113</v>
      </c>
      <c r="FL40" s="15" t="n">
        <f aca="false">Inputs!$B$52/(1-FK40-G40)</f>
        <v>196033.827330423</v>
      </c>
      <c r="FM40" s="15" t="n">
        <f aca="false">FL40/Inputs!$B$34</f>
        <v>326.723045550705</v>
      </c>
      <c r="FN40" s="15" t="n">
        <f aca="false">B40^2/FM40</f>
        <v>12.9314416522979</v>
      </c>
      <c r="FO40" s="15" t="n">
        <f aca="false">Inputs!$B$54*H40/(Inputs!$B$35*F40+E40*H40^2/(PI()*FN40*Inputs!$B$36))</f>
        <v>20.3694464428907</v>
      </c>
      <c r="FP40" s="15" t="n">
        <f aca="false">EXP(-Inputs!$B$11*Inputs!$B$14*Inputs!$B$17/(Inputs!$B$51*FO40*Inputs!$B$16))</f>
        <v>0.764555319539086</v>
      </c>
      <c r="FQ40" s="15" t="n">
        <f aca="false">Inputs!$B$50*Inputs!$B$18*FP40*Inputs!$B$19</f>
        <v>0.747065527432948</v>
      </c>
      <c r="FR40" s="15" t="n">
        <f aca="false">1-FQ40</f>
        <v>0.252934472567052</v>
      </c>
      <c r="FS40" s="15" t="n">
        <f aca="false">Inputs!$B$20*FR40</f>
        <v>0.00758803417701157</v>
      </c>
      <c r="FT40" s="15" t="n">
        <f aca="false">0.8*(1-Inputs!$B$50)*(FQ40-FS40)</f>
        <v>0.00178111140607619</v>
      </c>
      <c r="FU40" s="15" t="n">
        <f aca="false">FQ40-FS40-FT40</f>
        <v>0.73769638184986</v>
      </c>
      <c r="FV40" s="15" t="n">
        <f aca="false">FU40*(1-Inputs!$B$18*EXP(-Inputs!$B$21*Inputs!$B$14*Inputs!$B$17/(Inputs!$B$22*Inputs!$B$23*Inputs!$B$24*FO40*Inputs!$B$16))*Inputs!$B$19)</f>
        <v>0.026075060799063</v>
      </c>
      <c r="FW40" s="15" t="n">
        <f aca="false">(FU40-FV40)*(1-EXP(-Inputs!$B$25*Inputs!$B$14*Inputs!$B$17*Inputs!$B$26/(FO40*Inputs!$B$16/0.866)))</f>
        <v>0.00725786888815526</v>
      </c>
      <c r="FX40" s="15" t="n">
        <f aca="false">(FU40-FV40-FW40)*(1-Inputs!$B$19)</f>
        <v>0.00352181726081321</v>
      </c>
      <c r="FY40" s="15" t="n">
        <f aca="false">(FR40+FS40+FT40+FV40+FW40+FX40)*(1+Inputs!$B$27)</f>
        <v>0.300055840193466</v>
      </c>
      <c r="FZ40" s="15" t="n">
        <f aca="false">Inputs!$B$52/(1-FY40-G40)</f>
        <v>196033.766946561</v>
      </c>
      <c r="GA40" s="15" t="n">
        <f aca="false">FZ40/Inputs!$B$34</f>
        <v>326.722944910935</v>
      </c>
      <c r="GB40" s="15" t="n">
        <f aca="false">B40^2/GA40</f>
        <v>12.9314456355422</v>
      </c>
      <c r="GC40" s="15" t="n">
        <f aca="false">Inputs!$B$54*H40/(Inputs!$B$35*F40+E40*H40^2/(PI()*GB40*Inputs!$B$36))</f>
        <v>20.369447849935</v>
      </c>
      <c r="GD40" s="15" t="n">
        <f aca="false">EXP(-Inputs!$B$11*Inputs!$B$14*Inputs!$B$17/(Inputs!$B$51*GC40*Inputs!$B$16))</f>
        <v>0.7645553337172</v>
      </c>
      <c r="GE40" s="15" t="n">
        <f aca="false">Inputs!$B$50*Inputs!$B$18*GD40*Inputs!$B$19</f>
        <v>0.747065541286727</v>
      </c>
      <c r="GF40" s="15" t="n">
        <f aca="false">1-GE40</f>
        <v>0.252934458713273</v>
      </c>
      <c r="GG40" s="15" t="n">
        <f aca="false">Inputs!$B$20*GF40</f>
        <v>0.0075880337613982</v>
      </c>
      <c r="GH40" s="15" t="n">
        <f aca="false">0.8*(1-Inputs!$B$50)*(GE40-GG40)</f>
        <v>0.00178111144044557</v>
      </c>
      <c r="GI40" s="15" t="n">
        <f aca="false">GE40-GG40-GH40</f>
        <v>0.737696396084883</v>
      </c>
      <c r="GJ40" s="15" t="n">
        <f aca="false">GI40*(1-Inputs!$B$18*EXP(-Inputs!$B$21*Inputs!$B$14*Inputs!$B$17/(Inputs!$B$22*Inputs!$B$23*Inputs!$B$24*GC40*Inputs!$B$16))*Inputs!$B$19)</f>
        <v>0.0260750605225952</v>
      </c>
      <c r="GK40" s="15" t="n">
        <f aca="false">(GI40-GJ40)*(1-EXP(-Inputs!$B$25*Inputs!$B$14*Inputs!$B$17*Inputs!$B$26/(GC40*Inputs!$B$16/0.866)))</f>
        <v>0.00725786853737814</v>
      </c>
      <c r="GL40" s="15" t="n">
        <f aca="false">(GI40-GJ40-GK40)*(1-Inputs!$B$19)</f>
        <v>0.00352181733512455</v>
      </c>
      <c r="GM40" s="15" t="n">
        <f aca="false">(GF40+GG40+GH40+GJ40+GK40+GL40)*(1+Inputs!$B$27)</f>
        <v>0.300055825361146</v>
      </c>
      <c r="GN40" s="15" t="n">
        <f aca="false">Inputs!$B$52/(1-GM40-G40)</f>
        <v>196033.749475459</v>
      </c>
      <c r="GO40" s="15" t="n">
        <f aca="false">GN40/Inputs!$B$34</f>
        <v>326.722915792431</v>
      </c>
      <c r="GP40" s="15" t="n">
        <f aca="false">B40^2/GO40</f>
        <v>12.9314467880305</v>
      </c>
      <c r="GQ40" s="15" t="n">
        <f aca="false">Inputs!$B$54*H40/(Inputs!$B$35*F40+E40*H40^2/(PI()*GP40*Inputs!$B$36))</f>
        <v>20.3694482570407</v>
      </c>
      <c r="GR40" s="15" t="n">
        <f aca="false">EXP(-Inputs!$B$11*Inputs!$B$14*Inputs!$B$17/(Inputs!$B$51*GQ40*Inputs!$B$16))</f>
        <v>0.76455533781941</v>
      </c>
      <c r="GS40" s="15" t="n">
        <f aca="false">Inputs!$B$50*Inputs!$B$18*GR40*Inputs!$B$19</f>
        <v>0.747065545295096</v>
      </c>
      <c r="GT40" s="15" t="n">
        <f aca="false">1-GS40</f>
        <v>0.252934454704904</v>
      </c>
      <c r="GU40" s="15" t="n">
        <f aca="false">Inputs!$B$20*GT40</f>
        <v>0.00758803364114713</v>
      </c>
      <c r="GV40" s="15" t="n">
        <f aca="false">0.8*(1-Inputs!$B$50)*(GS40-GU40)</f>
        <v>0.00178111145038979</v>
      </c>
      <c r="GW40" s="15" t="n">
        <f aca="false">GS40-GU40-GV40</f>
        <v>0.737696400203559</v>
      </c>
      <c r="GX40" s="15" t="n">
        <f aca="false">GW40*(1-Inputs!$B$18*EXP(-Inputs!$B$21*Inputs!$B$14*Inputs!$B$17/(Inputs!$B$22*Inputs!$B$23*Inputs!$B$24*GQ40*Inputs!$B$16))*Inputs!$B$19)</f>
        <v>0.0260750604426037</v>
      </c>
      <c r="GY40" s="15" t="n">
        <f aca="false">(GW40-GX40)*(1-EXP(-Inputs!$B$25*Inputs!$B$14*Inputs!$B$17*Inputs!$B$26/(GQ40*Inputs!$B$16/0.866)))</f>
        <v>0.00725786843588639</v>
      </c>
      <c r="GZ40" s="15" t="n">
        <f aca="false">(GW40-GX40-GY40)*(1-Inputs!$B$19)</f>
        <v>0.00352181735662535</v>
      </c>
      <c r="HA40" s="15" t="n">
        <f aca="false">(GT40+GU40+GV40+GX40+GY40+GZ40)*(1+Inputs!$B$27)</f>
        <v>0.300055821069651</v>
      </c>
      <c r="HB40" s="15" t="n">
        <f aca="false">Inputs!$B$52/(1-HA40-G40)</f>
        <v>196033.744420476</v>
      </c>
      <c r="HC40" s="15" t="n">
        <f aca="false">HB40/Inputs!$B$34</f>
        <v>326.722907367459</v>
      </c>
      <c r="HD40" s="15" t="n">
        <f aca="false">B40^2/HC40</f>
        <v>12.9314471214846</v>
      </c>
      <c r="HE40" s="15" t="n">
        <f aca="false">Inputs!$B$54*H40/(Inputs!$B$35*F40+E40*H40^2/(PI()*HD40*Inputs!$B$36))</f>
        <v>20.3694483748302</v>
      </c>
      <c r="HF40" s="15" t="n">
        <f aca="false">EXP(-Inputs!$B$11*Inputs!$B$14*Inputs!$B$17/(Inputs!$B$51*HE40*Inputs!$B$16))</f>
        <v>0.764555339006319</v>
      </c>
      <c r="HG40" s="15" t="n">
        <f aca="false">Inputs!$B$50*Inputs!$B$18*HF40*Inputs!$B$19</f>
        <v>0.747065546454853</v>
      </c>
      <c r="HH40" s="15" t="n">
        <f aca="false">1-HG40</f>
        <v>0.252934453545147</v>
      </c>
      <c r="HI40" s="15" t="n">
        <f aca="false">Inputs!$B$20*HH40</f>
        <v>0.00758803360635441</v>
      </c>
      <c r="HJ40" s="15" t="n">
        <f aca="false">0.8*(1-Inputs!$B$50)*(HG40-HI40)</f>
        <v>0.001781111453267</v>
      </c>
      <c r="HK40" s="15" t="n">
        <f aca="false">HG40-HI40-HJ40</f>
        <v>0.737696401395232</v>
      </c>
      <c r="HL40" s="15" t="n">
        <f aca="false">HK40*(1-Inputs!$B$18*EXP(-Inputs!$B$21*Inputs!$B$14*Inputs!$B$17/(Inputs!$B$22*Inputs!$B$23*Inputs!$B$24*HE40*Inputs!$B$16))*Inputs!$B$19)</f>
        <v>0.0260750604194595</v>
      </c>
      <c r="HM40" s="15" t="n">
        <f aca="false">(HK40-HL40)*(1-EXP(-Inputs!$B$25*Inputs!$B$14*Inputs!$B$17*Inputs!$B$26/(HE40*Inputs!$B$16/0.866)))</f>
        <v>0.00725786840652133</v>
      </c>
      <c r="HN40" s="15" t="n">
        <f aca="false">(HK40-HL40-HM40)*(1-Inputs!$B$19)</f>
        <v>0.00352181736284626</v>
      </c>
      <c r="HO40" s="15" t="n">
        <f aca="false">(HH40+HI40+HJ40+HL40+HM40+HN40)*(1+Inputs!$B$27)</f>
        <v>0.300055819827976</v>
      </c>
      <c r="HP40" s="15" t="n">
        <f aca="false">Inputs!$B$52/(1-HO40-G40)</f>
        <v>196033.742957898</v>
      </c>
      <c r="HQ40" s="15" t="n">
        <f aca="false">HP40/Inputs!$B$34</f>
        <v>326.722904929829</v>
      </c>
      <c r="HR40" s="15" t="n">
        <f aca="false">B40^2/HQ40</f>
        <v>12.9314472179641</v>
      </c>
      <c r="HS40" s="15" t="n">
        <f aca="false">Inputs!$B$54*H40/(Inputs!$B$35*F40+E40*H40^2/(PI()*HR40*Inputs!$B$36))</f>
        <v>20.3694484089107</v>
      </c>
      <c r="HT40" s="15" t="n">
        <f aca="false">EXP(-Inputs!$B$11*Inputs!$B$14*Inputs!$B$17/(Inputs!$B$51*HS40*Inputs!$B$16))</f>
        <v>0.764555339349731</v>
      </c>
      <c r="HU40" s="15" t="n">
        <f aca="false">Inputs!$B$50*Inputs!$B$18*HT40*Inputs!$B$19</f>
        <v>0.74706554679041</v>
      </c>
      <c r="HV40" s="15" t="n">
        <f aca="false">1-HU40</f>
        <v>0.25293445320959</v>
      </c>
      <c r="HW40" s="15" t="n">
        <f aca="false">Inputs!$B$20*HV40</f>
        <v>0.0075880335962877</v>
      </c>
      <c r="HX40" s="15" t="n">
        <f aca="false">0.8*(1-Inputs!$B$50)*(HU40-HW40)</f>
        <v>0.00178111145409947</v>
      </c>
      <c r="HY40" s="15" t="n">
        <f aca="false">HU40-HW40-HX40</f>
        <v>0.737696401740023</v>
      </c>
      <c r="HZ40" s="15" t="n">
        <f aca="false">HY40*(1-Inputs!$B$18*EXP(-Inputs!$B$21*Inputs!$B$14*Inputs!$B$17/(Inputs!$B$22*Inputs!$B$23*Inputs!$B$24*HS40*Inputs!$B$16))*Inputs!$B$19)</f>
        <v>0.026075060412763</v>
      </c>
      <c r="IA40" s="15" t="n">
        <f aca="false">(HY40-HZ40)*(1-EXP(-Inputs!$B$25*Inputs!$B$14*Inputs!$B$17*Inputs!$B$26/(HS40*Inputs!$B$16/0.866)))</f>
        <v>0.00725786839802507</v>
      </c>
      <c r="IB40" s="15" t="n">
        <f aca="false">(HY40-HZ40-IA40)*(1-Inputs!$B$19)</f>
        <v>0.00352181736464618</v>
      </c>
      <c r="IC40" s="15" t="n">
        <f aca="false">(HV40+HW40+HX40+HZ40+IA40+IB40)*(1+Inputs!$B$27)</f>
        <v>0.300055819468718</v>
      </c>
      <c r="ID40" s="15" t="n">
        <f aca="false">Inputs!$B$52/(1-IC40-G40)</f>
        <v>196033.742534724</v>
      </c>
      <c r="IE40" s="15" t="n">
        <f aca="false">ID40/Inputs!$B$34</f>
        <v>326.72290422454</v>
      </c>
      <c r="IF40" s="15" t="n">
        <f aca="false">B40^2/IE40</f>
        <v>12.9314472458789</v>
      </c>
      <c r="IG40" s="15" t="n">
        <f aca="false">Inputs!$B$54*H40/(Inputs!$B$35*F40+E40*H40^2/(PI()*IF40*Inputs!$B$36))</f>
        <v>20.3694484187714</v>
      </c>
      <c r="IH40" s="15" t="n">
        <f aca="false">EXP(-Inputs!$B$11*Inputs!$B$14*Inputs!$B$17/(Inputs!$B$51*IG40*Inputs!$B$16))</f>
        <v>0.764555339449093</v>
      </c>
      <c r="II40" s="15" t="n">
        <f aca="false">Inputs!$B$50*Inputs!$B$18*IH40*Inputs!$B$19</f>
        <v>0.747065546887498</v>
      </c>
      <c r="IJ40" s="15" t="n">
        <f aca="false">1-II40</f>
        <v>0.252934453112502</v>
      </c>
      <c r="IK40" s="15" t="n">
        <f aca="false">Inputs!$B$20*IJ40</f>
        <v>0.00758803359337506</v>
      </c>
      <c r="IL40" s="15" t="n">
        <f aca="false">0.8*(1-Inputs!$B$50)*(II40-IK40)</f>
        <v>0.00178111145434033</v>
      </c>
      <c r="IM40" s="15" t="n">
        <f aca="false">II40-IK40-IL40</f>
        <v>0.737696401839783</v>
      </c>
      <c r="IN40" s="15" t="n">
        <f aca="false">IM40*(1-Inputs!$B$18*EXP(-Inputs!$B$21*Inputs!$B$14*Inputs!$B$17/(Inputs!$B$22*Inputs!$B$23*Inputs!$B$24*IG40*Inputs!$B$16))*Inputs!$B$19)</f>
        <v>0.0260750604108255</v>
      </c>
      <c r="IO40" s="15" t="n">
        <f aca="false">(IM40-IN40)*(1-EXP(-Inputs!$B$25*Inputs!$B$14*Inputs!$B$17*Inputs!$B$26/(IG40*Inputs!$B$16/0.866)))</f>
        <v>0.00725786839556683</v>
      </c>
      <c r="IP40" s="15" t="n">
        <f aca="false">(IM40-IN40-IO40)*(1-Inputs!$B$19)</f>
        <v>0.00352181736516696</v>
      </c>
      <c r="IQ40" s="15" t="n">
        <f aca="false">(IJ40+IK40+IL40+IN40+IO40+IP40)*(1+Inputs!$B$27)</f>
        <v>0.300055819364772</v>
      </c>
      <c r="IR40" s="15" t="n">
        <f aca="false">Inputs!$B$52/(1-IQ40-G40)</f>
        <v>196033.742412286</v>
      </c>
      <c r="IS40" s="15" t="n">
        <f aca="false">IR40/Inputs!$B$34</f>
        <v>326.722904020476</v>
      </c>
      <c r="IT40" s="15" t="n">
        <f aca="false">B40^2/IS40</f>
        <v>12.9314472539556</v>
      </c>
      <c r="IU40" s="15" t="n">
        <f aca="false">Inputs!$B$54*H40/(Inputs!$B$35*F40+E40*H40^2/(PI()*IT40*Inputs!$B$36))</f>
        <v>20.3694484216244</v>
      </c>
      <c r="IV40" s="15" t="n">
        <f aca="false">EXP(-Inputs!$B$11*Inputs!$B$14*Inputs!$B$17/(Inputs!$B$51*IU40*Inputs!$B$16))</f>
        <v>0.764555339477841</v>
      </c>
      <c r="IW40" s="15" t="n">
        <f aca="false">Inputs!$B$50*Inputs!$B$18*IV40*Inputs!$B$19</f>
        <v>0.747065546915589</v>
      </c>
      <c r="IX40" s="15" t="n">
        <f aca="false">1-IW40</f>
        <v>0.252934453084411</v>
      </c>
      <c r="IY40" s="15" t="n">
        <f aca="false">Inputs!$B$20*IX40</f>
        <v>0.00758803359253233</v>
      </c>
      <c r="IZ40" s="15" t="n">
        <f aca="false">0.8*(1-Inputs!$B$50)*(IW40-IY40)</f>
        <v>0.00178111145441002</v>
      </c>
      <c r="JA40" s="15" t="n">
        <f aca="false">IW40-IY40-IZ40</f>
        <v>0.737696401868647</v>
      </c>
      <c r="JB40" s="15" t="n">
        <f aca="false">JA40*(1-Inputs!$B$18*EXP(-Inputs!$B$21*Inputs!$B$14*Inputs!$B$17/(Inputs!$B$22*Inputs!$B$23*Inputs!$B$24*IU40*Inputs!$B$16))*Inputs!$B$19)</f>
        <v>0.026075060410265</v>
      </c>
      <c r="JC40" s="15" t="n">
        <f aca="false">(JA40-JB40)*(1-EXP(-Inputs!$B$25*Inputs!$B$14*Inputs!$B$17*Inputs!$B$26/(IU40*Inputs!$B$16/0.866)))</f>
        <v>0.0072578683948555</v>
      </c>
      <c r="JD40" s="15" t="n">
        <f aca="false">(JA40-JB40-JC40)*(1-Inputs!$B$19)</f>
        <v>0.00352181736531763</v>
      </c>
      <c r="JE40" s="15" t="n">
        <f aca="false">(IX40+IY40+IZ40+JB40+JC40+JD40)*(1+Inputs!$B$27)</f>
        <v>0.300055819334697</v>
      </c>
      <c r="JF40" s="15" t="n">
        <f aca="false">Inputs!$B$52/(1-JE40-G40)</f>
        <v>196033.74237686</v>
      </c>
      <c r="JG40" s="15" t="n">
        <f aca="false">JF40/Inputs!$B$34</f>
        <v>326.722903961433</v>
      </c>
      <c r="JH40" s="15" t="n">
        <f aca="false">B40^2/JG40</f>
        <v>12.9314472562925</v>
      </c>
      <c r="JI40" s="15" t="n">
        <f aca="false">Inputs!$B$54*H40/(Inputs!$B$35*F40+E40*H40^2/(PI()*JH40*Inputs!$B$36))</f>
        <v>20.3694484224499</v>
      </c>
      <c r="JJ40" s="15" t="n">
        <f aca="false">EXP(-Inputs!$B$11*Inputs!$B$14*Inputs!$B$17/(Inputs!$B$51*JI40*Inputs!$B$16))</f>
        <v>0.764555339486159</v>
      </c>
      <c r="JK40" s="15" t="n">
        <f aca="false">Inputs!$B$50*Inputs!$B$18*JJ40*Inputs!$B$19</f>
        <v>0.747065546923717</v>
      </c>
      <c r="JL40" s="15" t="n">
        <f aca="false">1-JK40</f>
        <v>0.252934453076284</v>
      </c>
      <c r="JM40" s="15" t="n">
        <f aca="false">Inputs!$B$20*JL40</f>
        <v>0.0075880335922885</v>
      </c>
      <c r="JN40" s="15" t="n">
        <f aca="false">0.8*(1-Inputs!$B$50)*(JK40-JM40)</f>
        <v>0.00178111145443019</v>
      </c>
      <c r="JO40" s="15" t="n">
        <f aca="false">JK40-JM40-JN40</f>
        <v>0.737696401876998</v>
      </c>
      <c r="JP40" s="15" t="n">
        <f aca="false">JO40*(1-Inputs!$B$18*EXP(-Inputs!$B$21*Inputs!$B$14*Inputs!$B$17/(Inputs!$B$22*Inputs!$B$23*Inputs!$B$24*JI40*Inputs!$B$16))*Inputs!$B$19)</f>
        <v>0.0260750604101027</v>
      </c>
      <c r="JQ40" s="15" t="n">
        <f aca="false">(JO40-JP40)*(1-EXP(-Inputs!$B$25*Inputs!$B$14*Inputs!$B$17*Inputs!$B$26/(JI40*Inputs!$B$16/0.866)))</f>
        <v>0.00725786839464977</v>
      </c>
      <c r="JR40" s="15" t="n">
        <f aca="false">(JO40-JP40-JQ40)*(1-Inputs!$B$19)</f>
        <v>0.00352181736536123</v>
      </c>
      <c r="JS40" s="15" t="n">
        <f aca="false">(JL40+JM40+JN40+JP40+JQ40+JR40)*(1+Inputs!$B$27)</f>
        <v>0.300055819325995</v>
      </c>
      <c r="JT40" s="15" t="n">
        <f aca="false">Inputs!$B$52/(1-JS40-G40)</f>
        <v>196033.74236661</v>
      </c>
      <c r="JU40" s="15" t="n">
        <f aca="false">JT40/Inputs!$B$34</f>
        <v>326.72290394435</v>
      </c>
      <c r="JV40" s="15" t="n">
        <f aca="false">B40^2/JU40</f>
        <v>12.9314472569687</v>
      </c>
      <c r="JW40" s="15" t="n">
        <f aca="false">Inputs!$B$54*H40/(Inputs!$B$35*F40+E40*H40^2/(PI()*JV40*Inputs!$B$36))</f>
        <v>20.3694484226887</v>
      </c>
      <c r="JX40" s="15" t="n">
        <f aca="false">EXP(-Inputs!$B$11*Inputs!$B$14*Inputs!$B$17/(Inputs!$B$51*JW40*Inputs!$B$16))</f>
        <v>0.764555339488566</v>
      </c>
      <c r="JY40" s="15" t="n">
        <f aca="false">Inputs!$B$50*Inputs!$B$18*JX40*Inputs!$B$19</f>
        <v>0.747065546926068</v>
      </c>
      <c r="JZ40" s="15" t="n">
        <f aca="false">1-JY40</f>
        <v>0.252934453073932</v>
      </c>
      <c r="KA40" s="15" t="n">
        <f aca="false">Inputs!$B$20*JZ40</f>
        <v>0.00758803359221795</v>
      </c>
      <c r="KB40" s="15" t="n">
        <f aca="false">0.8*(1-Inputs!$B$50)*(JY40-KA40)</f>
        <v>0.00178111145443602</v>
      </c>
      <c r="KC40" s="15" t="n">
        <f aca="false">JY40-KA40-KB40</f>
        <v>0.737696401879414</v>
      </c>
      <c r="KD40" s="15" t="n">
        <f aca="false">KC40*(1-Inputs!$B$18*EXP(-Inputs!$B$21*Inputs!$B$14*Inputs!$B$17/(Inputs!$B$22*Inputs!$B$23*Inputs!$B$24*JW40*Inputs!$B$16))*Inputs!$B$19)</f>
        <v>0.0260750604100559</v>
      </c>
      <c r="KE40" s="15" t="n">
        <f aca="false">(KC40-KD40)*(1-EXP(-Inputs!$B$25*Inputs!$B$14*Inputs!$B$17*Inputs!$B$26/(JW40*Inputs!$B$16/0.866)))</f>
        <v>0.0072578683945902</v>
      </c>
      <c r="KF40" s="15" t="n">
        <f aca="false">(KC40-KD40-KE40)*(1-Inputs!$B$19)</f>
        <v>0.00352181736537384</v>
      </c>
      <c r="KG40" s="15" t="n">
        <f aca="false">(JZ40+KA40+KB40+KD40+KE40+KF40)*(1+Inputs!$B$27)</f>
        <v>0.300055819323477</v>
      </c>
      <c r="KH40" s="15" t="n">
        <f aca="false">Inputs!$B$52/(1-KG40-G40)</f>
        <v>196033.742363645</v>
      </c>
      <c r="KI40" s="15" t="n">
        <f aca="false">KH40/Inputs!$B$34</f>
        <v>326.722903939408</v>
      </c>
      <c r="KJ40" s="15" t="n">
        <f aca="false">B40^2/KI40</f>
        <v>12.9314472571643</v>
      </c>
      <c r="KK40" s="15" t="n">
        <f aca="false">Inputs!$B$54*H40/(Inputs!$B$35*F40+E40*H40^2/(PI()*KJ40*Inputs!$B$36))</f>
        <v>20.3694484227578</v>
      </c>
      <c r="KL40" s="15" t="n">
        <f aca="false">EXP(-Inputs!$B$11*Inputs!$B$14*Inputs!$B$17/(Inputs!$B$51*KK40*Inputs!$B$16))</f>
        <v>0.764555339489262</v>
      </c>
      <c r="KM40" s="15" t="n">
        <f aca="false">Inputs!$B$50*Inputs!$B$18*KL40*Inputs!$B$19</f>
        <v>0.747065546926749</v>
      </c>
      <c r="KN40" s="15" t="n">
        <f aca="false">1-KM40</f>
        <v>0.252934453073251</v>
      </c>
      <c r="KO40" s="15" t="n">
        <f aca="false">Inputs!$B$20*KN40</f>
        <v>0.00758803359219754</v>
      </c>
      <c r="KP40" s="15" t="n">
        <f aca="false">0.8*(1-Inputs!$B$50)*(KM40-KO40)</f>
        <v>0.00178111145443771</v>
      </c>
      <c r="KQ40" s="15" t="n">
        <f aca="false">KM40-KO40-KP40</f>
        <v>0.737696401880113</v>
      </c>
      <c r="KR40" s="15" t="n">
        <f aca="false">KQ40*(1-Inputs!$B$18*EXP(-Inputs!$B$21*Inputs!$B$14*Inputs!$B$17/(Inputs!$B$22*Inputs!$B$23*Inputs!$B$24*KK40*Inputs!$B$16))*Inputs!$B$19)</f>
        <v>0.0260750604100422</v>
      </c>
      <c r="KS40" s="15" t="n">
        <f aca="false">(KQ40-KR40)*(1-EXP(-Inputs!$B$25*Inputs!$B$14*Inputs!$B$17*Inputs!$B$26/(KK40*Inputs!$B$16/0.866)))</f>
        <v>0.00725786839457298</v>
      </c>
      <c r="KT40" s="15" t="n">
        <f aca="false">(KQ40-KR40-KS40)*(1-Inputs!$B$19)</f>
        <v>0.00352181736537749</v>
      </c>
      <c r="KU40" s="15" t="n">
        <f aca="false">(KN40+KO40+KP40+KR40+KS40+KT40)*(1+Inputs!$B$27)</f>
        <v>0.300055819322749</v>
      </c>
      <c r="KV40" s="15" t="n">
        <f aca="false">Inputs!$B$52/(1-KU40-G40)</f>
        <v>196033.742362787</v>
      </c>
      <c r="KW40" s="15" t="n">
        <f aca="false">KV40/Inputs!$B$34</f>
        <v>326.722903937978</v>
      </c>
      <c r="KX40" s="15" t="n">
        <f aca="false">B40^2/KW40</f>
        <v>12.9314472572209</v>
      </c>
      <c r="KY40" s="15" t="n">
        <f aca="false">Inputs!$B$54*H40/(Inputs!$B$35*F40+E40*H40^2/(PI()*KX40*Inputs!$B$36))</f>
        <v>20.3694484227778</v>
      </c>
      <c r="KZ40" s="15" t="n">
        <f aca="false">EXP(-Inputs!$B$11*Inputs!$B$14*Inputs!$B$17/(Inputs!$B$51*KY40*Inputs!$B$16))</f>
        <v>0.764555339489463</v>
      </c>
      <c r="LA40" s="15" t="n">
        <f aca="false">Inputs!$B$50*Inputs!$B$18*KZ40*Inputs!$B$19</f>
        <v>0.747065546926945</v>
      </c>
      <c r="LB40" s="15" t="n">
        <f aca="false">1-LA40</f>
        <v>0.252934453073055</v>
      </c>
      <c r="LC40" s="15" t="n">
        <f aca="false">Inputs!$B$20*LB40</f>
        <v>0.00758803359219164</v>
      </c>
      <c r="LD40" s="15" t="n">
        <f aca="false">0.8*(1-Inputs!$B$50)*(LA40-LC40)</f>
        <v>0.0017811114544382</v>
      </c>
      <c r="LE40" s="15" t="n">
        <f aca="false">LA40-LC40-LD40</f>
        <v>0.737696401880316</v>
      </c>
      <c r="LF40" s="15" t="n">
        <f aca="false">LE40*(1-Inputs!$B$18*EXP(-Inputs!$B$21*Inputs!$B$14*Inputs!$B$17/(Inputs!$B$22*Inputs!$B$23*Inputs!$B$24*KY40*Inputs!$B$16))*Inputs!$B$19)</f>
        <v>0.0260750604100383</v>
      </c>
      <c r="LG40" s="15" t="n">
        <f aca="false">(LE40-LF40)*(1-EXP(-Inputs!$B$25*Inputs!$B$14*Inputs!$B$17*Inputs!$B$26/(KY40*Inputs!$B$16/0.866)))</f>
        <v>0.00725786839456797</v>
      </c>
      <c r="LH40" s="15" t="n">
        <f aca="false">(LE40-LF40-LG40)*(1-Inputs!$B$19)</f>
        <v>0.00352181736537855</v>
      </c>
      <c r="LI40" s="15" t="n">
        <f aca="false">(LB40+LC40+LD40+LF40+LG40+LH40)*(1+Inputs!$B$27)</f>
        <v>0.300055819322538</v>
      </c>
      <c r="LJ40" s="15" t="n">
        <f aca="false">Inputs!$B$52/(1-LI40-G40)</f>
        <v>196033.742362538</v>
      </c>
      <c r="LK40" s="15" t="n">
        <f aca="false">LJ40/Inputs!$B$34</f>
        <v>326.722903937564</v>
      </c>
      <c r="LL40" s="15" t="n">
        <f aca="false">B40^2/LK40</f>
        <v>12.9314472572373</v>
      </c>
      <c r="LM40" s="15" t="n">
        <f aca="false">Inputs!$B$54*H40/(Inputs!$B$35*F40+E40*H40^2/(PI()*LL40*Inputs!$B$36))</f>
        <v>20.3694484227836</v>
      </c>
      <c r="LN40" s="15" t="n">
        <f aca="false">EXP(-Inputs!$B$11*Inputs!$B$14*Inputs!$B$17/(Inputs!$B$51*LM40*Inputs!$B$16))</f>
        <v>0.764555339489522</v>
      </c>
      <c r="LO40" s="15" t="n">
        <f aca="false">Inputs!$B$50*Inputs!$B$18*LN40*Inputs!$B$19</f>
        <v>0.747065546927002</v>
      </c>
      <c r="LP40" s="15" t="n">
        <f aca="false">1-LO40</f>
        <v>0.252934453072998</v>
      </c>
      <c r="LQ40" s="15" t="n">
        <f aca="false">Inputs!$B$20*LP40</f>
        <v>0.00758803359218993</v>
      </c>
      <c r="LR40" s="15" t="n">
        <f aca="false">0.8*(1-Inputs!$B$50)*(LO40-LQ40)</f>
        <v>0.00178111145443834</v>
      </c>
      <c r="LS40" s="15" t="n">
        <f aca="false">LO40-LQ40-LR40</f>
        <v>0.737696401880374</v>
      </c>
      <c r="LT40" s="15" t="n">
        <f aca="false">LS40*(1-Inputs!$B$18*EXP(-Inputs!$B$21*Inputs!$B$14*Inputs!$B$17/(Inputs!$B$22*Inputs!$B$23*Inputs!$B$24*LM40*Inputs!$B$16))*Inputs!$B$19)</f>
        <v>0.0260750604100372</v>
      </c>
      <c r="LU40" s="15" t="n">
        <f aca="false">(LS40-LT40)*(1-EXP(-Inputs!$B$25*Inputs!$B$14*Inputs!$B$17*Inputs!$B$26/(LM40*Inputs!$B$16/0.866)))</f>
        <v>0.00725786839456653</v>
      </c>
      <c r="LV40" s="15" t="n">
        <f aca="false">(LS40-LT40-LU40)*(1-Inputs!$B$19)</f>
        <v>0.00352181736537886</v>
      </c>
      <c r="LW40" s="15" t="n">
        <f aca="false">(LP40+LQ40+LR40+LT40+LU40+LV40)*(1+Inputs!$B$27)</f>
        <v>0.300055819322477</v>
      </c>
      <c r="LX40" s="15" t="n">
        <f aca="false">Inputs!$B$52/(1-LW40-G40)</f>
        <v>196033.742362466</v>
      </c>
      <c r="LY40" s="15" t="n">
        <f aca="false">LX40/Inputs!$B$34</f>
        <v>326.722903937444</v>
      </c>
      <c r="LZ40" s="15" t="n">
        <f aca="false">B40^2/LY40</f>
        <v>12.931447257242</v>
      </c>
      <c r="MA40" s="15" t="n">
        <f aca="false">Inputs!$B$54*H40/(Inputs!$B$35*F40+E40*H40^2/(PI()*LZ40*Inputs!$B$36))</f>
        <v>20.3694484227853</v>
      </c>
      <c r="MB40" s="15" t="n">
        <f aca="false">EXP(-Inputs!$B$11*Inputs!$B$14*Inputs!$B$17/(Inputs!$B$51*MA40*Inputs!$B$16))</f>
        <v>0.764555339489539</v>
      </c>
      <c r="MC40" s="15" t="n">
        <f aca="false">Inputs!$B$50*Inputs!$B$18*MB40*Inputs!$B$19</f>
        <v>0.747065546927019</v>
      </c>
      <c r="MD40" s="15" t="n">
        <f aca="false">1-MC40</f>
        <v>0.252934453072981</v>
      </c>
      <c r="ME40" s="15" t="n">
        <f aca="false">Inputs!$B$20*MD40</f>
        <v>0.00758803359218943</v>
      </c>
      <c r="MF40" s="15" t="n">
        <f aca="false">0.8*(1-Inputs!$B$50)*(MC40-ME40)</f>
        <v>0.00178111145443838</v>
      </c>
      <c r="MG40" s="15" t="n">
        <f aca="false">MC40-ME40-MF40</f>
        <v>0.737696401880391</v>
      </c>
      <c r="MH40" s="15" t="n">
        <f aca="false">MG40*(1-Inputs!$B$18*EXP(-Inputs!$B$21*Inputs!$B$14*Inputs!$B$17/(Inputs!$B$22*Inputs!$B$23*Inputs!$B$24*MA40*Inputs!$B$16))*Inputs!$B$19)</f>
        <v>0.0260750604100368</v>
      </c>
      <c r="MI40" s="15" t="n">
        <f aca="false">(MG40-MH40)*(1-EXP(-Inputs!$B$25*Inputs!$B$14*Inputs!$B$17*Inputs!$B$26/(MA40*Inputs!$B$16/0.866)))</f>
        <v>0.00725786839456615</v>
      </c>
      <c r="MJ40" s="15" t="n">
        <f aca="false">(MG40-MH40-MI40)*(1-Inputs!$B$19)</f>
        <v>0.00352181736537894</v>
      </c>
      <c r="MK40" s="15" t="n">
        <f aca="false">(MD40+ME40+MF40+MH40+MI40+MJ40)*(1+Inputs!$B$27)</f>
        <v>0.30005581932246</v>
      </c>
      <c r="ML40" s="15" t="n">
        <f aca="false">Inputs!$B$52/(1-MK40-G40)</f>
        <v>196033.742362446</v>
      </c>
      <c r="MM40" s="15" t="n">
        <f aca="false">ML40/Inputs!$B$34</f>
        <v>326.722903937409</v>
      </c>
      <c r="MN40" s="15" t="n">
        <f aca="false">B40^2/MM40</f>
        <v>12.9314472572434</v>
      </c>
      <c r="MO40" s="15" t="n">
        <f aca="false">Inputs!$B$54*H40/(Inputs!$B$35*F40+E40*H40^2/(PI()*MN40*Inputs!$B$36))</f>
        <v>20.3694484227858</v>
      </c>
      <c r="MP40" s="15" t="n">
        <f aca="false">EXP(-Inputs!$B$11*Inputs!$B$14*Inputs!$B$17/(Inputs!$B$51*MO40*Inputs!$B$16))</f>
        <v>0.764555339489543</v>
      </c>
      <c r="MQ40" s="15" t="n">
        <f aca="false">Inputs!$B$50*Inputs!$B$18*MP40*Inputs!$B$19</f>
        <v>0.747065546927024</v>
      </c>
      <c r="MR40" s="15" t="n">
        <f aca="false">1-MQ40</f>
        <v>0.252934453072976</v>
      </c>
      <c r="MS40" s="15" t="n">
        <f aca="false">Inputs!$B$20*MR40</f>
        <v>0.00758803359218929</v>
      </c>
      <c r="MT40" s="15" t="n">
        <f aca="false">0.8*(1-Inputs!$B$50)*(MQ40-MS40)</f>
        <v>0.00178111145443839</v>
      </c>
      <c r="MU40" s="15" t="n">
        <f aca="false">MQ40-MS40-MT40</f>
        <v>0.737696401880396</v>
      </c>
      <c r="MV40" s="15" t="n">
        <f aca="false">MU40*(1-Inputs!$B$18*EXP(-Inputs!$B$21*Inputs!$B$14*Inputs!$B$17/(Inputs!$B$22*Inputs!$B$23*Inputs!$B$24*MO40*Inputs!$B$16))*Inputs!$B$19)</f>
        <v>0.0260750604100367</v>
      </c>
      <c r="MW40" s="15" t="n">
        <f aca="false">(MU40-MV40)*(1-EXP(-Inputs!$B$25*Inputs!$B$14*Inputs!$B$17*Inputs!$B$26/(MO40*Inputs!$B$16/0.866)))</f>
        <v>0.00725786839456604</v>
      </c>
      <c r="MX40" s="15" t="n">
        <f aca="false">(MU40-MV40-MW40)*(1-Inputs!$B$19)</f>
        <v>0.00352181736537897</v>
      </c>
      <c r="MY40" s="15" t="n">
        <f aca="false">(MR40+MS40+MT40+MV40+MW40+MX40)*(1+Inputs!$B$27)</f>
        <v>0.300055819322455</v>
      </c>
      <c r="MZ40" s="15" t="n">
        <f aca="false">Inputs!$B$52/(1-MY40-G40)</f>
        <v>196033.74236244</v>
      </c>
      <c r="NA40" s="15" t="n">
        <f aca="false">MZ40/Inputs!$B$34</f>
        <v>326.7229039374</v>
      </c>
      <c r="NB40" s="15" t="n">
        <f aca="false">B40^2/NA40</f>
        <v>12.9314472572437</v>
      </c>
      <c r="NC40" s="15" t="n">
        <f aca="false">Inputs!$B$54*H40/(Inputs!$B$35*F40+E40*H40^2/(PI()*NB40*Inputs!$B$36))</f>
        <v>20.3694484227859</v>
      </c>
      <c r="ND40" s="15" t="n">
        <f aca="false">EXP(-Inputs!$B$11*Inputs!$B$14*Inputs!$B$17/(Inputs!$B$51*NC40*Inputs!$B$16))</f>
        <v>0.764555339489545</v>
      </c>
      <c r="NE40" s="15" t="n">
        <f aca="false">Inputs!$B$50*Inputs!$B$18*ND40*Inputs!$B$19</f>
        <v>0.747065546927025</v>
      </c>
      <c r="NF40" s="15" t="n">
        <f aca="false">1-NE40</f>
        <v>0.252934453072975</v>
      </c>
      <c r="NG40" s="15" t="n">
        <f aca="false">Inputs!$B$20*NF40</f>
        <v>0.00758803359218925</v>
      </c>
      <c r="NH40" s="15" t="n">
        <f aca="false">0.8*(1-Inputs!$B$50)*(NE40-NG40)</f>
        <v>0.00178111145443839</v>
      </c>
      <c r="NI40" s="15" t="n">
        <f aca="false">NE40-NG40-NH40</f>
        <v>0.737696401880397</v>
      </c>
      <c r="NJ40" s="15" t="n">
        <f aca="false">NI40*(1-Inputs!$B$18*EXP(-Inputs!$B$21*Inputs!$B$14*Inputs!$B$17/(Inputs!$B$22*Inputs!$B$23*Inputs!$B$24*NC40*Inputs!$B$16))*Inputs!$B$19)</f>
        <v>0.0260750604100367</v>
      </c>
      <c r="NK40" s="15" t="n">
        <f aca="false">(NI40-NJ40)*(1-EXP(-Inputs!$B$25*Inputs!$B$14*Inputs!$B$17*Inputs!$B$26/(NC40*Inputs!$B$16/0.866)))</f>
        <v>0.00725786839456598</v>
      </c>
      <c r="NL40" s="15" t="n">
        <f aca="false">(NI40-NJ40-NK40)*(1-Inputs!$B$19)</f>
        <v>0.00352181736537898</v>
      </c>
      <c r="NM40" s="15" t="n">
        <f aca="false">(NF40+NG40+NH40+NJ40+NK40+NL40)*(1+Inputs!$B$27)</f>
        <v>0.300055819322453</v>
      </c>
      <c r="NN40" s="15" t="n">
        <f aca="false">Inputs!$B$52/(1-NM40-G40)</f>
        <v>196033.742362438</v>
      </c>
    </row>
    <row r="41" customFormat="false" ht="15" hidden="false" customHeight="false" outlineLevel="0" collapsed="false">
      <c r="A41" s="21" t="s">
        <v>501</v>
      </c>
      <c r="B41" s="21" t="n">
        <v>65</v>
      </c>
      <c r="C41" s="22" t="n">
        <v>0.25</v>
      </c>
      <c r="D41" s="23" t="n">
        <f aca="false">B41*C41</f>
        <v>16.25</v>
      </c>
      <c r="E41" s="24" t="n">
        <f aca="false">IF(C41=0,1,(1+0.45*C41)/(1.04+2.81*C41))</f>
        <v>0.63845050215208</v>
      </c>
      <c r="F41" s="24" t="n">
        <f aca="false">1+Inputs!$B$42*D41</f>
        <v>1.08125</v>
      </c>
      <c r="G41" s="25" t="n">
        <f aca="false">Inputs!$B$31+Inputs!$B$43*(B41/Inputs!$B$32-1)+Inputs!$B$44+Inputs!$B$45*D41</f>
        <v>0.53546875</v>
      </c>
      <c r="H41" s="22" t="n">
        <f aca="false">Inputs!$B$38</f>
        <v>0.5</v>
      </c>
      <c r="I41" s="23" t="n">
        <f aca="false">Inputs!$B$40</f>
        <v>2.4</v>
      </c>
      <c r="J41" s="26" t="n">
        <f aca="false">NN41/Inputs!$B$34</f>
        <v>330.898889526947</v>
      </c>
      <c r="K41" s="23" t="n">
        <f aca="false">B41^2/J41</f>
        <v>12.7682507669943</v>
      </c>
      <c r="L41" s="23" t="n">
        <f aca="false">2*K41</f>
        <v>25.5365015339886</v>
      </c>
      <c r="M41" s="22" t="n">
        <f aca="false">NC41</f>
        <v>20.3551980187799</v>
      </c>
      <c r="N41" s="23" t="n">
        <f aca="false">B41/SQRT(E41)</f>
        <v>81.3485357561089</v>
      </c>
      <c r="O41" s="24" t="n">
        <f aca="false">NM41</f>
        <v>0.300206129182174</v>
      </c>
      <c r="P41" s="23" t="n">
        <f aca="false">NN41/1000</f>
        <v>198.539333716168</v>
      </c>
      <c r="Q41" s="23" t="n">
        <f aca="false">G41*NN41/1000</f>
        <v>106.311608850829</v>
      </c>
      <c r="R41" s="23" t="n">
        <f aca="false">NM41*NN41/1000</f>
        <v>59.6027248653388</v>
      </c>
      <c r="S41" s="23" t="n">
        <f aca="false">NM41*NN41/Inputs!$B$28/1000</f>
        <v>79.4702998204517</v>
      </c>
      <c r="T41" s="27" t="n">
        <f aca="false">R41/Sweep!$R$5-1</f>
        <v>-0.0463048496507907</v>
      </c>
      <c r="U41" s="27" t="n">
        <f aca="false">R41/SUMIFS(Sweep!$R:$R,Sweep!$A:$A,"Conventional",Sweep!$B:$B,B41)-1</f>
        <v>-0.0334885881753303</v>
      </c>
      <c r="V41" s="26" t="n">
        <f aca="false">2*0.54*(J41/2)^1.5/SQRT(L41)*Inputs!$B$46*Inputs!$B$47</f>
        <v>42.5258142407886</v>
      </c>
      <c r="W41" s="28" t="n">
        <f aca="false">MIN(1,V41/S41)</f>
        <v>0.535115814799588</v>
      </c>
      <c r="X41" s="26" t="n">
        <f aca="false">1.23*SQRT(2*Inputs!$B$41*NN41*Inputs!$B$49/(1.225*J41*I41))/0.5144</f>
        <v>133.62967568068</v>
      </c>
      <c r="Y41" s="29" t="n">
        <f aca="false">(11000+6341.6*LN(0.36392/(2*Inputs!$B$50*Inputs!$B$18*(1+ND41)/2*Inputs!$B$34*Inputs!$B$49/((Inputs!$B$12*295.07)^2*H41))))/0.3048</f>
        <v>38490.1979683947</v>
      </c>
      <c r="Z41" s="26" t="n">
        <f aca="false">NN41-MZ41</f>
        <v>0</v>
      </c>
      <c r="AA41" s="30" t="str">
        <f aca="false">IF(ABS(NN41-MZ41)&lt;10,"Yes","No")</f>
        <v>Yes</v>
      </c>
      <c r="AC41" s="15" t="n">
        <f aca="false">Inputs!$B$52/(1-0.3154-G41)/Inputs!$B$34</f>
        <v>364.611709484096</v>
      </c>
      <c r="AD41" s="15" t="n">
        <f aca="false">B41^2/AC41</f>
        <v>11.5876695402299</v>
      </c>
      <c r="AE41" s="15" t="n">
        <f aca="false">Inputs!$B$54*H41/(Inputs!$B$35*F41+E41*H41^2/(PI()*AD41*Inputs!$B$36))</f>
        <v>19.9229169255879</v>
      </c>
      <c r="AF41" s="15" t="n">
        <f aca="false">EXP(-Inputs!$B$11*Inputs!$B$14*Inputs!$B$17/(Inputs!$B$51*AE41*Inputs!$B$16))</f>
        <v>0.759968820747682</v>
      </c>
      <c r="AG41" s="15" t="n">
        <f aca="false">Inputs!$B$50*Inputs!$B$18*AF41*Inputs!$B$19</f>
        <v>0.742583948335785</v>
      </c>
      <c r="AH41" s="15" t="n">
        <f aca="false">1-AG41</f>
        <v>0.257416051664215</v>
      </c>
      <c r="AI41" s="15" t="n">
        <f aca="false">Inputs!$B$20*AH41</f>
        <v>0.00772248154992644</v>
      </c>
      <c r="AJ41" s="15" t="n">
        <f aca="false">0.8*(1-Inputs!$B$50)*(AG41-AI41)</f>
        <v>0.00176999320779216</v>
      </c>
      <c r="AK41" s="15" t="n">
        <f aca="false">AG41-AI41-AJ41</f>
        <v>0.733091473578067</v>
      </c>
      <c r="AL41" s="15" t="n">
        <f aca="false">AK41*(1-Inputs!$B$18*EXP(-Inputs!$B$21*Inputs!$B$14*Inputs!$B$17/(Inputs!$B$22*Inputs!$B$23*Inputs!$B$24*AE41*Inputs!$B$16))*Inputs!$B$19)</f>
        <v>0.0261636315279311</v>
      </c>
      <c r="AM41" s="15" t="n">
        <f aca="false">(AK41-AL41)*(1-EXP(-Inputs!$B$25*Inputs!$B$14*Inputs!$B$17*Inputs!$B$26/(AE41*Inputs!$B$16/0.866)))</f>
        <v>0.00737075116596847</v>
      </c>
      <c r="AN41" s="15" t="n">
        <f aca="false">(AK41-AL41-AM41)*(1-Inputs!$B$19)</f>
        <v>0.00349778545442084</v>
      </c>
      <c r="AO41" s="15" t="n">
        <f aca="false">(AH41+AI41+AJ41+AL41+AM41+AN41)*(1+Inputs!$B$27)</f>
        <v>0.304852516653964</v>
      </c>
      <c r="AP41" s="15" t="n">
        <f aca="false">Inputs!$B$52/(1-AO41-G41)</f>
        <v>204316.500490389</v>
      </c>
      <c r="AQ41" s="15" t="n">
        <f aca="false">AP41/Inputs!$B$34</f>
        <v>340.527500817315</v>
      </c>
      <c r="AR41" s="15" t="n">
        <f aca="false">B41^2/AQ41</f>
        <v>12.4072211197609</v>
      </c>
      <c r="AS41" s="15" t="n">
        <f aca="false">Inputs!$B$54*H41/(Inputs!$B$35*F41+E41*H41^2/(PI()*AR41*Inputs!$B$36))</f>
        <v>20.2298336260273</v>
      </c>
      <c r="AT41" s="15" t="n">
        <f aca="false">EXP(-Inputs!$B$11*Inputs!$B$14*Inputs!$B$17/(Inputs!$B$51*AS41*Inputs!$B$16))</f>
        <v>0.763140110241611</v>
      </c>
      <c r="AU41" s="15" t="n">
        <f aca="false">Inputs!$B$50*Inputs!$B$18*AT41*Inputs!$B$19</f>
        <v>0.745682692138723</v>
      </c>
      <c r="AV41" s="15" t="n">
        <f aca="false">1-AU41</f>
        <v>0.254317307861277</v>
      </c>
      <c r="AW41" s="15" t="n">
        <f aca="false">Inputs!$B$20*AV41</f>
        <v>0.00762951923583831</v>
      </c>
      <c r="AX41" s="15" t="n">
        <f aca="false">0.8*(1-Inputs!$B$50)*(AU41-AW41)</f>
        <v>0.00177768077667927</v>
      </c>
      <c r="AY41" s="15" t="n">
        <f aca="false">AU41-AW41-AX41</f>
        <v>0.736275492126205</v>
      </c>
      <c r="AZ41" s="15" t="n">
        <f aca="false">AY41*(1-Inputs!$B$18*EXP(-Inputs!$B$21*Inputs!$B$14*Inputs!$B$17/(Inputs!$B$22*Inputs!$B$23*Inputs!$B$24*AS41*Inputs!$B$16))*Inputs!$B$19)</f>
        <v>0.0261025746627039</v>
      </c>
      <c r="BA41" s="15" t="n">
        <f aca="false">(AY41-AZ41)*(1-EXP(-Inputs!$B$25*Inputs!$B$14*Inputs!$B$17*Inputs!$B$26/(AS41*Inputs!$B$16/0.866)))</f>
        <v>0.00729282601240377</v>
      </c>
      <c r="BB41" s="15" t="n">
        <f aca="false">(AY41-AZ41-BA41)*(1-Inputs!$B$19)</f>
        <v>0.00351440045725549</v>
      </c>
      <c r="BC41" s="15" t="n">
        <f aca="false">(AV41+AW41+AX41+AZ41+BA41+BB41)*(1+Inputs!$B$27)</f>
        <v>0.301536211933176</v>
      </c>
      <c r="BD41" s="15" t="n">
        <f aca="false">Inputs!$B$52/(1-BC41-G41)</f>
        <v>200159.46734909</v>
      </c>
      <c r="BE41" s="15" t="n">
        <f aca="false">BD41/Inputs!$B$34</f>
        <v>333.599112248483</v>
      </c>
      <c r="BF41" s="15" t="n">
        <f aca="false">B41^2/BE41</f>
        <v>12.6649018084107</v>
      </c>
      <c r="BG41" s="15" t="n">
        <f aca="false">Inputs!$B$54*H41/(Inputs!$B$35*F41+E41*H41^2/(PI()*BF41*Inputs!$B$36))</f>
        <v>20.3198846571712</v>
      </c>
      <c r="BH41" s="15" t="n">
        <f aca="false">EXP(-Inputs!$B$11*Inputs!$B$14*Inputs!$B$17/(Inputs!$B$51*BG41*Inputs!$B$16))</f>
        <v>0.764054854808144</v>
      </c>
      <c r="BI41" s="15" t="n">
        <f aca="false">Inputs!$B$50*Inputs!$B$18*BH41*Inputs!$B$19</f>
        <v>0.746576511218388</v>
      </c>
      <c r="BJ41" s="15" t="n">
        <f aca="false">1-BI41</f>
        <v>0.253423488781612</v>
      </c>
      <c r="BK41" s="15" t="n">
        <f aca="false">Inputs!$B$20*BJ41</f>
        <v>0.00760270466344836</v>
      </c>
      <c r="BL41" s="15" t="n">
        <f aca="false">0.8*(1-Inputs!$B$50)*(BI41-BK41)</f>
        <v>0.00177989822225868</v>
      </c>
      <c r="BM41" s="15" t="n">
        <f aca="false">BI41-BK41-BL41</f>
        <v>0.737193908332681</v>
      </c>
      <c r="BN41" s="15" t="n">
        <f aca="false">BM41*(1-Inputs!$B$18*EXP(-Inputs!$B$21*Inputs!$B$14*Inputs!$B$17/(Inputs!$B$22*Inputs!$B$23*Inputs!$B$24*BG41*Inputs!$B$16))*Inputs!$B$19)</f>
        <v>0.0260848093960453</v>
      </c>
      <c r="BO41" s="15" t="n">
        <f aca="false">(BM41-BN41)*(1-EXP(-Inputs!$B$25*Inputs!$B$14*Inputs!$B$17*Inputs!$B$26/(BG41*Inputs!$B$16/0.866)))</f>
        <v>0.00727024373293846</v>
      </c>
      <c r="BP41" s="15" t="n">
        <f aca="false">(BM41-BN41-BO41)*(1-Inputs!$B$19)</f>
        <v>0.00351919427601849</v>
      </c>
      <c r="BQ41" s="15" t="n">
        <f aca="false">(BJ41+BK41+BL41+BN41+BO41+BP41)*(1+Inputs!$B$27)</f>
        <v>0.300579380089538</v>
      </c>
      <c r="BR41" s="15" t="n">
        <f aca="false">Inputs!$B$52/(1-BQ41-G41)</f>
        <v>198991.326038656</v>
      </c>
      <c r="BS41" s="15" t="n">
        <f aca="false">BR41/Inputs!$B$34</f>
        <v>331.652210064427</v>
      </c>
      <c r="BT41" s="15" t="n">
        <f aca="false">B41^2/BS41</f>
        <v>12.7392487424681</v>
      </c>
      <c r="BU41" s="15" t="n">
        <f aca="false">Inputs!$B$54*H41/(Inputs!$B$35*F41+E41*H41^2/(PI()*BT41*Inputs!$B$36))</f>
        <v>20.3453337962082</v>
      </c>
      <c r="BV41" s="15" t="n">
        <f aca="false">EXP(-Inputs!$B$11*Inputs!$B$14*Inputs!$B$17/(Inputs!$B$51*BU41*Inputs!$B$16))</f>
        <v>0.76431209862058</v>
      </c>
      <c r="BW41" s="15" t="n">
        <f aca="false">Inputs!$B$50*Inputs!$B$18*BV41*Inputs!$B$19</f>
        <v>0.74682787038038</v>
      </c>
      <c r="BX41" s="15" t="n">
        <f aca="false">1-BW41</f>
        <v>0.25317212961962</v>
      </c>
      <c r="BY41" s="15" t="n">
        <f aca="false">Inputs!$B$20*BX41</f>
        <v>0.00759516388858859</v>
      </c>
      <c r="BZ41" s="15" t="n">
        <f aca="false">0.8*(1-Inputs!$B$50)*(BW41-BY41)</f>
        <v>0.00178052181071778</v>
      </c>
      <c r="CA41" s="15" t="n">
        <f aca="false">BW41-BY41-BZ41</f>
        <v>0.737452184681074</v>
      </c>
      <c r="CB41" s="15" t="n">
        <f aca="false">CA41*(1-Inputs!$B$18*EXP(-Inputs!$B$21*Inputs!$B$14*Inputs!$B$17/(Inputs!$B$22*Inputs!$B$23*Inputs!$B$24*BU41*Inputs!$B$16))*Inputs!$B$19)</f>
        <v>0.0260798010872131</v>
      </c>
      <c r="CC41" s="15" t="n">
        <f aca="false">(CA41-CB41)*(1-EXP(-Inputs!$B$25*Inputs!$B$14*Inputs!$B$17*Inputs!$B$26/(BU41*Inputs!$B$16/0.866)))</f>
        <v>0.00726388469618316</v>
      </c>
      <c r="CD41" s="15" t="n">
        <f aca="false">(CA41-CB41-CC41)*(1-Inputs!$B$19)</f>
        <v>0.00352054249448839</v>
      </c>
      <c r="CE41" s="15" t="n">
        <f aca="false">(BX41+BY41+BZ41+CB41+CC41+CD41)*(1+Inputs!$B$27)</f>
        <v>0.300310279727601</v>
      </c>
      <c r="CF41" s="15" t="n">
        <f aca="false">Inputs!$B$52/(1-CE41-G41)</f>
        <v>198665.249303325</v>
      </c>
      <c r="CG41" s="15" t="n">
        <f aca="false">CF41/Inputs!$B$34</f>
        <v>331.108748838875</v>
      </c>
      <c r="CH41" s="15" t="n">
        <f aca="false">B41^2/CG41</f>
        <v>12.7601581499013</v>
      </c>
      <c r="CI41" s="15" t="n">
        <f aca="false">Inputs!$B$54*H41/(Inputs!$B$35*F41+E41*H41^2/(PI()*CH41*Inputs!$B$36))</f>
        <v>20.3524490920928</v>
      </c>
      <c r="CJ41" s="15" t="n">
        <f aca="false">EXP(-Inputs!$B$11*Inputs!$B$14*Inputs!$B$17/(Inputs!$B$51*CI41*Inputs!$B$16))</f>
        <v>0.764383921509353</v>
      </c>
      <c r="CK41" s="15" t="n">
        <f aca="false">Inputs!$B$50*Inputs!$B$18*CJ41*Inputs!$B$19</f>
        <v>0.746898050265226</v>
      </c>
      <c r="CL41" s="15" t="n">
        <f aca="false">1-CK41</f>
        <v>0.253101949734774</v>
      </c>
      <c r="CM41" s="15" t="n">
        <f aca="false">Inputs!$B$20*CL41</f>
        <v>0.00759305849204322</v>
      </c>
      <c r="CN41" s="15" t="n">
        <f aca="false">0.8*(1-Inputs!$B$50)*(CK41-CM41)</f>
        <v>0.00178069591762482</v>
      </c>
      <c r="CO41" s="15" t="n">
        <f aca="false">CK41-CM41-CN41</f>
        <v>0.737524295855558</v>
      </c>
      <c r="CP41" s="15" t="n">
        <f aca="false">CO41*(1-Inputs!$B$18*EXP(-Inputs!$B$21*Inputs!$B$14*Inputs!$B$17/(Inputs!$B$22*Inputs!$B$23*Inputs!$B$24*CI41*Inputs!$B$16))*Inputs!$B$19)</f>
        <v>0.0260784017898148</v>
      </c>
      <c r="CQ41" s="15" t="n">
        <f aca="false">(CO41-CP41)*(1-EXP(-Inputs!$B$25*Inputs!$B$14*Inputs!$B$17*Inputs!$B$26/(CI41*Inputs!$B$16/0.866)))</f>
        <v>0.00726210857960141</v>
      </c>
      <c r="CR41" s="15" t="n">
        <f aca="false">(CO41-CP41-CQ41)*(1-Inputs!$B$19)</f>
        <v>0.00352091892743071</v>
      </c>
      <c r="CS41" s="15" t="n">
        <f aca="false">(CL41+CM41+CN41+CP41+CQ41+CR41)*(1+Inputs!$B$27)</f>
        <v>0.300235144841613</v>
      </c>
      <c r="CT41" s="15" t="n">
        <f aca="false">Inputs!$B$52/(1-CS41-G41)</f>
        <v>198574.396931372</v>
      </c>
      <c r="CU41" s="15" t="n">
        <f aca="false">CT41/Inputs!$B$34</f>
        <v>330.957328218954</v>
      </c>
      <c r="CV41" s="15" t="n">
        <f aca="false">B41^2/CU41</f>
        <v>12.7659962169046</v>
      </c>
      <c r="CW41" s="15" t="n">
        <f aca="false">Inputs!$B$54*H41/(Inputs!$B$35*F41+E41*H41^2/(PI()*CV41*Inputs!$B$36))</f>
        <v>20.354432461448</v>
      </c>
      <c r="CX41" s="15" t="n">
        <f aca="false">EXP(-Inputs!$B$11*Inputs!$B$14*Inputs!$B$17/(Inputs!$B$51*CW41*Inputs!$B$16))</f>
        <v>0.764403934196876</v>
      </c>
      <c r="CY41" s="15" t="n">
        <f aca="false">Inputs!$B$50*Inputs!$B$18*CX41*Inputs!$B$19</f>
        <v>0.7469176051471</v>
      </c>
      <c r="CZ41" s="15" t="n">
        <f aca="false">1-CY41</f>
        <v>0.2530823948529</v>
      </c>
      <c r="DA41" s="15" t="n">
        <f aca="false">Inputs!$B$20*CZ41</f>
        <v>0.00759247184558701</v>
      </c>
      <c r="DB41" s="15" t="n">
        <f aca="false">0.8*(1-Inputs!$B$50)*(CY41-DA41)</f>
        <v>0.00178074443067109</v>
      </c>
      <c r="DC41" s="15" t="n">
        <f aca="false">CY41-DA41-DB41</f>
        <v>0.737544388870842</v>
      </c>
      <c r="DD41" s="15" t="n">
        <f aca="false">DC41*(1-Inputs!$B$18*EXP(-Inputs!$B$21*Inputs!$B$14*Inputs!$B$17/(Inputs!$B$22*Inputs!$B$23*Inputs!$B$24*CW41*Inputs!$B$16))*Inputs!$B$19)</f>
        <v>0.0260780118150332</v>
      </c>
      <c r="DE41" s="15" t="n">
        <f aca="false">(DC41-DD41)*(1-EXP(-Inputs!$B$25*Inputs!$B$14*Inputs!$B$17*Inputs!$B$26/(CW41*Inputs!$B$16/0.866)))</f>
        <v>0.0072616136319535</v>
      </c>
      <c r="DF41" s="15" t="n">
        <f aca="false">(DC41-DD41-DE41)*(1-Inputs!$B$19)</f>
        <v>0.00352102381711928</v>
      </c>
      <c r="DG41" s="15" t="n">
        <f aca="false">(CZ41+DA41+DB41+DD41+DE41+DF41)*(1+Inputs!$B$27)</f>
        <v>0.300214209174444</v>
      </c>
      <c r="DH41" s="15" t="n">
        <f aca="false">Inputs!$B$52/(1-DG41-G41)</f>
        <v>198549.096527582</v>
      </c>
      <c r="DI41" s="15" t="n">
        <f aca="false">DH41/Inputs!$B$34</f>
        <v>330.915160879304</v>
      </c>
      <c r="DJ41" s="15" t="n">
        <f aca="false">B41^2/DI41</f>
        <v>12.7676229423076</v>
      </c>
      <c r="DK41" s="15" t="n">
        <f aca="false">Inputs!$B$54*H41/(Inputs!$B$35*F41+E41*H41^2/(PI()*DJ41*Inputs!$B$36))</f>
        <v>20.3549848553649</v>
      </c>
      <c r="DL41" s="15" t="n">
        <f aca="false">EXP(-Inputs!$B$11*Inputs!$B$14*Inputs!$B$17/(Inputs!$B$51*DK41*Inputs!$B$16))</f>
        <v>0.764409507387078</v>
      </c>
      <c r="DM41" s="15" t="n">
        <f aca="false">Inputs!$B$50*Inputs!$B$18*DL41*Inputs!$B$19</f>
        <v>0.746923050846282</v>
      </c>
      <c r="DN41" s="15" t="n">
        <f aca="false">1-DM41</f>
        <v>0.253076949153719</v>
      </c>
      <c r="DO41" s="15" t="n">
        <f aca="false">Inputs!$B$20*DN41</f>
        <v>0.00759230847461155</v>
      </c>
      <c r="DP41" s="15" t="n">
        <f aca="false">0.8*(1-Inputs!$B$50)*(DM41-DO41)</f>
        <v>0.00178075794072234</v>
      </c>
      <c r="DQ41" s="15" t="n">
        <f aca="false">DM41-DO41-DP41</f>
        <v>0.737549984430948</v>
      </c>
      <c r="DR41" s="15" t="n">
        <f aca="false">DQ41*(1-Inputs!$B$18*EXP(-Inputs!$B$21*Inputs!$B$14*Inputs!$B$17/(Inputs!$B$22*Inputs!$B$23*Inputs!$B$24*DK41*Inputs!$B$16))*Inputs!$B$19)</f>
        <v>0.0260779032078976</v>
      </c>
      <c r="DS41" s="15" t="n">
        <f aca="false">(DQ41-DR41)*(1-EXP(-Inputs!$B$25*Inputs!$B$14*Inputs!$B$17*Inputs!$B$26/(DK41*Inputs!$B$16/0.866)))</f>
        <v>0.00726147579352253</v>
      </c>
      <c r="DT41" s="15" t="n">
        <f aca="false">(DQ41-DR41-DS41)*(1-Inputs!$B$19)</f>
        <v>0.00352105302714764</v>
      </c>
      <c r="DU41" s="15" t="n">
        <f aca="false">(DN41+DO41+DP41+DR41+DS41+DT41)*(1+Inputs!$B$27)</f>
        <v>0.300208378940413</v>
      </c>
      <c r="DV41" s="15" t="n">
        <f aca="false">Inputs!$B$52/(1-DU41-G41)</f>
        <v>198542.051934873</v>
      </c>
      <c r="DW41" s="15" t="n">
        <f aca="false">DV41/Inputs!$B$34</f>
        <v>330.903419891455</v>
      </c>
      <c r="DX41" s="15" t="n">
        <f aca="false">B41^2/DW41</f>
        <v>12.7680759581932</v>
      </c>
      <c r="DY41" s="15" t="n">
        <f aca="false">Inputs!$B$54*H41/(Inputs!$B$35*F41+E41*H41^2/(PI()*DX41*Inputs!$B$36))</f>
        <v>20.3551386681343</v>
      </c>
      <c r="DZ41" s="15" t="n">
        <f aca="false">EXP(-Inputs!$B$11*Inputs!$B$14*Inputs!$B$17/(Inputs!$B$51*DY41*Inputs!$B$16))</f>
        <v>0.764411059181997</v>
      </c>
      <c r="EA41" s="15" t="n">
        <f aca="false">Inputs!$B$50*Inputs!$B$18*DZ41*Inputs!$B$19</f>
        <v>0.746924567142696</v>
      </c>
      <c r="EB41" s="15" t="n">
        <f aca="false">1-EA41</f>
        <v>0.253075432857305</v>
      </c>
      <c r="EC41" s="15" t="n">
        <f aca="false">Inputs!$B$20*EB41</f>
        <v>0.00759226298571914</v>
      </c>
      <c r="ED41" s="15" t="n">
        <f aca="false">0.8*(1-Inputs!$B$50)*(EA41-EC41)</f>
        <v>0.00178076170245093</v>
      </c>
      <c r="EE41" s="15" t="n">
        <f aca="false">EA41-EC41-ED41</f>
        <v>0.737551542454526</v>
      </c>
      <c r="EF41" s="15" t="n">
        <f aca="false">EE41*(1-Inputs!$B$18*EXP(-Inputs!$B$21*Inputs!$B$14*Inputs!$B$17/(Inputs!$B$22*Inputs!$B$23*Inputs!$B$24*DY41*Inputs!$B$16))*Inputs!$B$19)</f>
        <v>0.0260778729669544</v>
      </c>
      <c r="EG41" s="15" t="n">
        <f aca="false">(EE41-EF41)*(1-EXP(-Inputs!$B$25*Inputs!$B$14*Inputs!$B$17*Inputs!$B$26/(DY41*Inputs!$B$16/0.866)))</f>
        <v>0.00726143741358249</v>
      </c>
      <c r="EH41" s="15" t="n">
        <f aca="false">(EE41-EF41-EG41)*(1-Inputs!$B$19)</f>
        <v>0.00352106116036995</v>
      </c>
      <c r="EI41" s="15" t="n">
        <f aca="false">(EB41+EC41+ED41+EF41+EG41+EH41)*(1+Inputs!$B$27)</f>
        <v>0.300206755573641</v>
      </c>
      <c r="EJ41" s="15" t="n">
        <f aca="false">Inputs!$B$52/(1-EI41-G41)</f>
        <v>198540.09053179</v>
      </c>
      <c r="EK41" s="15" t="n">
        <f aca="false">EJ41/Inputs!$B$34</f>
        <v>330.900150886316</v>
      </c>
      <c r="EL41" s="15" t="n">
        <f aca="false">B41^2/EK41</f>
        <v>12.7682020956574</v>
      </c>
      <c r="EM41" s="15" t="n">
        <f aca="false">Inputs!$B$54*H41/(Inputs!$B$35*F41+E41*H41^2/(PI()*EL41*Inputs!$B$36))</f>
        <v>20.3551814941382</v>
      </c>
      <c r="EN41" s="15" t="n">
        <f aca="false">EXP(-Inputs!$B$11*Inputs!$B$14*Inputs!$B$17/(Inputs!$B$51*EM41*Inputs!$B$16))</f>
        <v>0.76441149124378</v>
      </c>
      <c r="EO41" s="15" t="n">
        <f aca="false">Inputs!$B$50*Inputs!$B$18*EN41*Inputs!$B$19</f>
        <v>0.746924989320733</v>
      </c>
      <c r="EP41" s="15" t="n">
        <f aca="false">1-EO41</f>
        <v>0.253075010679268</v>
      </c>
      <c r="EQ41" s="15" t="n">
        <f aca="false">Inputs!$B$20*EP41</f>
        <v>0.00759225032037803</v>
      </c>
      <c r="ER41" s="15" t="n">
        <f aca="false">0.8*(1-Inputs!$B$50)*(EO41-EQ41)</f>
        <v>0.00178076274981817</v>
      </c>
      <c r="ES41" s="15" t="n">
        <f aca="false">EO41-EQ41-ER41</f>
        <v>0.737551976250536</v>
      </c>
      <c r="ET41" s="15" t="n">
        <f aca="false">ES41*(1-Inputs!$B$18*EXP(-Inputs!$B$21*Inputs!$B$14*Inputs!$B$17/(Inputs!$B$22*Inputs!$B$23*Inputs!$B$24*EM41*Inputs!$B$16))*Inputs!$B$19)</f>
        <v>0.0260778645470207</v>
      </c>
      <c r="EU41" s="15" t="n">
        <f aca="false">(ES41-ET41)*(1-EXP(-Inputs!$B$25*Inputs!$B$14*Inputs!$B$17*Inputs!$B$26/(EM41*Inputs!$B$16/0.866)))</f>
        <v>0.00726142672754247</v>
      </c>
      <c r="EV41" s="15" t="n">
        <f aca="false">(ES41-ET41-EU41)*(1-Inputs!$B$19)</f>
        <v>0.00352106342487987</v>
      </c>
      <c r="EW41" s="15" t="n">
        <f aca="false">(EP41+EQ41+ER41+ET41+EU41+EV41)*(1+Inputs!$B$27)</f>
        <v>0.300206303584253</v>
      </c>
      <c r="EX41" s="15" t="n">
        <f aca="false">Inputs!$B$52/(1-EW41-G41)</f>
        <v>198539.544430813</v>
      </c>
      <c r="EY41" s="15" t="n">
        <f aca="false">EX41/Inputs!$B$34</f>
        <v>330.899240718021</v>
      </c>
      <c r="EZ41" s="15" t="n">
        <f aca="false">B41^2/EY41</f>
        <v>12.7682372157523</v>
      </c>
      <c r="FA41" s="15" t="n">
        <f aca="false">Inputs!$B$54*H41/(Inputs!$B$35*F41+E41*H41^2/(PI()*EZ41*Inputs!$B$36))</f>
        <v>20.355193417942</v>
      </c>
      <c r="FB41" s="15" t="n">
        <f aca="false">EXP(-Inputs!$B$11*Inputs!$B$14*Inputs!$B$17/(Inputs!$B$51*FA41*Inputs!$B$16))</f>
        <v>0.764411611540036</v>
      </c>
      <c r="FC41" s="15" t="n">
        <f aca="false">Inputs!$B$50*Inputs!$B$18*FB41*Inputs!$B$19</f>
        <v>0.746925106865119</v>
      </c>
      <c r="FD41" s="15" t="n">
        <f aca="false">1-FC41</f>
        <v>0.253074893134881</v>
      </c>
      <c r="FE41" s="15" t="n">
        <f aca="false">Inputs!$B$20*FD41</f>
        <v>0.00759224679404644</v>
      </c>
      <c r="FF41" s="15" t="n">
        <f aca="false">0.8*(1-Inputs!$B$50)*(FC41-FE41)</f>
        <v>0.00178076304143007</v>
      </c>
      <c r="FG41" s="15" t="n">
        <f aca="false">FC41-FE41-FF41</f>
        <v>0.737552097029642</v>
      </c>
      <c r="FH41" s="15" t="n">
        <f aca="false">FG41*(1-Inputs!$B$18*EXP(-Inputs!$B$21*Inputs!$B$14*Inputs!$B$17/(Inputs!$B$22*Inputs!$B$23*Inputs!$B$24*FA41*Inputs!$B$16))*Inputs!$B$19)</f>
        <v>0.0260778622027086</v>
      </c>
      <c r="FI41" s="15" t="n">
        <f aca="false">(FG41-FH41)*(1-EXP(-Inputs!$B$25*Inputs!$B$14*Inputs!$B$17*Inputs!$B$26/(FA41*Inputs!$B$16/0.866)))</f>
        <v>0.0072614237522934</v>
      </c>
      <c r="FJ41" s="15" t="n">
        <f aca="false">(FG41-FH41-FI41)*(1-Inputs!$B$19)</f>
        <v>0.0035210640553732</v>
      </c>
      <c r="FK41" s="15" t="n">
        <f aca="false">(FD41+FE41+FF41+FH41+FI41+FJ41)*(1+Inputs!$B$27)</f>
        <v>0.300206177739675</v>
      </c>
      <c r="FL41" s="15" t="n">
        <f aca="false">Inputs!$B$52/(1-FK41-G41)</f>
        <v>198539.392383867</v>
      </c>
      <c r="FM41" s="15" t="n">
        <f aca="false">FL41/Inputs!$B$34</f>
        <v>330.898987306445</v>
      </c>
      <c r="FN41" s="15" t="n">
        <f aca="false">B41^2/FM41</f>
        <v>12.7682469940207</v>
      </c>
      <c r="FO41" s="15" t="n">
        <f aca="false">Inputs!$B$54*H41/(Inputs!$B$35*F41+E41*H41^2/(PI()*FN41*Inputs!$B$36))</f>
        <v>20.3551967378029</v>
      </c>
      <c r="FP41" s="15" t="n">
        <f aca="false">EXP(-Inputs!$B$11*Inputs!$B$14*Inputs!$B$17/(Inputs!$B$51*FO41*Inputs!$B$16))</f>
        <v>0.764411645033256</v>
      </c>
      <c r="FQ41" s="15" t="n">
        <f aca="false">Inputs!$B$50*Inputs!$B$18*FP41*Inputs!$B$19</f>
        <v>0.746925139592156</v>
      </c>
      <c r="FR41" s="15" t="n">
        <f aca="false">1-FQ41</f>
        <v>0.253074860407844</v>
      </c>
      <c r="FS41" s="15" t="n">
        <f aca="false">Inputs!$B$20*FR41</f>
        <v>0.00759224581223533</v>
      </c>
      <c r="FT41" s="15" t="n">
        <f aca="false">0.8*(1-Inputs!$B$50)*(FQ41-FS41)</f>
        <v>0.00178076312262147</v>
      </c>
      <c r="FU41" s="15" t="n">
        <f aca="false">FQ41-FS41-FT41</f>
        <v>0.737552130657299</v>
      </c>
      <c r="FV41" s="15" t="n">
        <f aca="false">FU41*(1-Inputs!$B$18*EXP(-Inputs!$B$21*Inputs!$B$14*Inputs!$B$17/(Inputs!$B$22*Inputs!$B$23*Inputs!$B$24*FO41*Inputs!$B$16))*Inputs!$B$19)</f>
        <v>0.0260778615499984</v>
      </c>
      <c r="FW41" s="15" t="n">
        <f aca="false">(FU41-FV41)*(1-EXP(-Inputs!$B$25*Inputs!$B$14*Inputs!$B$17*Inputs!$B$26/(FO41*Inputs!$B$16/0.866)))</f>
        <v>0.00726142292391611</v>
      </c>
      <c r="FX41" s="15" t="n">
        <f aca="false">(FU41-FV41-FW41)*(1-Inputs!$B$19)</f>
        <v>0.00352106423091693</v>
      </c>
      <c r="FY41" s="15" t="n">
        <f aca="false">(FR41+FS41+FT41+FV41+FW41+FX41)*(1+Inputs!$B$27)</f>
        <v>0.300206142701675</v>
      </c>
      <c r="FZ41" s="15" t="n">
        <f aca="false">Inputs!$B$52/(1-FY41-G41)</f>
        <v>198539.350050573</v>
      </c>
      <c r="GA41" s="15" t="n">
        <f aca="false">FZ41/Inputs!$B$34</f>
        <v>330.898916750955</v>
      </c>
      <c r="GB41" s="15" t="n">
        <f aca="false">B41^2/GA41</f>
        <v>12.7682497165135</v>
      </c>
      <c r="GC41" s="15" t="n">
        <f aca="false">Inputs!$B$54*H41/(Inputs!$B$35*F41+E41*H41^2/(PI()*GB41*Inputs!$B$36))</f>
        <v>20.3551976621271</v>
      </c>
      <c r="GD41" s="15" t="n">
        <f aca="false">EXP(-Inputs!$B$11*Inputs!$B$14*Inputs!$B$17/(Inputs!$B$51*GC41*Inputs!$B$16))</f>
        <v>0.764411654358523</v>
      </c>
      <c r="GE41" s="15" t="n">
        <f aca="false">Inputs!$B$50*Inputs!$B$18*GD41*Inputs!$B$19</f>
        <v>0.7469251487041</v>
      </c>
      <c r="GF41" s="15" t="n">
        <f aca="false">1-GE41</f>
        <v>0.2530748512959</v>
      </c>
      <c r="GG41" s="15" t="n">
        <f aca="false">Inputs!$B$20*GF41</f>
        <v>0.007592245538877</v>
      </c>
      <c r="GH41" s="15" t="n">
        <f aca="false">0.8*(1-Inputs!$B$50)*(GE41-GG41)</f>
        <v>0.00178076314522698</v>
      </c>
      <c r="GI41" s="15" t="n">
        <f aca="false">GE41-GG41-GH41</f>
        <v>0.737552140019996</v>
      </c>
      <c r="GJ41" s="15" t="n">
        <f aca="false">GI41*(1-Inputs!$B$18*EXP(-Inputs!$B$21*Inputs!$B$14*Inputs!$B$17/(Inputs!$B$22*Inputs!$B$23*Inputs!$B$24*GC41*Inputs!$B$16))*Inputs!$B$19)</f>
        <v>0.0260778613682692</v>
      </c>
      <c r="GK41" s="15" t="n">
        <f aca="false">(GI41-GJ41)*(1-EXP(-Inputs!$B$25*Inputs!$B$14*Inputs!$B$17*Inputs!$B$26/(GC41*Inputs!$B$16/0.866)))</f>
        <v>0.00726142269327713</v>
      </c>
      <c r="GL41" s="15" t="n">
        <f aca="false">(GI41-GJ41-GK41)*(1-Inputs!$B$19)</f>
        <v>0.00352106427979225</v>
      </c>
      <c r="GM41" s="15" t="n">
        <f aca="false">(GF41+GG41+GH41+GJ41+GK41+GL41)*(1+Inputs!$B$27)</f>
        <v>0.300206132946307</v>
      </c>
      <c r="GN41" s="15" t="n">
        <f aca="false">Inputs!$B$52/(1-GM41-G41)</f>
        <v>198539.338264033</v>
      </c>
      <c r="GO41" s="15" t="n">
        <f aca="false">GN41/Inputs!$B$34</f>
        <v>330.898897106721</v>
      </c>
      <c r="GP41" s="15" t="n">
        <f aca="false">B41^2/GO41</f>
        <v>12.7682504745169</v>
      </c>
      <c r="GQ41" s="15" t="n">
        <f aca="false">Inputs!$B$54*H41/(Inputs!$B$35*F41+E41*H41^2/(PI()*GP41*Inputs!$B$36))</f>
        <v>20.3551979194798</v>
      </c>
      <c r="GR41" s="15" t="n">
        <f aca="false">EXP(-Inputs!$B$11*Inputs!$B$14*Inputs!$B$17/(Inputs!$B$51*GQ41*Inputs!$B$16))</f>
        <v>0.764411656954887</v>
      </c>
      <c r="GS41" s="15" t="n">
        <f aca="false">Inputs!$B$50*Inputs!$B$18*GR41*Inputs!$B$19</f>
        <v>0.74692515124107</v>
      </c>
      <c r="GT41" s="15" t="n">
        <f aca="false">1-GS41</f>
        <v>0.25307484875893</v>
      </c>
      <c r="GU41" s="15" t="n">
        <f aca="false">Inputs!$B$20*GT41</f>
        <v>0.0075922454627679</v>
      </c>
      <c r="GV41" s="15" t="n">
        <f aca="false">0.8*(1-Inputs!$B$50)*(GS41-GU41)</f>
        <v>0.00178076315152087</v>
      </c>
      <c r="GW41" s="15" t="n">
        <f aca="false">GS41-GU41-GV41</f>
        <v>0.737552142626781</v>
      </c>
      <c r="GX41" s="15" t="n">
        <f aca="false">GW41*(1-Inputs!$B$18*EXP(-Inputs!$B$21*Inputs!$B$14*Inputs!$B$17/(Inputs!$B$22*Inputs!$B$23*Inputs!$B$24*GQ41*Inputs!$B$16))*Inputs!$B$19)</f>
        <v>0.0260778613176717</v>
      </c>
      <c r="GY41" s="15" t="n">
        <f aca="false">(GW41-GX41)*(1-EXP(-Inputs!$B$25*Inputs!$B$14*Inputs!$B$17*Inputs!$B$26/(GQ41*Inputs!$B$16/0.866)))</f>
        <v>0.00726142262906214</v>
      </c>
      <c r="GZ41" s="15" t="n">
        <f aca="false">(GW41-GX41-GY41)*(1-Inputs!$B$19)</f>
        <v>0.00352106429340024</v>
      </c>
      <c r="HA41" s="15" t="n">
        <f aca="false">(GT41+GU41+GV41+GX41+GY41+GZ41)*(1+Inputs!$B$27)</f>
        <v>0.300206130230193</v>
      </c>
      <c r="HB41" s="15" t="n">
        <f aca="false">Inputs!$B$52/(1-HA41-G41)</f>
        <v>198539.334982396</v>
      </c>
      <c r="HC41" s="15" t="n">
        <f aca="false">HB41/Inputs!$B$34</f>
        <v>330.898891637326</v>
      </c>
      <c r="HD41" s="15" t="n">
        <f aca="false">B41^2/HC41</f>
        <v>12.768250685562</v>
      </c>
      <c r="HE41" s="15" t="n">
        <f aca="false">Inputs!$B$54*H41/(Inputs!$B$35*F41+E41*H41^2/(PI()*HD41*Inputs!$B$36))</f>
        <v>20.3551979911325</v>
      </c>
      <c r="HF41" s="15" t="n">
        <f aca="false">EXP(-Inputs!$B$11*Inputs!$B$14*Inputs!$B$17/(Inputs!$B$51*HE41*Inputs!$B$16))</f>
        <v>0.764411657677773</v>
      </c>
      <c r="HG41" s="15" t="n">
        <f aca="false">Inputs!$B$50*Inputs!$B$18*HF41*Inputs!$B$19</f>
        <v>0.746925151947419</v>
      </c>
      <c r="HH41" s="15" t="n">
        <f aca="false">1-HG41</f>
        <v>0.253074848052581</v>
      </c>
      <c r="HI41" s="15" t="n">
        <f aca="false">Inputs!$B$20*HH41</f>
        <v>0.00759224544157742</v>
      </c>
      <c r="HJ41" s="15" t="n">
        <f aca="false">0.8*(1-Inputs!$B$50)*(HG41-HI41)</f>
        <v>0.00178076315327322</v>
      </c>
      <c r="HK41" s="15" t="n">
        <f aca="false">HG41-HI41-HJ41</f>
        <v>0.737552143352569</v>
      </c>
      <c r="HL41" s="15" t="n">
        <f aca="false">HK41*(1-Inputs!$B$18*EXP(-Inputs!$B$21*Inputs!$B$14*Inputs!$B$17/(Inputs!$B$22*Inputs!$B$23*Inputs!$B$24*HE41*Inputs!$B$16))*Inputs!$B$19)</f>
        <v>0.0260778613035843</v>
      </c>
      <c r="HM41" s="15" t="n">
        <f aca="false">(HK41-HL41)*(1-EXP(-Inputs!$B$25*Inputs!$B$14*Inputs!$B$17*Inputs!$B$26/(HE41*Inputs!$B$16/0.866)))</f>
        <v>0.00726142261118322</v>
      </c>
      <c r="HN41" s="15" t="n">
        <f aca="false">(HK41-HL41-HM41)*(1-Inputs!$B$19)</f>
        <v>0.00352106429718901</v>
      </c>
      <c r="HO41" s="15" t="n">
        <f aca="false">(HH41+HI41+HJ41+HL41+HM41+HN41)*(1+Inputs!$B$27)</f>
        <v>0.300206129473966</v>
      </c>
      <c r="HP41" s="15" t="n">
        <f aca="false">Inputs!$B$52/(1-HO41-G41)</f>
        <v>198539.334068714</v>
      </c>
      <c r="HQ41" s="15" t="n">
        <f aca="false">HP41/Inputs!$B$34</f>
        <v>330.898890114524</v>
      </c>
      <c r="HR41" s="15" t="n">
        <f aca="false">B41^2/HQ41</f>
        <v>12.7682507443217</v>
      </c>
      <c r="HS41" s="15" t="n">
        <f aca="false">Inputs!$B$54*H41/(Inputs!$B$35*F41+E41*H41^2/(PI()*HR41*Inputs!$B$36))</f>
        <v>20.3551980110823</v>
      </c>
      <c r="HT41" s="15" t="n">
        <f aca="false">EXP(-Inputs!$B$11*Inputs!$B$14*Inputs!$B$17/(Inputs!$B$51*HS41*Inputs!$B$16))</f>
        <v>0.76441165787904</v>
      </c>
      <c r="HU41" s="15" t="n">
        <f aca="false">Inputs!$B$50*Inputs!$B$18*HT41*Inputs!$B$19</f>
        <v>0.746925152144083</v>
      </c>
      <c r="HV41" s="15" t="n">
        <f aca="false">1-HU41</f>
        <v>0.253074847855917</v>
      </c>
      <c r="HW41" s="15" t="n">
        <f aca="false">Inputs!$B$20*HV41</f>
        <v>0.00759224543567752</v>
      </c>
      <c r="HX41" s="15" t="n">
        <f aca="false">0.8*(1-Inputs!$B$50)*(HU41-HW41)</f>
        <v>0.00178076315376112</v>
      </c>
      <c r="HY41" s="15" t="n">
        <f aca="false">HU41-HW41-HX41</f>
        <v>0.737552143554644</v>
      </c>
      <c r="HZ41" s="15" t="n">
        <f aca="false">HY41*(1-Inputs!$B$18*EXP(-Inputs!$B$21*Inputs!$B$14*Inputs!$B$17/(Inputs!$B$22*Inputs!$B$23*Inputs!$B$24*HS41*Inputs!$B$16))*Inputs!$B$19)</f>
        <v>0.026077861299662</v>
      </c>
      <c r="IA41" s="15" t="n">
        <f aca="false">(HY41-HZ41)*(1-EXP(-Inputs!$B$25*Inputs!$B$14*Inputs!$B$17*Inputs!$B$26/(HS41*Inputs!$B$16/0.866)))</f>
        <v>0.00726142260620529</v>
      </c>
      <c r="IB41" s="15" t="n">
        <f aca="false">(HY41-HZ41-IA41)*(1-Inputs!$B$19)</f>
        <v>0.00352106429824389</v>
      </c>
      <c r="IC41" s="15" t="n">
        <f aca="false">(HV41+HW41+HX41+HZ41+IA41+IB41)*(1+Inputs!$B$27)</f>
        <v>0.300206129263415</v>
      </c>
      <c r="ID41" s="15" t="n">
        <f aca="false">Inputs!$B$52/(1-IC41-G41)</f>
        <v>198539.333814325</v>
      </c>
      <c r="IE41" s="15" t="n">
        <f aca="false">ID41/Inputs!$B$34</f>
        <v>330.898889690542</v>
      </c>
      <c r="IF41" s="15" t="n">
        <f aca="false">B41^2/IE41</f>
        <v>12.7682507606817</v>
      </c>
      <c r="IG41" s="15" t="n">
        <f aca="false">Inputs!$B$54*H41/(Inputs!$B$35*F41+E41*H41^2/(PI()*IF41*Inputs!$B$36))</f>
        <v>20.3551980166367</v>
      </c>
      <c r="IH41" s="15" t="n">
        <f aca="false">EXP(-Inputs!$B$11*Inputs!$B$14*Inputs!$B$17/(Inputs!$B$51*IG41*Inputs!$B$16))</f>
        <v>0.764411657935078</v>
      </c>
      <c r="II41" s="15" t="n">
        <f aca="false">Inputs!$B$50*Inputs!$B$18*IH41*Inputs!$B$19</f>
        <v>0.746925152198838</v>
      </c>
      <c r="IJ41" s="15" t="n">
        <f aca="false">1-II41</f>
        <v>0.253074847801162</v>
      </c>
      <c r="IK41" s="15" t="n">
        <f aca="false">Inputs!$B$20*IJ41</f>
        <v>0.00759224543403485</v>
      </c>
      <c r="IL41" s="15" t="n">
        <f aca="false">0.8*(1-Inputs!$B$50)*(II41-IK41)</f>
        <v>0.00178076315389696</v>
      </c>
      <c r="IM41" s="15" t="n">
        <f aca="false">II41-IK41-IL41</f>
        <v>0.737552143610907</v>
      </c>
      <c r="IN41" s="15" t="n">
        <f aca="false">IM41*(1-Inputs!$B$18*EXP(-Inputs!$B$21*Inputs!$B$14*Inputs!$B$17/(Inputs!$B$22*Inputs!$B$23*Inputs!$B$24*IG41*Inputs!$B$16))*Inputs!$B$19)</f>
        <v>0.0260778612985699</v>
      </c>
      <c r="IO41" s="15" t="n">
        <f aca="false">(IM41-IN41)*(1-EXP(-Inputs!$B$25*Inputs!$B$14*Inputs!$B$17*Inputs!$B$26/(IG41*Inputs!$B$16/0.866)))</f>
        <v>0.00726142260481931</v>
      </c>
      <c r="IP41" s="15" t="n">
        <f aca="false">(IM41-IN41-IO41)*(1-Inputs!$B$19)</f>
        <v>0.00352106429853759</v>
      </c>
      <c r="IQ41" s="15" t="n">
        <f aca="false">(IJ41+IK41+IL41+IN41+IO41+IP41)*(1+Inputs!$B$27)</f>
        <v>0.300206129204793</v>
      </c>
      <c r="IR41" s="15" t="n">
        <f aca="false">Inputs!$B$52/(1-IQ41-G41)</f>
        <v>198539.333743497</v>
      </c>
      <c r="IS41" s="15" t="n">
        <f aca="false">IR41/Inputs!$B$34</f>
        <v>330.898889572495</v>
      </c>
      <c r="IT41" s="15" t="n">
        <f aca="false">B41^2/IS41</f>
        <v>12.7682507652367</v>
      </c>
      <c r="IU41" s="15" t="n">
        <f aca="false">Inputs!$B$54*H41/(Inputs!$B$35*F41+E41*H41^2/(PI()*IT41*Inputs!$B$36))</f>
        <v>20.3551980181832</v>
      </c>
      <c r="IV41" s="15" t="n">
        <f aca="false">EXP(-Inputs!$B$11*Inputs!$B$14*Inputs!$B$17/(Inputs!$B$51*IU41*Inputs!$B$16))</f>
        <v>0.76441165795068</v>
      </c>
      <c r="IW41" s="15" t="n">
        <f aca="false">Inputs!$B$50*Inputs!$B$18*IV41*Inputs!$B$19</f>
        <v>0.746925152214084</v>
      </c>
      <c r="IX41" s="15" t="n">
        <f aca="false">1-IW41</f>
        <v>0.253074847785917</v>
      </c>
      <c r="IY41" s="15" t="n">
        <f aca="false">Inputs!$B$20*IX41</f>
        <v>0.00759224543357749</v>
      </c>
      <c r="IZ41" s="15" t="n">
        <f aca="false">0.8*(1-Inputs!$B$50)*(IW41-IY41)</f>
        <v>0.00178076315393478</v>
      </c>
      <c r="JA41" s="15" t="n">
        <f aca="false">IW41-IY41-IZ41</f>
        <v>0.737552143626571</v>
      </c>
      <c r="JB41" s="15" t="n">
        <f aca="false">JA41*(1-Inputs!$B$18*EXP(-Inputs!$B$21*Inputs!$B$14*Inputs!$B$17/(Inputs!$B$22*Inputs!$B$23*Inputs!$B$24*IU41*Inputs!$B$16))*Inputs!$B$19)</f>
        <v>0.0260778612982658</v>
      </c>
      <c r="JC41" s="15" t="n">
        <f aca="false">(JA41-JB41)*(1-EXP(-Inputs!$B$25*Inputs!$B$14*Inputs!$B$17*Inputs!$B$26/(IU41*Inputs!$B$16/0.866)))</f>
        <v>0.00726142260443347</v>
      </c>
      <c r="JD41" s="15" t="n">
        <f aca="false">(JA41-JB41-JC41)*(1-Inputs!$B$19)</f>
        <v>0.00352106429861936</v>
      </c>
      <c r="JE41" s="15" t="n">
        <f aca="false">(IX41+IY41+IZ41+JB41+JC41+JD41)*(1+Inputs!$B$27)</f>
        <v>0.300206129188472</v>
      </c>
      <c r="JF41" s="15" t="n">
        <f aca="false">Inputs!$B$52/(1-JE41-G41)</f>
        <v>198539.333723777</v>
      </c>
      <c r="JG41" s="15" t="n">
        <f aca="false">JF41/Inputs!$B$34</f>
        <v>330.898889539629</v>
      </c>
      <c r="JH41" s="15" t="n">
        <f aca="false">B41^2/JG41</f>
        <v>12.768250766505</v>
      </c>
      <c r="JI41" s="15" t="n">
        <f aca="false">Inputs!$B$54*H41/(Inputs!$B$35*F41+E41*H41^2/(PI()*JH41*Inputs!$B$36))</f>
        <v>20.3551980186138</v>
      </c>
      <c r="JJ41" s="15" t="n">
        <f aca="false">EXP(-Inputs!$B$11*Inputs!$B$14*Inputs!$B$17/(Inputs!$B$51*JI41*Inputs!$B$16))</f>
        <v>0.764411657955024</v>
      </c>
      <c r="JK41" s="15" t="n">
        <f aca="false">Inputs!$B$50*Inputs!$B$18*JJ41*Inputs!$B$19</f>
        <v>0.746925152218328</v>
      </c>
      <c r="JL41" s="15" t="n">
        <f aca="false">1-JK41</f>
        <v>0.253074847781672</v>
      </c>
      <c r="JM41" s="15" t="n">
        <f aca="false">Inputs!$B$20*JL41</f>
        <v>0.00759224543345016</v>
      </c>
      <c r="JN41" s="15" t="n">
        <f aca="false">0.8*(1-Inputs!$B$50)*(JK41-JM41)</f>
        <v>0.00178076315394531</v>
      </c>
      <c r="JO41" s="15" t="n">
        <f aca="false">JK41-JM41-JN41</f>
        <v>0.737552143630933</v>
      </c>
      <c r="JP41" s="15" t="n">
        <f aca="false">JO41*(1-Inputs!$B$18*EXP(-Inputs!$B$21*Inputs!$B$14*Inputs!$B$17/(Inputs!$B$22*Inputs!$B$23*Inputs!$B$24*JI41*Inputs!$B$16))*Inputs!$B$19)</f>
        <v>0.0260778612981812</v>
      </c>
      <c r="JQ41" s="15" t="n">
        <f aca="false">(JO41-JP41)*(1-EXP(-Inputs!$B$25*Inputs!$B$14*Inputs!$B$17*Inputs!$B$26/(JI41*Inputs!$B$16/0.866)))</f>
        <v>0.00726142260432601</v>
      </c>
      <c r="JR41" s="15" t="n">
        <f aca="false">(JO41-JP41-JQ41)*(1-Inputs!$B$19)</f>
        <v>0.00352106429864213</v>
      </c>
      <c r="JS41" s="15" t="n">
        <f aca="false">(JL41+JM41+JN41+JP41+JQ41+JR41)*(1+Inputs!$B$27)</f>
        <v>0.300206129183927</v>
      </c>
      <c r="JT41" s="15" t="n">
        <f aca="false">Inputs!$B$52/(1-JS41-G41)</f>
        <v>198539.333718287</v>
      </c>
      <c r="JU41" s="15" t="n">
        <f aca="false">JT41/Inputs!$B$34</f>
        <v>330.898889530478</v>
      </c>
      <c r="JV41" s="15" t="n">
        <f aca="false">B41^2/JU41</f>
        <v>12.7682507668581</v>
      </c>
      <c r="JW41" s="15" t="n">
        <f aca="false">Inputs!$B$54*H41/(Inputs!$B$35*F41+E41*H41^2/(PI()*JV41*Inputs!$B$36))</f>
        <v>20.3551980187337</v>
      </c>
      <c r="JX41" s="15" t="n">
        <f aca="false">EXP(-Inputs!$B$11*Inputs!$B$14*Inputs!$B$17/(Inputs!$B$51*JW41*Inputs!$B$16))</f>
        <v>0.764411657956233</v>
      </c>
      <c r="JY41" s="15" t="n">
        <f aca="false">Inputs!$B$50*Inputs!$B$18*JX41*Inputs!$B$19</f>
        <v>0.74692515221951</v>
      </c>
      <c r="JZ41" s="15" t="n">
        <f aca="false">1-JY41</f>
        <v>0.25307484778049</v>
      </c>
      <c r="KA41" s="15" t="n">
        <f aca="false">Inputs!$B$20*JZ41</f>
        <v>0.0075922454334147</v>
      </c>
      <c r="KB41" s="15" t="n">
        <f aca="false">0.8*(1-Inputs!$B$50)*(JY41-KA41)</f>
        <v>0.00178076315394824</v>
      </c>
      <c r="KC41" s="15" t="n">
        <f aca="false">JY41-KA41-KB41</f>
        <v>0.737552143632147</v>
      </c>
      <c r="KD41" s="15" t="n">
        <f aca="false">KC41*(1-Inputs!$B$18*EXP(-Inputs!$B$21*Inputs!$B$14*Inputs!$B$17/(Inputs!$B$22*Inputs!$B$23*Inputs!$B$24*JW41*Inputs!$B$16))*Inputs!$B$19)</f>
        <v>0.0260778612981576</v>
      </c>
      <c r="KE41" s="15" t="n">
        <f aca="false">(KC41-KD41)*(1-EXP(-Inputs!$B$25*Inputs!$B$14*Inputs!$B$17*Inputs!$B$26/(JW41*Inputs!$B$16/0.866)))</f>
        <v>0.00726142260429614</v>
      </c>
      <c r="KF41" s="15" t="n">
        <f aca="false">(KC41-KD41-KE41)*(1-Inputs!$B$19)</f>
        <v>0.00352106429864847</v>
      </c>
      <c r="KG41" s="15" t="n">
        <f aca="false">(JZ41+KA41+KB41+KD41+KE41+KF41)*(1+Inputs!$B$27)</f>
        <v>0.300206129182662</v>
      </c>
      <c r="KH41" s="15" t="n">
        <f aca="false">Inputs!$B$52/(1-KG41-G41)</f>
        <v>198539.333716758</v>
      </c>
      <c r="KI41" s="15" t="n">
        <f aca="false">KH41/Inputs!$B$34</f>
        <v>330.89888952793</v>
      </c>
      <c r="KJ41" s="15" t="n">
        <f aca="false">B41^2/KI41</f>
        <v>12.7682507669564</v>
      </c>
      <c r="KK41" s="15" t="n">
        <f aca="false">Inputs!$B$54*H41/(Inputs!$B$35*F41+E41*H41^2/(PI()*KJ41*Inputs!$B$36))</f>
        <v>20.355198018767</v>
      </c>
      <c r="KL41" s="15" t="n">
        <f aca="false">EXP(-Inputs!$B$11*Inputs!$B$14*Inputs!$B$17/(Inputs!$B$51*KK41*Inputs!$B$16))</f>
        <v>0.76441165795657</v>
      </c>
      <c r="KM41" s="15" t="n">
        <f aca="false">Inputs!$B$50*Inputs!$B$18*KL41*Inputs!$B$19</f>
        <v>0.746925152219839</v>
      </c>
      <c r="KN41" s="15" t="n">
        <f aca="false">1-KM41</f>
        <v>0.253074847780161</v>
      </c>
      <c r="KO41" s="15" t="n">
        <f aca="false">Inputs!$B$20*KN41</f>
        <v>0.00759224543340484</v>
      </c>
      <c r="KP41" s="15" t="n">
        <f aca="false">0.8*(1-Inputs!$B$50)*(KM41-KO41)</f>
        <v>0.00178076315394906</v>
      </c>
      <c r="KQ41" s="15" t="n">
        <f aca="false">KM41-KO41-KP41</f>
        <v>0.737552143632485</v>
      </c>
      <c r="KR41" s="15" t="n">
        <f aca="false">KQ41*(1-Inputs!$B$18*EXP(-Inputs!$B$21*Inputs!$B$14*Inputs!$B$17/(Inputs!$B$22*Inputs!$B$23*Inputs!$B$24*KK41*Inputs!$B$16))*Inputs!$B$19)</f>
        <v>0.0260778612981511</v>
      </c>
      <c r="KS41" s="15" t="n">
        <f aca="false">(KQ41-KR41)*(1-EXP(-Inputs!$B$25*Inputs!$B$14*Inputs!$B$17*Inputs!$B$26/(KK41*Inputs!$B$16/0.866)))</f>
        <v>0.00726142260428781</v>
      </c>
      <c r="KT41" s="15" t="n">
        <f aca="false">(KQ41-KR41-KS41)*(1-Inputs!$B$19)</f>
        <v>0.00352106429865023</v>
      </c>
      <c r="KU41" s="15" t="n">
        <f aca="false">(KN41+KO41+KP41+KR41+KS41+KT41)*(1+Inputs!$B$27)</f>
        <v>0.30020612918231</v>
      </c>
      <c r="KV41" s="15" t="n">
        <f aca="false">Inputs!$B$52/(1-KU41-G41)</f>
        <v>198539.333716333</v>
      </c>
      <c r="KW41" s="15" t="n">
        <f aca="false">KV41/Inputs!$B$34</f>
        <v>330.898889527221</v>
      </c>
      <c r="KX41" s="15" t="n">
        <f aca="false">B41^2/KW41</f>
        <v>12.7682507669837</v>
      </c>
      <c r="KY41" s="15" t="n">
        <f aca="false">Inputs!$B$54*H41/(Inputs!$B$35*F41+E41*H41^2/(PI()*KX41*Inputs!$B$36))</f>
        <v>20.3551980187763</v>
      </c>
      <c r="KZ41" s="15" t="n">
        <f aca="false">EXP(-Inputs!$B$11*Inputs!$B$14*Inputs!$B$17/(Inputs!$B$51*KY41*Inputs!$B$16))</f>
        <v>0.764411657956664</v>
      </c>
      <c r="LA41" s="15" t="n">
        <f aca="false">Inputs!$B$50*Inputs!$B$18*KZ41*Inputs!$B$19</f>
        <v>0.74692515221993</v>
      </c>
      <c r="LB41" s="15" t="n">
        <f aca="false">1-LA41</f>
        <v>0.25307484778007</v>
      </c>
      <c r="LC41" s="15" t="n">
        <f aca="false">Inputs!$B$20*LB41</f>
        <v>0.00759224543340209</v>
      </c>
      <c r="LD41" s="15" t="n">
        <f aca="false">0.8*(1-Inputs!$B$50)*(LA41-LC41)</f>
        <v>0.00178076315394929</v>
      </c>
      <c r="LE41" s="15" t="n">
        <f aca="false">LA41-LC41-LD41</f>
        <v>0.737552143632579</v>
      </c>
      <c r="LF41" s="15" t="n">
        <f aca="false">LE41*(1-Inputs!$B$18*EXP(-Inputs!$B$21*Inputs!$B$14*Inputs!$B$17/(Inputs!$B$22*Inputs!$B$23*Inputs!$B$24*KY41*Inputs!$B$16))*Inputs!$B$19)</f>
        <v>0.0260778612981492</v>
      </c>
      <c r="LG41" s="15" t="n">
        <f aca="false">(LE41-LF41)*(1-EXP(-Inputs!$B$25*Inputs!$B$14*Inputs!$B$17*Inputs!$B$26/(KY41*Inputs!$B$16/0.866)))</f>
        <v>0.00726142260428547</v>
      </c>
      <c r="LH41" s="15" t="n">
        <f aca="false">(LE41-LF41-LG41)*(1-Inputs!$B$19)</f>
        <v>0.00352106429865072</v>
      </c>
      <c r="LI41" s="15" t="n">
        <f aca="false">(LB41+LC41+LD41+LF41+LG41+LH41)*(1+Inputs!$B$27)</f>
        <v>0.300206129182212</v>
      </c>
      <c r="LJ41" s="15" t="n">
        <f aca="false">Inputs!$B$52/(1-LI41-G41)</f>
        <v>198539.333716214</v>
      </c>
      <c r="LK41" s="15" t="n">
        <f aca="false">LJ41/Inputs!$B$34</f>
        <v>330.898889527023</v>
      </c>
      <c r="LL41" s="15" t="n">
        <f aca="false">B41^2/LK41</f>
        <v>12.7682507669914</v>
      </c>
      <c r="LM41" s="15" t="n">
        <f aca="false">Inputs!$B$54*H41/(Inputs!$B$35*F41+E41*H41^2/(PI()*LL41*Inputs!$B$36))</f>
        <v>20.3551980187789</v>
      </c>
      <c r="LN41" s="15" t="n">
        <f aca="false">EXP(-Inputs!$B$11*Inputs!$B$14*Inputs!$B$17/(Inputs!$B$51*LM41*Inputs!$B$16))</f>
        <v>0.76441165795669</v>
      </c>
      <c r="LO41" s="15" t="n">
        <f aca="false">Inputs!$B$50*Inputs!$B$18*LN41*Inputs!$B$19</f>
        <v>0.746925152219956</v>
      </c>
      <c r="LP41" s="15" t="n">
        <f aca="false">1-LO41</f>
        <v>0.253074847780044</v>
      </c>
      <c r="LQ41" s="15" t="n">
        <f aca="false">Inputs!$B$20*LP41</f>
        <v>0.00759224543340132</v>
      </c>
      <c r="LR41" s="15" t="n">
        <f aca="false">0.8*(1-Inputs!$B$50)*(LO41-LQ41)</f>
        <v>0.00178076315394935</v>
      </c>
      <c r="LS41" s="15" t="n">
        <f aca="false">LO41-LQ41-LR41</f>
        <v>0.737552143632605</v>
      </c>
      <c r="LT41" s="15" t="n">
        <f aca="false">LS41*(1-Inputs!$B$18*EXP(-Inputs!$B$21*Inputs!$B$14*Inputs!$B$17/(Inputs!$B$22*Inputs!$B$23*Inputs!$B$24*LM41*Inputs!$B$16))*Inputs!$B$19)</f>
        <v>0.0260778612981487</v>
      </c>
      <c r="LU41" s="15" t="n">
        <f aca="false">(LS41-LT41)*(1-EXP(-Inputs!$B$25*Inputs!$B$14*Inputs!$B$17*Inputs!$B$26/(LM41*Inputs!$B$16/0.866)))</f>
        <v>0.0072614226042848</v>
      </c>
      <c r="LV41" s="15" t="n">
        <f aca="false">(LS41-LT41-LU41)*(1-Inputs!$B$19)</f>
        <v>0.00352106429865086</v>
      </c>
      <c r="LW41" s="15" t="n">
        <f aca="false">(LP41+LQ41+LR41+LT41+LU41+LV41)*(1+Inputs!$B$27)</f>
        <v>0.300206129182184</v>
      </c>
      <c r="LX41" s="15" t="n">
        <f aca="false">Inputs!$B$52/(1-LW41-G41)</f>
        <v>198539.333716181</v>
      </c>
      <c r="LY41" s="15" t="n">
        <f aca="false">LX41/Inputs!$B$34</f>
        <v>330.898889526968</v>
      </c>
      <c r="LZ41" s="15" t="n">
        <f aca="false">B41^2/LY41</f>
        <v>12.7682507669935</v>
      </c>
      <c r="MA41" s="15" t="n">
        <f aca="false">Inputs!$B$54*H41/(Inputs!$B$35*F41+E41*H41^2/(PI()*LZ41*Inputs!$B$36))</f>
        <v>20.3551980187797</v>
      </c>
      <c r="MB41" s="15" t="n">
        <f aca="false">EXP(-Inputs!$B$11*Inputs!$B$14*Inputs!$B$17/(Inputs!$B$51*MA41*Inputs!$B$16))</f>
        <v>0.764411657956697</v>
      </c>
      <c r="MC41" s="15" t="n">
        <f aca="false">Inputs!$B$50*Inputs!$B$18*MB41*Inputs!$B$19</f>
        <v>0.746925152219963</v>
      </c>
      <c r="MD41" s="15" t="n">
        <f aca="false">1-MC41</f>
        <v>0.253074847780037</v>
      </c>
      <c r="ME41" s="15" t="n">
        <f aca="false">Inputs!$B$20*MD41</f>
        <v>0.00759224543340111</v>
      </c>
      <c r="MF41" s="15" t="n">
        <f aca="false">0.8*(1-Inputs!$B$50)*(MC41-ME41)</f>
        <v>0.00178076315394937</v>
      </c>
      <c r="MG41" s="15" t="n">
        <f aca="false">MC41-ME41-MF41</f>
        <v>0.737552143632613</v>
      </c>
      <c r="MH41" s="15" t="n">
        <f aca="false">MG41*(1-Inputs!$B$18*EXP(-Inputs!$B$21*Inputs!$B$14*Inputs!$B$17/(Inputs!$B$22*Inputs!$B$23*Inputs!$B$24*MA41*Inputs!$B$16))*Inputs!$B$19)</f>
        <v>0.0260778612981485</v>
      </c>
      <c r="MI41" s="15" t="n">
        <f aca="false">(MG41-MH41)*(1-EXP(-Inputs!$B$25*Inputs!$B$14*Inputs!$B$17*Inputs!$B$26/(MA41*Inputs!$B$16/0.866)))</f>
        <v>0.00726142260428464</v>
      </c>
      <c r="MJ41" s="15" t="n">
        <f aca="false">(MG41-MH41-MI41)*(1-Inputs!$B$19)</f>
        <v>0.0035210642986509</v>
      </c>
      <c r="MK41" s="15" t="n">
        <f aca="false">(MD41+ME41+MF41+MH41+MI41+MJ41)*(1+Inputs!$B$27)</f>
        <v>0.300206129182177</v>
      </c>
      <c r="ML41" s="15" t="n">
        <f aca="false">Inputs!$B$52/(1-MK41-G41)</f>
        <v>198539.333716171</v>
      </c>
      <c r="MM41" s="15" t="n">
        <f aca="false">ML41/Inputs!$B$34</f>
        <v>330.898889526952</v>
      </c>
      <c r="MN41" s="15" t="n">
        <f aca="false">B41^2/MM41</f>
        <v>12.7682507669941</v>
      </c>
      <c r="MO41" s="15" t="n">
        <f aca="false">Inputs!$B$54*H41/(Inputs!$B$35*F41+E41*H41^2/(PI()*MN41*Inputs!$B$36))</f>
        <v>20.3551980187799</v>
      </c>
      <c r="MP41" s="15" t="n">
        <f aca="false">EXP(-Inputs!$B$11*Inputs!$B$14*Inputs!$B$17/(Inputs!$B$51*MO41*Inputs!$B$16))</f>
        <v>0.764411657956699</v>
      </c>
      <c r="MQ41" s="15" t="n">
        <f aca="false">Inputs!$B$50*Inputs!$B$18*MP41*Inputs!$B$19</f>
        <v>0.746925152219965</v>
      </c>
      <c r="MR41" s="15" t="n">
        <f aca="false">1-MQ41</f>
        <v>0.253074847780035</v>
      </c>
      <c r="MS41" s="15" t="n">
        <f aca="false">Inputs!$B$20*MR41</f>
        <v>0.00759224543340104</v>
      </c>
      <c r="MT41" s="15" t="n">
        <f aca="false">0.8*(1-Inputs!$B$50)*(MQ41-MS41)</f>
        <v>0.00178076315394937</v>
      </c>
      <c r="MU41" s="15" t="n">
        <f aca="false">MQ41-MS41-MT41</f>
        <v>0.737552143632615</v>
      </c>
      <c r="MV41" s="15" t="n">
        <f aca="false">MU41*(1-Inputs!$B$18*EXP(-Inputs!$B$21*Inputs!$B$14*Inputs!$B$17/(Inputs!$B$22*Inputs!$B$23*Inputs!$B$24*MO41*Inputs!$B$16))*Inputs!$B$19)</f>
        <v>0.0260778612981485</v>
      </c>
      <c r="MW41" s="15" t="n">
        <f aca="false">(MU41-MV41)*(1-EXP(-Inputs!$B$25*Inputs!$B$14*Inputs!$B$17*Inputs!$B$26/(MO41*Inputs!$B$16/0.866)))</f>
        <v>0.00726142260428458</v>
      </c>
      <c r="MX41" s="15" t="n">
        <f aca="false">(MU41-MV41-MW41)*(1-Inputs!$B$19)</f>
        <v>0.00352106429865091</v>
      </c>
      <c r="MY41" s="15" t="n">
        <f aca="false">(MR41+MS41+MT41+MV41+MW41+MX41)*(1+Inputs!$B$27)</f>
        <v>0.300206129182175</v>
      </c>
      <c r="MZ41" s="15" t="n">
        <f aca="false">Inputs!$B$52/(1-MY41-G41)</f>
        <v>198539.333716169</v>
      </c>
      <c r="NA41" s="15" t="n">
        <f aca="false">MZ41/Inputs!$B$34</f>
        <v>330.898889526948</v>
      </c>
      <c r="NB41" s="15" t="n">
        <f aca="false">B41^2/NA41</f>
        <v>12.7682507669943</v>
      </c>
      <c r="NC41" s="15" t="n">
        <f aca="false">Inputs!$B$54*H41/(Inputs!$B$35*F41+E41*H41^2/(PI()*NB41*Inputs!$B$36))</f>
        <v>20.3551980187799</v>
      </c>
      <c r="ND41" s="15" t="n">
        <f aca="false">EXP(-Inputs!$B$11*Inputs!$B$14*Inputs!$B$17/(Inputs!$B$51*NC41*Inputs!$B$16))</f>
        <v>0.7644116579567</v>
      </c>
      <c r="NE41" s="15" t="n">
        <f aca="false">Inputs!$B$50*Inputs!$B$18*ND41*Inputs!$B$19</f>
        <v>0.746925152219966</v>
      </c>
      <c r="NF41" s="15" t="n">
        <f aca="false">1-NE41</f>
        <v>0.253074847780034</v>
      </c>
      <c r="NG41" s="15" t="n">
        <f aca="false">Inputs!$B$20*NF41</f>
        <v>0.00759224543340103</v>
      </c>
      <c r="NH41" s="15" t="n">
        <f aca="false">0.8*(1-Inputs!$B$50)*(NE41-NG41)</f>
        <v>0.00178076315394938</v>
      </c>
      <c r="NI41" s="15" t="n">
        <f aca="false">NE41-NG41-NH41</f>
        <v>0.737552143632615</v>
      </c>
      <c r="NJ41" s="15" t="n">
        <f aca="false">NI41*(1-Inputs!$B$18*EXP(-Inputs!$B$21*Inputs!$B$14*Inputs!$B$17/(Inputs!$B$22*Inputs!$B$23*Inputs!$B$24*NC41*Inputs!$B$16))*Inputs!$B$19)</f>
        <v>0.0260778612981485</v>
      </c>
      <c r="NK41" s="15" t="n">
        <f aca="false">(NI41-NJ41)*(1-EXP(-Inputs!$B$25*Inputs!$B$14*Inputs!$B$17*Inputs!$B$26/(NC41*Inputs!$B$16/0.866)))</f>
        <v>0.00726142260428459</v>
      </c>
      <c r="NL41" s="15" t="n">
        <f aca="false">(NI41-NJ41-NK41)*(1-Inputs!$B$19)</f>
        <v>0.00352106429865091</v>
      </c>
      <c r="NM41" s="15" t="n">
        <f aca="false">(NF41+NG41+NH41+NJ41+NK41+NL41)*(1+Inputs!$B$27)</f>
        <v>0.300206129182174</v>
      </c>
      <c r="NN41" s="15" t="n">
        <f aca="false">Inputs!$B$52/(1-NM41-G41)</f>
        <v>198539.333716168</v>
      </c>
    </row>
    <row r="43" customFormat="false" ht="15" hidden="false" customHeight="false" outlineLevel="0" collapsed="false">
      <c r="A43" s="31" t="s">
        <v>502</v>
      </c>
    </row>
    <row r="44" customFormat="false" ht="15" hidden="false" customHeight="false" outlineLevel="0" collapsed="false">
      <c r="A44" s="11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7" min="3" style="0" width="13"/>
  </cols>
  <sheetData>
    <row r="1" customFormat="false" ht="16.15" hidden="false" customHeight="false" outlineLevel="0" collapsed="false">
      <c r="A1" s="4" t="s">
        <v>504</v>
      </c>
    </row>
    <row r="2" customFormat="false" ht="15" hidden="false" customHeight="false" outlineLevel="0" collapsed="false">
      <c r="A2" s="0" t="s">
        <v>505</v>
      </c>
    </row>
    <row r="4" customFormat="false" ht="15" hidden="false" customHeight="false" outlineLevel="0" collapsed="false">
      <c r="A4" s="32" t="s">
        <v>506</v>
      </c>
    </row>
    <row r="5" customFormat="false" ht="15" hidden="false" customHeight="false" outlineLevel="0" collapsed="false">
      <c r="A5" s="5" t="s">
        <v>507</v>
      </c>
      <c r="B5" s="5" t="s">
        <v>500</v>
      </c>
      <c r="C5" s="5" t="s">
        <v>508</v>
      </c>
      <c r="D5" s="5" t="s">
        <v>509</v>
      </c>
      <c r="E5" s="5" t="s">
        <v>510</v>
      </c>
      <c r="F5" s="5" t="s">
        <v>511</v>
      </c>
      <c r="G5" s="5" t="s">
        <v>512</v>
      </c>
    </row>
    <row r="6" customFormat="false" ht="15" hidden="false" customHeight="false" outlineLevel="0" collapsed="false">
      <c r="A6" s="33" t="n">
        <v>56</v>
      </c>
      <c r="B6" s="17" t="n">
        <f aca="false">SUMIFS(Sweep!$T$5:$T$41,Sweep!$A$5:$A$41,"Conventional",Sweep!$B$5:$B$41,$A6)</f>
        <v>0.284492350730216</v>
      </c>
      <c r="C6" s="17" t="n">
        <f aca="false">SUMIFS(Sweep!$T$5:$T$41,Sweep!$A$5:$A$41,"Box wing",Sweep!$B$5:$B$41,$A6,Sweep!$C$5:$C$41,0.05)</f>
        <v>0.0948832973231679</v>
      </c>
      <c r="D6" s="17" t="n">
        <f aca="false">SUMIFS(Sweep!$T$5:$T$41,Sweep!$A$5:$A$41,"Box wing",Sweep!$B$5:$B$41,$A6,Sweep!$C$5:$C$41,0.1)</f>
        <v>0.024814769861798</v>
      </c>
      <c r="E6" s="17" t="n">
        <f aca="false">SUMIFS(Sweep!$T$5:$T$41,Sweep!$A$5:$A$41,"Box wing",Sweep!$B$5:$B$41,$A6,Sweep!$C$5:$C$41,0.15)</f>
        <v>-0.0101162896862594</v>
      </c>
      <c r="F6" s="17" t="n">
        <f aca="false">SUMIFS(Sweep!$T$5:$T$41,Sweep!$A$5:$A$41,"Box wing",Sweep!$B$5:$B$41,$A6,Sweep!$C$5:$C$41,0.2)</f>
        <v>-0.0270170911815328</v>
      </c>
      <c r="G6" s="17" t="n">
        <f aca="false">SUMIFS(Sweep!$T$5:$T$41,Sweep!$A$5:$A$41,"Box wing",Sweep!$B$5:$B$41,$A6,Sweep!$C$5:$C$41,0.25)</f>
        <v>-0.0328199528588629</v>
      </c>
    </row>
    <row r="7" customFormat="false" ht="15" hidden="false" customHeight="false" outlineLevel="0" collapsed="false">
      <c r="A7" s="33" t="n">
        <v>58</v>
      </c>
      <c r="B7" s="17" t="n">
        <f aca="false">SUMIFS(Sweep!$T$5:$T$41,Sweep!$A$5:$A$41,"Conventional",Sweep!$B$5:$B$41,$A7)</f>
        <v>0.153992948543654</v>
      </c>
      <c r="C7" s="17" t="n">
        <f aca="false">SUMIFS(Sweep!$T$5:$T$41,Sweep!$A$5:$A$41,"Box wing",Sweep!$B$5:$B$41,$A7,Sweep!$C$5:$C$41,0.05)</f>
        <v>0.042429970763926</v>
      </c>
      <c r="D7" s="17" t="n">
        <f aca="false">SUMIFS(Sweep!$T$5:$T$41,Sweep!$A$5:$A$41,"Box wing",Sweep!$B$5:$B$41,$A7,Sweep!$C$5:$C$41,0.1)</f>
        <v>-0.0076374113617671</v>
      </c>
      <c r="E7" s="17" t="n">
        <f aca="false">SUMIFS(Sweep!$T$5:$T$41,Sweep!$A$5:$A$41,"Box wing",Sweep!$B$5:$B$41,$A7,Sweep!$C$5:$C$41,0.15)</f>
        <v>-0.0320904529872899</v>
      </c>
      <c r="F7" s="17" t="n">
        <f aca="false">SUMIFS(Sweep!$T$5:$T$41,Sweep!$A$5:$A$41,"Box wing",Sweep!$B$5:$B$41,$A7,Sweep!$C$5:$C$41,0.2)</f>
        <v>-0.0421654931865053</v>
      </c>
      <c r="G7" s="17" t="n">
        <f aca="false">SUMIFS(Sweep!$T$5:$T$41,Sweep!$A$5:$A$41,"Box wing",Sweep!$B$5:$B$41,$A7,Sweep!$C$5:$C$41,0.25)</f>
        <v>-0.0429023101151266</v>
      </c>
    </row>
    <row r="8" customFormat="false" ht="15" hidden="false" customHeight="false" outlineLevel="0" collapsed="false">
      <c r="A8" s="33" t="n">
        <v>60</v>
      </c>
      <c r="B8" s="17" t="n">
        <f aca="false">SUMIFS(Sweep!$T$5:$T$41,Sweep!$A$5:$A$41,"Conventional",Sweep!$B$5:$B$41,$A8)</f>
        <v>0.0816447303798003</v>
      </c>
      <c r="C8" s="17" t="n">
        <f aca="false">SUMIFS(Sweep!$T$5:$T$41,Sweep!$A$5:$A$41,"Box wing",Sweep!$B$5:$B$41,$A8,Sweep!$C$5:$C$41,0.05)</f>
        <v>0.00623420908651706</v>
      </c>
      <c r="D8" s="17" t="n">
        <f aca="false">SUMIFS(Sweep!$T$5:$T$41,Sweep!$A$5:$A$41,"Box wing",Sweep!$B$5:$B$41,$A8,Sweep!$C$5:$C$41,0.1)</f>
        <v>-0.0305810790722576</v>
      </c>
      <c r="E8" s="17" t="n">
        <f aca="false">SUMIFS(Sweep!$T$5:$T$41,Sweep!$A$5:$A$41,"Box wing",Sweep!$B$5:$B$41,$A8,Sweep!$C$5:$C$41,0.15)</f>
        <v>-0.0472334864549818</v>
      </c>
      <c r="F8" s="17" t="n">
        <f aca="false">SUMIFS(Sweep!$T$5:$T$41,Sweep!$A$5:$A$41,"Box wing",Sweep!$B$5:$B$41,$A8,Sweep!$C$5:$C$41,0.2)</f>
        <v>-0.0518421176095254</v>
      </c>
      <c r="G8" s="17" t="n">
        <f aca="false">SUMIFS(Sweep!$T$5:$T$41,Sweep!$A$5:$A$41,"Box wing",Sweep!$B$5:$B$41,$A8,Sweep!$C$5:$C$41,0.25)</f>
        <v>-0.048288598210765</v>
      </c>
    </row>
    <row r="9" customFormat="false" ht="15" hidden="false" customHeight="false" outlineLevel="0" collapsed="false">
      <c r="A9" s="33" t="n">
        <v>62</v>
      </c>
      <c r="B9" s="17" t="n">
        <f aca="false">SUMIFS(Sweep!$T$5:$T$41,Sweep!$A$5:$A$41,"Conventional",Sweep!$B$5:$B$41,$A9)</f>
        <v>0.0338143200226055</v>
      </c>
      <c r="C9" s="17" t="n">
        <f aca="false">SUMIFS(Sweep!$T$5:$T$41,Sweep!$A$5:$A$41,"Box wing",Sweep!$B$5:$B$41,$A9,Sweep!$C$5:$C$41,0.05)</f>
        <v>-0.0195933825550431</v>
      </c>
      <c r="D9" s="17" t="n">
        <f aca="false">SUMIFS(Sweep!$T$5:$T$41,Sweep!$A$5:$A$41,"Box wing",Sweep!$B$5:$B$41,$A9,Sweep!$C$5:$C$41,0.1)</f>
        <v>-0.0467496964731339</v>
      </c>
      <c r="E9" s="17" t="n">
        <f aca="false">SUMIFS(Sweep!$T$5:$T$41,Sweep!$A$5:$A$41,"Box wing",Sweep!$B$5:$B$41,$A9,Sweep!$C$5:$C$41,0.15)</f>
        <v>-0.0572093357285144</v>
      </c>
      <c r="F9" s="17" t="n">
        <f aca="false">SUMIFS(Sweep!$T$5:$T$41,Sweep!$A$5:$A$41,"Box wing",Sweep!$B$5:$B$41,$A9,Sweep!$C$5:$C$41,0.2)</f>
        <v>-0.0572080343419181</v>
      </c>
      <c r="G9" s="17" t="n">
        <f aca="false">SUMIFS(Sweep!$T$5:$T$41,Sweep!$A$5:$A$41,"Box wing",Sweep!$B$5:$B$41,$A9,Sweep!$C$5:$C$41,0.25)</f>
        <v>-0.0498556842622787</v>
      </c>
    </row>
    <row r="10" customFormat="false" ht="15" hidden="false" customHeight="false" outlineLevel="0" collapsed="false">
      <c r="A10" s="33" t="n">
        <v>64</v>
      </c>
      <c r="B10" s="17" t="n">
        <f aca="false">SUMIFS(Sweep!$T$5:$T$41,Sweep!$A$5:$A$41,"Conventional",Sweep!$B$5:$B$41,$A10)</f>
        <v>3.30402372128447E-013</v>
      </c>
      <c r="C10" s="17" t="n">
        <f aca="false">SUMIFS(Sweep!$T$5:$T$41,Sweep!$A$5:$A$41,"Box wing",Sweep!$B$5:$B$41,$A10,Sweep!$C$5:$C$41,0.05)</f>
        <v>-0.0381654406487149</v>
      </c>
      <c r="D10" s="17" t="n">
        <f aca="false">SUMIFS(Sweep!$T$5:$T$41,Sweep!$A$5:$A$41,"Box wing",Sweep!$B$5:$B$41,$A10,Sweep!$C$5:$C$41,0.1)</f>
        <v>-0.0578024884087364</v>
      </c>
      <c r="E10" s="17" t="n">
        <f aca="false">SUMIFS(Sweep!$T$5:$T$41,Sweep!$A$5:$A$41,"Box wing",Sweep!$B$5:$B$41,$A10,Sweep!$C$5:$C$41,0.15)</f>
        <v>-0.0630968058568006</v>
      </c>
      <c r="F10" s="17" t="n">
        <f aca="false">SUMIFS(Sweep!$T$5:$T$41,Sweep!$A$5:$A$41,"Box wing",Sweep!$B$5:$B$41,$A10,Sweep!$C$5:$C$41,0.2)</f>
        <v>-0.0590429602276374</v>
      </c>
      <c r="G10" s="17" t="n">
        <f aca="false">SUMIFS(Sweep!$T$5:$T$41,Sweep!$A$5:$A$41,"Box wing",Sweep!$B$5:$B$41,$A10,Sweep!$C$5:$C$41,0.25)</f>
        <v>-0.0482028349648264</v>
      </c>
    </row>
    <row r="11" customFormat="false" ht="15" hidden="false" customHeight="false" outlineLevel="0" collapsed="false">
      <c r="A11" s="33" t="n">
        <v>65</v>
      </c>
      <c r="B11" s="17" t="n">
        <f aca="false">SUMIFS(Sweep!$T$5:$T$41,Sweep!$A$5:$A$41,"Conventional",Sweep!$B$5:$B$41,$A11)</f>
        <v>-0.0132603312476827</v>
      </c>
      <c r="C11" s="17" t="n">
        <f aca="false">SUMIFS(Sweep!$T$5:$T$41,Sweep!$A$5:$A$41,"Box wing",Sweep!$B$5:$B$41,$A11,Sweep!$C$5:$C$41,0.05)</f>
        <v>-0.0453390063889267</v>
      </c>
      <c r="D11" s="17" t="n">
        <f aca="false">SUMIFS(Sweep!$T$5:$T$41,Sweep!$A$5:$A$41,"Box wing",Sweep!$B$5:$B$41,$A11,Sweep!$C$5:$C$41,0.1)</f>
        <v>-0.0617625732292024</v>
      </c>
      <c r="E11" s="17" t="n">
        <f aca="false">SUMIFS(Sweep!$T$5:$T$41,Sweep!$A$5:$A$41,"Box wing",Sweep!$B$5:$B$41,$A11,Sweep!$C$5:$C$41,0.15)</f>
        <v>-0.0647458087418878</v>
      </c>
      <c r="F11" s="17" t="n">
        <f aca="false">SUMIFS(Sweep!$T$5:$T$41,Sweep!$A$5:$A$41,"Box wing",Sweep!$B$5:$B$41,$A11,Sweep!$C$5:$C$41,0.2)</f>
        <v>-0.0588120807107776</v>
      </c>
      <c r="G11" s="17" t="n">
        <f aca="false">SUMIFS(Sweep!$T$5:$T$41,Sweep!$A$5:$A$41,"Box wing",Sweep!$B$5:$B$41,$A11,Sweep!$C$5:$C$41,0.25)</f>
        <v>-0.0463048496507907</v>
      </c>
    </row>
    <row r="14" customFormat="false" ht="15" hidden="false" customHeight="false" outlineLevel="0" collapsed="false">
      <c r="A14" s="32" t="s">
        <v>134</v>
      </c>
    </row>
    <row r="15" customFormat="false" ht="15" hidden="false" customHeight="false" outlineLevel="0" collapsed="false">
      <c r="A15" s="5" t="s">
        <v>507</v>
      </c>
      <c r="B15" s="5" t="s">
        <v>500</v>
      </c>
      <c r="C15" s="5" t="s">
        <v>508</v>
      </c>
      <c r="D15" s="5" t="s">
        <v>509</v>
      </c>
      <c r="E15" s="5" t="s">
        <v>510</v>
      </c>
      <c r="F15" s="5" t="s">
        <v>511</v>
      </c>
      <c r="G15" s="5" t="s">
        <v>512</v>
      </c>
    </row>
    <row r="16" customFormat="false" ht="15" hidden="false" customHeight="false" outlineLevel="0" collapsed="false">
      <c r="A16" s="33" t="n">
        <v>56</v>
      </c>
      <c r="B16" s="12" t="n">
        <f aca="false">SUMIFS(Sweep!$M$5:$M$41,Sweep!$A$5:$A$41,"Conventional",Sweep!$B$5:$B$41,$A16)</f>
        <v>16.3434006196086</v>
      </c>
      <c r="C16" s="12" t="n">
        <f aca="false">SUMIFS(Sweep!$M$5:$M$41,Sweep!$A$5:$A$41,"Box wing",Sweep!$B$5:$B$41,$A16,Sweep!$C$5:$C$41,0.05)</f>
        <v>17.7928628848759</v>
      </c>
      <c r="D16" s="12" t="n">
        <f aca="false">SUMIFS(Sweep!$M$5:$M$41,Sweep!$A$5:$A$41,"Box wing",Sweep!$B$5:$B$41,$A16,Sweep!$C$5:$C$41,0.1)</f>
        <v>18.4348857848392</v>
      </c>
      <c r="E16" s="12" t="n">
        <f aca="false">SUMIFS(Sweep!$M$5:$M$41,Sweep!$A$5:$A$41,"Box wing",Sweep!$B$5:$B$41,$A16,Sweep!$C$5:$C$41,0.15)</f>
        <v>18.8341025635061</v>
      </c>
      <c r="F16" s="12" t="n">
        <f aca="false">SUMIFS(Sweep!$M$5:$M$41,Sweep!$A$5:$A$41,"Box wing",Sweep!$B$5:$B$41,$A16,Sweep!$C$5:$C$41,0.2)</f>
        <v>19.0848973279062</v>
      </c>
      <c r="G16" s="12" t="n">
        <f aca="false">SUMIFS(Sweep!$M$5:$M$41,Sweep!$A$5:$A$41,"Box wing",Sweep!$B$5:$B$41,$A16,Sweep!$C$5:$C$41,0.25)</f>
        <v>19.2343944846633</v>
      </c>
    </row>
    <row r="17" customFormat="false" ht="15" hidden="false" customHeight="false" outlineLevel="0" collapsed="false">
      <c r="A17" s="33" t="n">
        <v>58</v>
      </c>
      <c r="B17" s="12" t="n">
        <f aca="false">SUMIFS(Sweep!$M$5:$M$41,Sweep!$A$5:$A$41,"Conventional",Sweep!$B$5:$B$41,$A17)</f>
        <v>17.2694805420803</v>
      </c>
      <c r="C17" s="12" t="n">
        <f aca="false">SUMIFS(Sweep!$M$5:$M$41,Sweep!$A$5:$A$41,"Box wing",Sweep!$B$5:$B$41,$A17,Sweep!$C$5:$C$41,0.05)</f>
        <v>18.3839345247593</v>
      </c>
      <c r="D17" s="12" t="n">
        <f aca="false">SUMIFS(Sweep!$M$5:$M$41,Sweep!$A$5:$A$41,"Box wing",Sweep!$B$5:$B$41,$A17,Sweep!$C$5:$C$41,0.1)</f>
        <v>18.9138385339912</v>
      </c>
      <c r="E17" s="12" t="n">
        <f aca="false">SUMIFS(Sweep!$M$5:$M$41,Sweep!$A$5:$A$41,"Box wing",Sweep!$B$5:$B$41,$A17,Sweep!$C$5:$C$41,0.15)</f>
        <v>19.2416842811652</v>
      </c>
      <c r="F17" s="12" t="n">
        <f aca="false">SUMIFS(Sweep!$M$5:$M$41,Sweep!$A$5:$A$41,"Box wing",Sweep!$B$5:$B$41,$A17,Sweep!$C$5:$C$41,0.2)</f>
        <v>19.4392182507569</v>
      </c>
      <c r="G17" s="12" t="n">
        <f aca="false">SUMIFS(Sweep!$M$5:$M$41,Sweep!$A$5:$A$41,"Box wing",Sweep!$B$5:$B$41,$A17,Sweep!$C$5:$C$41,0.25)</f>
        <v>19.5457501779139</v>
      </c>
    </row>
    <row r="18" customFormat="false" ht="15" hidden="false" customHeight="false" outlineLevel="0" collapsed="false">
      <c r="A18" s="33" t="n">
        <v>60</v>
      </c>
      <c r="B18" s="12" t="n">
        <f aca="false">SUMIFS(Sweep!$M$5:$M$41,Sweep!$A$5:$A$41,"Conventional",Sweep!$B$5:$B$41,$A18)</f>
        <v>17.9532184799856</v>
      </c>
      <c r="C18" s="12" t="n">
        <f aca="false">SUMIFS(Sweep!$M$5:$M$41,Sweep!$A$5:$A$41,"Box wing",Sweep!$B$5:$B$41,$A18,Sweep!$C$5:$C$41,0.05)</f>
        <v>18.8842958822651</v>
      </c>
      <c r="D18" s="12" t="n">
        <f aca="false">SUMIFS(Sweep!$M$5:$M$41,Sweep!$A$5:$A$41,"Box wing",Sweep!$B$5:$B$41,$A18,Sweep!$C$5:$C$41,0.1)</f>
        <v>19.3290735826405</v>
      </c>
      <c r="E18" s="12" t="n">
        <f aca="false">SUMIFS(Sweep!$M$5:$M$41,Sweep!$A$5:$A$41,"Box wing",Sweep!$B$5:$B$41,$A18,Sweep!$C$5:$C$41,0.15)</f>
        <v>19.5975036724875</v>
      </c>
      <c r="F18" s="12" t="n">
        <f aca="false">SUMIFS(Sweep!$M$5:$M$41,Sweep!$A$5:$A$41,"Box wing",Sweep!$B$5:$B$41,$A18,Sweep!$C$5:$C$41,0.2)</f>
        <v>19.7486789357916</v>
      </c>
      <c r="G18" s="12" t="n">
        <f aca="false">SUMIFS(Sweep!$M$5:$M$41,Sweep!$A$5:$A$41,"Box wing",Sweep!$B$5:$B$41,$A18,Sweep!$C$5:$C$41,0.25)</f>
        <v>19.8168420986476</v>
      </c>
    </row>
    <row r="19" customFormat="false" ht="15" hidden="false" customHeight="false" outlineLevel="0" collapsed="false">
      <c r="A19" s="33" t="n">
        <v>62</v>
      </c>
      <c r="B19" s="12" t="n">
        <f aca="false">SUMIFS(Sweep!$M$5:$M$41,Sweep!$A$5:$A$41,"Conventional",Sweep!$B$5:$B$41,$A19)</f>
        <v>18.5163245726892</v>
      </c>
      <c r="C19" s="12" t="n">
        <f aca="false">SUMIFS(Sweep!$M$5:$M$41,Sweep!$A$5:$A$41,"Box wing",Sweep!$B$5:$B$41,$A19,Sweep!$C$5:$C$41,0.05)</f>
        <v>19.3187391644109</v>
      </c>
      <c r="D19" s="12" t="n">
        <f aca="false">SUMIFS(Sweep!$M$5:$M$41,Sweep!$A$5:$A$41,"Box wing",Sweep!$B$5:$B$41,$A19,Sweep!$C$5:$C$41,0.1)</f>
        <v>19.693864020471</v>
      </c>
      <c r="E19" s="12" t="n">
        <f aca="false">SUMIFS(Sweep!$M$5:$M$41,Sweep!$A$5:$A$41,"Box wing",Sweep!$B$5:$B$41,$A19,Sweep!$C$5:$C$41,0.15)</f>
        <v>19.9107805367674</v>
      </c>
      <c r="F19" s="12" t="n">
        <f aca="false">SUMIFS(Sweep!$M$5:$M$41,Sweep!$A$5:$A$41,"Box wing",Sweep!$B$5:$B$41,$A19,Sweep!$C$5:$C$41,0.2)</f>
        <v>20.0205269979845</v>
      </c>
      <c r="G19" s="12" t="n">
        <f aca="false">SUMIFS(Sweep!$M$5:$M$41,Sweep!$A$5:$A$41,"Box wing",Sweep!$B$5:$B$41,$A19,Sweep!$C$5:$C$41,0.25)</f>
        <v>20.0537697361735</v>
      </c>
    </row>
    <row r="20" customFormat="false" ht="15" hidden="false" customHeight="false" outlineLevel="0" collapsed="false">
      <c r="A20" s="33" t="n">
        <v>64</v>
      </c>
      <c r="B20" s="12" t="n">
        <f aca="false">SUMIFS(Sweep!$M$5:$M$41,Sweep!$A$5:$A$41,"Conventional",Sweep!$B$5:$B$41,$A20)</f>
        <v>18.999999999997</v>
      </c>
      <c r="C20" s="12" t="n">
        <f aca="false">SUMIFS(Sweep!$M$5:$M$41,Sweep!$A$5:$A$41,"Box wing",Sweep!$B$5:$B$41,$A20,Sweep!$C$5:$C$41,0.05)</f>
        <v>19.7017140487699</v>
      </c>
      <c r="D20" s="12" t="n">
        <f aca="false">SUMIFS(Sweep!$M$5:$M$41,Sweep!$A$5:$A$41,"Box wing",Sweep!$B$5:$B$41,$A20,Sweep!$C$5:$C$41,0.1)</f>
        <v>20.0171860348703</v>
      </c>
      <c r="E20" s="12" t="n">
        <f aca="false">SUMIFS(Sweep!$M$5:$M$41,Sweep!$A$5:$A$41,"Box wing",Sweep!$B$5:$B$41,$A20,Sweep!$C$5:$C$41,0.15)</f>
        <v>20.1882174050653</v>
      </c>
      <c r="F20" s="12" t="n">
        <f aca="false">SUMIFS(Sweep!$M$5:$M$41,Sweep!$A$5:$A$41,"Box wing",Sweep!$B$5:$B$41,$A20,Sweep!$C$5:$C$41,0.2)</f>
        <v>20.2602518439833</v>
      </c>
      <c r="G20" s="12" t="n">
        <f aca="false">SUMIFS(Sweep!$M$5:$M$41,Sweep!$A$5:$A$41,"Box wing",Sweep!$B$5:$B$41,$A20,Sweep!$C$5:$C$41,0.25)</f>
        <v>20.2612711358689</v>
      </c>
    </row>
    <row r="21" customFormat="false" ht="15" hidden="false" customHeight="false" outlineLevel="0" collapsed="false">
      <c r="A21" s="33" t="n">
        <v>65</v>
      </c>
      <c r="B21" s="12" t="n">
        <f aca="false">SUMIFS(Sweep!$M$5:$M$41,Sweep!$A$5:$A$41,"Conventional",Sweep!$B$5:$B$41,$A21)</f>
        <v>19.2188710422429</v>
      </c>
      <c r="C21" s="12" t="n">
        <f aca="false">SUMIFS(Sweep!$M$5:$M$41,Sweep!$A$5:$A$41,"Box wing",Sweep!$B$5:$B$41,$A21,Sweep!$C$5:$C$41,0.05)</f>
        <v>19.8769931522929</v>
      </c>
      <c r="D21" s="12" t="n">
        <f aca="false">SUMIFS(Sweep!$M$5:$M$41,Sweep!$A$5:$A$41,"Box wing",Sweep!$B$5:$B$41,$A21,Sweep!$C$5:$C$41,0.1)</f>
        <v>20.1653964168494</v>
      </c>
      <c r="E21" s="12" t="n">
        <f aca="false">SUMIFS(Sweep!$M$5:$M$41,Sweep!$A$5:$A$41,"Box wing",Sweep!$B$5:$B$41,$A21,Sweep!$C$5:$C$41,0.15)</f>
        <v>20.3151372923977</v>
      </c>
      <c r="F21" s="12" t="n">
        <f aca="false">SUMIFS(Sweep!$M$5:$M$41,Sweep!$A$5:$A$41,"Box wing",Sweep!$B$5:$B$41,$A21,Sweep!$C$5:$C$41,0.2)</f>
        <v>20.3694484227859</v>
      </c>
      <c r="G21" s="12" t="n">
        <f aca="false">SUMIFS(Sweep!$M$5:$M$41,Sweep!$A$5:$A$41,"Box wing",Sweep!$B$5:$B$41,$A21,Sweep!$C$5:$C$41,0.25)</f>
        <v>20.3551980187799</v>
      </c>
    </row>
    <row r="24" customFormat="false" ht="15" hidden="false" customHeight="false" outlineLevel="0" collapsed="false">
      <c r="A24" s="32" t="s">
        <v>137</v>
      </c>
    </row>
    <row r="25" customFormat="false" ht="15" hidden="false" customHeight="false" outlineLevel="0" collapsed="false">
      <c r="A25" s="5" t="s">
        <v>507</v>
      </c>
      <c r="B25" s="5" t="s">
        <v>500</v>
      </c>
      <c r="C25" s="5" t="s">
        <v>508</v>
      </c>
      <c r="D25" s="5" t="s">
        <v>509</v>
      </c>
      <c r="E25" s="5" t="s">
        <v>510</v>
      </c>
      <c r="F25" s="5" t="s">
        <v>511</v>
      </c>
      <c r="G25" s="5" t="s">
        <v>512</v>
      </c>
    </row>
    <row r="26" customFormat="false" ht="15" hidden="false" customHeight="false" outlineLevel="0" collapsed="false">
      <c r="A26" s="33" t="n">
        <v>56</v>
      </c>
      <c r="B26" s="13" t="n">
        <f aca="false">SUMIFS(Sweep!$P$5:$P$41,Sweep!$A$5:$A$41,"Conventional",Sweep!$B$5:$B$41,$A26)</f>
        <v>228.661128709623</v>
      </c>
      <c r="C26" s="13" t="n">
        <f aca="false">SUMIFS(Sweep!$P$5:$P$41,Sweep!$A$5:$A$41,"Box wing",Sweep!$B$5:$B$41,$A26,Sweep!$C$5:$C$41,0.05)</f>
        <v>207.043061550883</v>
      </c>
      <c r="D26" s="13" t="n">
        <f aca="false">SUMIFS(Sweep!$P$5:$P$41,Sweep!$A$5:$A$41,"Box wing",Sweep!$B$5:$B$41,$A26,Sweep!$C$5:$C$41,0.1)</f>
        <v>198.755033634116</v>
      </c>
      <c r="E26" s="13" t="n">
        <f aca="false">SUMIFS(Sweep!$P$5:$P$41,Sweep!$A$5:$A$41,"Box wing",Sweep!$B$5:$B$41,$A26,Sweep!$C$5:$C$41,0.15)</f>
        <v>194.940041676711</v>
      </c>
      <c r="F26" s="13" t="n">
        <f aca="false">SUMIFS(Sweep!$P$5:$P$41,Sweep!$A$5:$A$41,"Box wing",Sweep!$B$5:$B$41,$A26,Sweep!$C$5:$C$41,0.2)</f>
        <v>193.431349205087</v>
      </c>
      <c r="G26" s="13" t="n">
        <f aca="false">SUMIFS(Sweep!$P$5:$P$41,Sweep!$A$5:$A$41,"Box wing",Sweep!$B$5:$B$41,$A26,Sweep!$C$5:$C$41,0.25)</f>
        <v>193.353039070324</v>
      </c>
    </row>
    <row r="27" customFormat="false" ht="15" hidden="false" customHeight="false" outlineLevel="0" collapsed="false">
      <c r="A27" s="33" t="n">
        <v>58</v>
      </c>
      <c r="B27" s="13" t="n">
        <f aca="false">SUMIFS(Sweep!$P$5:$P$41,Sweep!$A$5:$A$41,"Conventional",Sweep!$B$5:$B$41,$A27)</f>
        <v>213.630410303985</v>
      </c>
      <c r="C27" s="13" t="n">
        <f aca="false">SUMIFS(Sweep!$P$5:$P$41,Sweep!$A$5:$A$41,"Box wing",Sweep!$B$5:$B$41,$A27,Sweep!$C$5:$C$41,0.05)</f>
        <v>201.772389793548</v>
      </c>
      <c r="D27" s="13" t="n">
        <f aca="false">SUMIFS(Sweep!$P$5:$P$41,Sweep!$A$5:$A$41,"Box wing",Sweep!$B$5:$B$41,$A27,Sweep!$C$5:$C$41,0.1)</f>
        <v>196.018928140878</v>
      </c>
      <c r="E27" s="13" t="n">
        <f aca="false">SUMIFS(Sweep!$P$5:$P$41,Sweep!$A$5:$A$41,"Box wing",Sweep!$B$5:$B$41,$A27,Sweep!$C$5:$C$41,0.15)</f>
        <v>193.55129550737</v>
      </c>
      <c r="F27" s="13" t="n">
        <f aca="false">SUMIFS(Sweep!$P$5:$P$41,Sweep!$A$5:$A$41,"Box wing",Sweep!$B$5:$B$41,$A27,Sweep!$C$5:$C$41,0.2)</f>
        <v>192.940311481969</v>
      </c>
      <c r="G27" s="13" t="n">
        <f aca="false">SUMIFS(Sweep!$P$5:$P$41,Sweep!$A$5:$A$41,"Box wing",Sweep!$B$5:$B$41,$A27,Sweep!$C$5:$C$41,0.25)</f>
        <v>193.546802252739</v>
      </c>
    </row>
    <row r="28" customFormat="false" ht="15" hidden="false" customHeight="false" outlineLevel="0" collapsed="false">
      <c r="A28" s="33" t="n">
        <v>60</v>
      </c>
      <c r="B28" s="13" t="n">
        <f aca="false">SUMIFS(Sweep!$P$5:$P$41,Sweep!$A$5:$A$41,"Conventional",Sweep!$B$5:$B$41,$A28)</f>
        <v>205.851894928461</v>
      </c>
      <c r="C28" s="13" t="n">
        <f aca="false">SUMIFS(Sweep!$P$5:$P$41,Sweep!$A$5:$A$41,"Box wing",Sweep!$B$5:$B$41,$A28,Sweep!$C$5:$C$41,0.05)</f>
        <v>198.537106552471</v>
      </c>
      <c r="D28" s="13" t="n">
        <f aca="false">SUMIFS(Sweep!$P$5:$P$41,Sweep!$A$5:$A$41,"Box wing",Sweep!$B$5:$B$41,$A28,Sweep!$C$5:$C$41,0.1)</f>
        <v>194.482097760561</v>
      </c>
      <c r="E28" s="13" t="n">
        <f aca="false">SUMIFS(Sweep!$P$5:$P$41,Sweep!$A$5:$A$41,"Box wing",Sweep!$B$5:$B$41,$A28,Sweep!$C$5:$C$41,0.15)</f>
        <v>193.035631608879</v>
      </c>
      <c r="F28" s="13" t="n">
        <f aca="false">SUMIFS(Sweep!$P$5:$P$41,Sweep!$A$5:$A$41,"Box wing",Sweep!$B$5:$B$41,$A28,Sweep!$C$5:$C$41,0.2)</f>
        <v>193.160591423593</v>
      </c>
      <c r="G28" s="13" t="n">
        <f aca="false">SUMIFS(Sweep!$P$5:$P$41,Sweep!$A$5:$A$41,"Box wing",Sweep!$B$5:$B$41,$A28,Sweep!$C$5:$C$41,0.25)</f>
        <v>194.362959182015</v>
      </c>
    </row>
    <row r="29" customFormat="false" ht="15" hidden="false" customHeight="false" outlineLevel="0" collapsed="false">
      <c r="A29" s="33" t="n">
        <v>62</v>
      </c>
      <c r="B29" s="13" t="n">
        <f aca="false">SUMIFS(Sweep!$P$5:$P$41,Sweep!$A$5:$A$41,"Conventional",Sweep!$B$5:$B$41,$A29)</f>
        <v>201.132312428449</v>
      </c>
      <c r="C29" s="13" t="n">
        <f aca="false">SUMIFS(Sweep!$P$5:$P$41,Sweep!$A$5:$A$41,"Box wing",Sweep!$B$5:$B$41,$A29,Sweep!$C$5:$C$41,0.05)</f>
        <v>196.611233391238</v>
      </c>
      <c r="D29" s="13" t="n">
        <f aca="false">SUMIFS(Sweep!$P$5:$P$41,Sweep!$A$5:$A$41,"Box wing",Sweep!$B$5:$B$41,$A29,Sweep!$C$5:$C$41,0.1)</f>
        <v>193.812343337894</v>
      </c>
      <c r="E29" s="13" t="n">
        <f aca="false">SUMIFS(Sweep!$P$5:$P$41,Sweep!$A$5:$A$41,"Box wing",Sweep!$B$5:$B$41,$A29,Sweep!$C$5:$C$41,0.15)</f>
        <v>193.19358947779</v>
      </c>
      <c r="F29" s="13" t="n">
        <f aca="false">SUMIFS(Sweep!$P$5:$P$41,Sweep!$A$5:$A$41,"Box wing",Sweep!$B$5:$B$41,$A29,Sweep!$C$5:$C$41,0.2)</f>
        <v>193.955079546475</v>
      </c>
      <c r="G29" s="13" t="n">
        <f aca="false">SUMIFS(Sweep!$P$5:$P$41,Sweep!$A$5:$A$41,"Box wing",Sweep!$B$5:$B$41,$A29,Sweep!$C$5:$C$41,0.25)</f>
        <v>195.699789313792</v>
      </c>
    </row>
    <row r="30" customFormat="false" ht="15" hidden="false" customHeight="false" outlineLevel="0" collapsed="false">
      <c r="A30" s="33" t="n">
        <v>64</v>
      </c>
      <c r="B30" s="13" t="n">
        <f aca="false">SUMIFS(Sweep!$P$5:$P$41,Sweep!$A$5:$A$41,"Conventional",Sweep!$B$5:$B$41,$A30)</f>
        <v>198.170044851955</v>
      </c>
      <c r="C30" s="13" t="n">
        <f aca="false">SUMIFS(Sweep!$P$5:$P$41,Sweep!$A$5:$A$41,"Box wing",Sweep!$B$5:$B$41,$A30,Sweep!$C$5:$C$41,0.05)</f>
        <v>195.613420581359</v>
      </c>
      <c r="D30" s="13" t="n">
        <f aca="false">SUMIFS(Sweep!$P$5:$P$41,Sweep!$A$5:$A$41,"Box wing",Sweep!$B$5:$B$41,$A30,Sweep!$C$5:$C$41,0.1)</f>
        <v>193.809643526362</v>
      </c>
      <c r="E30" s="13" t="n">
        <f aca="false">SUMIFS(Sweep!$P$5:$P$41,Sweep!$A$5:$A$41,"Box wing",Sweep!$B$5:$B$41,$A30,Sweep!$C$5:$C$41,0.15)</f>
        <v>193.8973382392</v>
      </c>
      <c r="F30" s="13" t="n">
        <f aca="false">SUMIFS(Sweep!$P$5:$P$41,Sweep!$A$5:$A$41,"Box wing",Sweep!$B$5:$B$41,$A30,Sweep!$C$5:$C$41,0.2)</f>
        <v>195.23325074655</v>
      </c>
      <c r="G30" s="13" t="n">
        <f aca="false">SUMIFS(Sweep!$P$5:$P$41,Sweep!$A$5:$A$41,"Box wing",Sweep!$B$5:$B$41,$A30,Sweep!$C$5:$C$41,0.25)</f>
        <v>197.489509424314</v>
      </c>
    </row>
    <row r="31" customFormat="false" ht="15" hidden="false" customHeight="false" outlineLevel="0" collapsed="false">
      <c r="A31" s="33" t="n">
        <v>65</v>
      </c>
      <c r="B31" s="13" t="n">
        <f aca="false">SUMIFS(Sweep!$P$5:$P$41,Sweep!$A$5:$A$41,"Conventional",Sweep!$B$5:$B$41,$A31)</f>
        <v>197.14947141579</v>
      </c>
      <c r="C31" s="13" t="n">
        <f aca="false">SUMIFS(Sweep!$P$5:$P$41,Sweep!$A$5:$A$41,"Box wing",Sweep!$B$5:$B$41,$A31,Sweep!$C$5:$C$41,0.05)</f>
        <v>195.38848383657</v>
      </c>
      <c r="D31" s="13" t="n">
        <f aca="false">SUMIFS(Sweep!$P$5:$P$41,Sweep!$A$5:$A$41,"Box wing",Sweep!$B$5:$B$41,$A31,Sweep!$C$5:$C$41,0.1)</f>
        <v>194.016384294995</v>
      </c>
      <c r="E31" s="13" t="n">
        <f aca="false">SUMIFS(Sweep!$P$5:$P$41,Sweep!$A$5:$A$41,"Box wing",Sweep!$B$5:$B$41,$A31,Sweep!$C$5:$C$41,0.15)</f>
        <v>194.426027777592</v>
      </c>
      <c r="F31" s="13" t="n">
        <f aca="false">SUMIFS(Sweep!$P$5:$P$41,Sweep!$A$5:$A$41,"Box wing",Sweep!$B$5:$B$41,$A31,Sweep!$C$5:$C$41,0.2)</f>
        <v>196.033742362438</v>
      </c>
      <c r="G31" s="13" t="n">
        <f aca="false">SUMIFS(Sweep!$P$5:$P$41,Sweep!$A$5:$A$41,"Box wing",Sweep!$B$5:$B$41,$A31,Sweep!$C$5:$C$41,0.25)</f>
        <v>198.539333716168</v>
      </c>
    </row>
    <row r="34" customFormat="false" ht="15" hidden="false" customHeight="false" outlineLevel="0" collapsed="false">
      <c r="A34" s="32" t="s">
        <v>513</v>
      </c>
    </row>
    <row r="35" customFormat="false" ht="15" hidden="false" customHeight="false" outlineLevel="0" collapsed="false">
      <c r="A35" s="5" t="s">
        <v>507</v>
      </c>
      <c r="B35" s="5" t="s">
        <v>500</v>
      </c>
      <c r="C35" s="5" t="s">
        <v>508</v>
      </c>
      <c r="D35" s="5" t="s">
        <v>509</v>
      </c>
      <c r="E35" s="5" t="s">
        <v>510</v>
      </c>
      <c r="F35" s="5" t="s">
        <v>511</v>
      </c>
      <c r="G35" s="5" t="s">
        <v>512</v>
      </c>
    </row>
    <row r="36" customFormat="false" ht="15" hidden="false" customHeight="false" outlineLevel="0" collapsed="false">
      <c r="A36" s="33" t="n">
        <v>56</v>
      </c>
      <c r="B36" s="16" t="n">
        <f aca="false">SUMIFS(Sweep!$J$5:$J$41,Sweep!$A$5:$A$41,"Conventional",Sweep!$B$5:$B$41,$A36)</f>
        <v>381.101881182704</v>
      </c>
      <c r="C36" s="16" t="n">
        <f aca="false">SUMIFS(Sweep!$J$5:$J$41,Sweep!$A$5:$A$41,"Box wing",Sweep!$B$5:$B$41,$A36,Sweep!$C$5:$C$41,0.05)</f>
        <v>345.071769251472</v>
      </c>
      <c r="D36" s="16" t="n">
        <f aca="false">SUMIFS(Sweep!$J$5:$J$41,Sweep!$A$5:$A$41,"Box wing",Sweep!$B$5:$B$41,$A36,Sweep!$C$5:$C$41,0.1)</f>
        <v>331.258389390193</v>
      </c>
      <c r="E36" s="16" t="n">
        <f aca="false">SUMIFS(Sweep!$J$5:$J$41,Sweep!$A$5:$A$41,"Box wing",Sweep!$B$5:$B$41,$A36,Sweep!$C$5:$C$41,0.15)</f>
        <v>324.900069461185</v>
      </c>
      <c r="F36" s="16" t="n">
        <f aca="false">SUMIFS(Sweep!$J$5:$J$41,Sweep!$A$5:$A$41,"Box wing",Sweep!$B$5:$B$41,$A36,Sweep!$C$5:$C$41,0.2)</f>
        <v>322.385582008478</v>
      </c>
      <c r="G36" s="16" t="n">
        <f aca="false">SUMIFS(Sweep!$J$5:$J$41,Sweep!$A$5:$A$41,"Box wing",Sweep!$B$5:$B$41,$A36,Sweep!$C$5:$C$41,0.25)</f>
        <v>322.255065117206</v>
      </c>
    </row>
    <row r="37" customFormat="false" ht="15" hidden="false" customHeight="false" outlineLevel="0" collapsed="false">
      <c r="A37" s="33" t="n">
        <v>58</v>
      </c>
      <c r="B37" s="16" t="n">
        <f aca="false">SUMIFS(Sweep!$J$5:$J$41,Sweep!$A$5:$A$41,"Conventional",Sweep!$B$5:$B$41,$A37)</f>
        <v>356.050683839975</v>
      </c>
      <c r="C37" s="16" t="n">
        <f aca="false">SUMIFS(Sweep!$J$5:$J$41,Sweep!$A$5:$A$41,"Box wing",Sweep!$B$5:$B$41,$A37,Sweep!$C$5:$C$41,0.05)</f>
        <v>336.287316322579</v>
      </c>
      <c r="D37" s="16" t="n">
        <f aca="false">SUMIFS(Sweep!$J$5:$J$41,Sweep!$A$5:$A$41,"Box wing",Sweep!$B$5:$B$41,$A37,Sweep!$C$5:$C$41,0.1)</f>
        <v>326.698213568131</v>
      </c>
      <c r="E37" s="16" t="n">
        <f aca="false">SUMIFS(Sweep!$J$5:$J$41,Sweep!$A$5:$A$41,"Box wing",Sweep!$B$5:$B$41,$A37,Sweep!$C$5:$C$41,0.15)</f>
        <v>322.585492512284</v>
      </c>
      <c r="F37" s="16" t="n">
        <f aca="false">SUMIFS(Sweep!$J$5:$J$41,Sweep!$A$5:$A$41,"Box wing",Sweep!$B$5:$B$41,$A37,Sweep!$C$5:$C$41,0.2)</f>
        <v>321.567185803282</v>
      </c>
      <c r="G37" s="16" t="n">
        <f aca="false">SUMIFS(Sweep!$J$5:$J$41,Sweep!$A$5:$A$41,"Box wing",Sweep!$B$5:$B$41,$A37,Sweep!$C$5:$C$41,0.25)</f>
        <v>322.578003754565</v>
      </c>
    </row>
    <row r="38" customFormat="false" ht="15" hidden="false" customHeight="false" outlineLevel="0" collapsed="false">
      <c r="A38" s="33" t="n">
        <v>60</v>
      </c>
      <c r="B38" s="16" t="n">
        <f aca="false">SUMIFS(Sweep!$J$5:$J$41,Sweep!$A$5:$A$41,"Conventional",Sweep!$B$5:$B$41,$A38)</f>
        <v>343.086491547435</v>
      </c>
      <c r="C38" s="16" t="n">
        <f aca="false">SUMIFS(Sweep!$J$5:$J$41,Sweep!$A$5:$A$41,"Box wing",Sweep!$B$5:$B$41,$A38,Sweep!$C$5:$C$41,0.05)</f>
        <v>330.895177587451</v>
      </c>
      <c r="D38" s="16" t="n">
        <f aca="false">SUMIFS(Sweep!$J$5:$J$41,Sweep!$A$5:$A$41,"Box wing",Sweep!$B$5:$B$41,$A38,Sweep!$C$5:$C$41,0.1)</f>
        <v>324.136829600935</v>
      </c>
      <c r="E38" s="16" t="n">
        <f aca="false">SUMIFS(Sweep!$J$5:$J$41,Sweep!$A$5:$A$41,"Box wing",Sweep!$B$5:$B$41,$A38,Sweep!$C$5:$C$41,0.15)</f>
        <v>321.726052681465</v>
      </c>
      <c r="F38" s="16" t="n">
        <f aca="false">SUMIFS(Sweep!$J$5:$J$41,Sweep!$A$5:$A$41,"Box wing",Sweep!$B$5:$B$41,$A38,Sweep!$C$5:$C$41,0.2)</f>
        <v>321.934319039321</v>
      </c>
      <c r="G38" s="16" t="n">
        <f aca="false">SUMIFS(Sweep!$J$5:$J$41,Sweep!$A$5:$A$41,"Box wing",Sweep!$B$5:$B$41,$A38,Sweep!$C$5:$C$41,0.25)</f>
        <v>323.938265303359</v>
      </c>
    </row>
    <row r="39" customFormat="false" ht="15" hidden="false" customHeight="false" outlineLevel="0" collapsed="false">
      <c r="A39" s="33" t="n">
        <v>62</v>
      </c>
      <c r="B39" s="16" t="n">
        <f aca="false">SUMIFS(Sweep!$J$5:$J$41,Sweep!$A$5:$A$41,"Conventional",Sweep!$B$5:$B$41,$A39)</f>
        <v>335.220520714081</v>
      </c>
      <c r="C39" s="16" t="n">
        <f aca="false">SUMIFS(Sweep!$J$5:$J$41,Sweep!$A$5:$A$41,"Box wing",Sweep!$B$5:$B$41,$A39,Sweep!$C$5:$C$41,0.05)</f>
        <v>327.685388985396</v>
      </c>
      <c r="D39" s="16" t="n">
        <f aca="false">SUMIFS(Sweep!$J$5:$J$41,Sweep!$A$5:$A$41,"Box wing",Sweep!$B$5:$B$41,$A39,Sweep!$C$5:$C$41,0.1)</f>
        <v>323.020572229823</v>
      </c>
      <c r="E39" s="16" t="n">
        <f aca="false">SUMIFS(Sweep!$J$5:$J$41,Sweep!$A$5:$A$41,"Box wing",Sweep!$B$5:$B$41,$A39,Sweep!$C$5:$C$41,0.15)</f>
        <v>321.989315796317</v>
      </c>
      <c r="F39" s="16" t="n">
        <f aca="false">SUMIFS(Sweep!$J$5:$J$41,Sweep!$A$5:$A$41,"Box wing",Sweep!$B$5:$B$41,$A39,Sweep!$C$5:$C$41,0.2)</f>
        <v>323.258465910792</v>
      </c>
      <c r="G39" s="16" t="n">
        <f aca="false">SUMIFS(Sweep!$J$5:$J$41,Sweep!$A$5:$A$41,"Box wing",Sweep!$B$5:$B$41,$A39,Sweep!$C$5:$C$41,0.25)</f>
        <v>326.166315522986</v>
      </c>
    </row>
    <row r="40" customFormat="false" ht="15" hidden="false" customHeight="false" outlineLevel="0" collapsed="false">
      <c r="A40" s="33" t="n">
        <v>64</v>
      </c>
      <c r="B40" s="16" t="n">
        <f aca="false">SUMIFS(Sweep!$J$5:$J$41,Sweep!$A$5:$A$41,"Conventional",Sweep!$B$5:$B$41,$A40)</f>
        <v>330.283408086591</v>
      </c>
      <c r="C40" s="16" t="n">
        <f aca="false">SUMIFS(Sweep!$J$5:$J$41,Sweep!$A$5:$A$41,"Box wing",Sweep!$B$5:$B$41,$A40,Sweep!$C$5:$C$41,0.05)</f>
        <v>326.022367635598</v>
      </c>
      <c r="D40" s="16" t="n">
        <f aca="false">SUMIFS(Sweep!$J$5:$J$41,Sweep!$A$5:$A$41,"Box wing",Sweep!$B$5:$B$41,$A40,Sweep!$C$5:$C$41,0.1)</f>
        <v>323.016072543937</v>
      </c>
      <c r="E40" s="16" t="n">
        <f aca="false">SUMIFS(Sweep!$J$5:$J$41,Sweep!$A$5:$A$41,"Box wing",Sweep!$B$5:$B$41,$A40,Sweep!$C$5:$C$41,0.15)</f>
        <v>323.162230398667</v>
      </c>
      <c r="F40" s="16" t="n">
        <f aca="false">SUMIFS(Sweep!$J$5:$J$41,Sweep!$A$5:$A$41,"Box wing",Sweep!$B$5:$B$41,$A40,Sweep!$C$5:$C$41,0.2)</f>
        <v>325.388751244249</v>
      </c>
      <c r="G40" s="16" t="n">
        <f aca="false">SUMIFS(Sweep!$J$5:$J$41,Sweep!$A$5:$A$41,"Box wing",Sweep!$B$5:$B$41,$A40,Sweep!$C$5:$C$41,0.25)</f>
        <v>329.149182373857</v>
      </c>
    </row>
    <row r="41" customFormat="false" ht="15" hidden="false" customHeight="false" outlineLevel="0" collapsed="false">
      <c r="A41" s="33" t="n">
        <v>65</v>
      </c>
      <c r="B41" s="16" t="n">
        <f aca="false">SUMIFS(Sweep!$J$5:$J$41,Sweep!$A$5:$A$41,"Conventional",Sweep!$B$5:$B$41,$A41)</f>
        <v>328.58245235965</v>
      </c>
      <c r="C41" s="16" t="n">
        <f aca="false">SUMIFS(Sweep!$J$5:$J$41,Sweep!$A$5:$A$41,"Box wing",Sweep!$B$5:$B$41,$A41,Sweep!$C$5:$C$41,0.05)</f>
        <v>325.647473060949</v>
      </c>
      <c r="D41" s="16" t="n">
        <f aca="false">SUMIFS(Sweep!$J$5:$J$41,Sweep!$A$5:$A$41,"Box wing",Sweep!$B$5:$B$41,$A41,Sweep!$C$5:$C$41,0.1)</f>
        <v>323.360640491658</v>
      </c>
      <c r="E41" s="16" t="n">
        <f aca="false">SUMIFS(Sweep!$J$5:$J$41,Sweep!$A$5:$A$41,"Box wing",Sweep!$B$5:$B$41,$A41,Sweep!$C$5:$C$41,0.15)</f>
        <v>324.04337962932</v>
      </c>
      <c r="F41" s="16" t="n">
        <f aca="false">SUMIFS(Sweep!$J$5:$J$41,Sweep!$A$5:$A$41,"Box wing",Sweep!$B$5:$B$41,$A41,Sweep!$C$5:$C$41,0.2)</f>
        <v>326.722903937397</v>
      </c>
      <c r="G41" s="16" t="n">
        <f aca="false">SUMIFS(Sweep!$J$5:$J$41,Sweep!$A$5:$A$41,"Box wing",Sweep!$B$5:$B$41,$A41,Sweep!$C$5:$C$41,0.25)</f>
        <v>330.898889526947</v>
      </c>
    </row>
    <row r="44" customFormat="false" ht="15" hidden="false" customHeight="false" outlineLevel="0" collapsed="false">
      <c r="A44" s="32" t="s">
        <v>125</v>
      </c>
    </row>
    <row r="45" customFormat="false" ht="15" hidden="false" customHeight="false" outlineLevel="0" collapsed="false">
      <c r="A45" s="5" t="s">
        <v>507</v>
      </c>
      <c r="B45" s="5" t="s">
        <v>500</v>
      </c>
      <c r="C45" s="5" t="s">
        <v>508</v>
      </c>
      <c r="D45" s="5" t="s">
        <v>509</v>
      </c>
      <c r="E45" s="5" t="s">
        <v>510</v>
      </c>
      <c r="F45" s="5" t="s">
        <v>511</v>
      </c>
      <c r="G45" s="5" t="s">
        <v>512</v>
      </c>
    </row>
    <row r="46" customFormat="false" ht="15" hidden="false" customHeight="false" outlineLevel="0" collapsed="false">
      <c r="A46" s="33" t="n">
        <v>56</v>
      </c>
      <c r="B46" s="13" t="n">
        <f aca="false">SUMIFS(Sweep!$D$5:$D$41,Sweep!$A$5:$A$41,"Conventional",Sweep!$B$5:$B$41,$A46)</f>
        <v>0</v>
      </c>
      <c r="C46" s="13" t="n">
        <f aca="false">SUMIFS(Sweep!$D$5:$D$41,Sweep!$A$5:$A$41,"Box wing",Sweep!$B$5:$B$41,$A46,Sweep!$C$5:$C$41,0.05)</f>
        <v>2.8</v>
      </c>
      <c r="D46" s="13" t="n">
        <f aca="false">SUMIFS(Sweep!$D$5:$D$41,Sweep!$A$5:$A$41,"Box wing",Sweep!$B$5:$B$41,$A46,Sweep!$C$5:$C$41,0.1)</f>
        <v>5.6</v>
      </c>
      <c r="E46" s="13" t="n">
        <f aca="false">SUMIFS(Sweep!$D$5:$D$41,Sweep!$A$5:$A$41,"Box wing",Sweep!$B$5:$B$41,$A46,Sweep!$C$5:$C$41,0.15)</f>
        <v>8.4</v>
      </c>
      <c r="F46" s="13" t="n">
        <f aca="false">SUMIFS(Sweep!$D$5:$D$41,Sweep!$A$5:$A$41,"Box wing",Sweep!$B$5:$B$41,$A46,Sweep!$C$5:$C$41,0.2)</f>
        <v>11.2</v>
      </c>
      <c r="G46" s="13" t="n">
        <f aca="false">SUMIFS(Sweep!$D$5:$D$41,Sweep!$A$5:$A$41,"Box wing",Sweep!$B$5:$B$41,$A46,Sweep!$C$5:$C$41,0.25)</f>
        <v>14</v>
      </c>
    </row>
    <row r="47" customFormat="false" ht="15" hidden="false" customHeight="false" outlineLevel="0" collapsed="false">
      <c r="A47" s="33" t="n">
        <v>58</v>
      </c>
      <c r="B47" s="13" t="n">
        <f aca="false">SUMIFS(Sweep!$D$5:$D$41,Sweep!$A$5:$A$41,"Conventional",Sweep!$B$5:$B$41,$A47)</f>
        <v>0</v>
      </c>
      <c r="C47" s="13" t="n">
        <f aca="false">SUMIFS(Sweep!$D$5:$D$41,Sweep!$A$5:$A$41,"Box wing",Sweep!$B$5:$B$41,$A47,Sweep!$C$5:$C$41,0.05)</f>
        <v>2.9</v>
      </c>
      <c r="D47" s="13" t="n">
        <f aca="false">SUMIFS(Sweep!$D$5:$D$41,Sweep!$A$5:$A$41,"Box wing",Sweep!$B$5:$B$41,$A47,Sweep!$C$5:$C$41,0.1)</f>
        <v>5.8</v>
      </c>
      <c r="E47" s="13" t="n">
        <f aca="false">SUMIFS(Sweep!$D$5:$D$41,Sweep!$A$5:$A$41,"Box wing",Sweep!$B$5:$B$41,$A47,Sweep!$C$5:$C$41,0.15)</f>
        <v>8.7</v>
      </c>
      <c r="F47" s="13" t="n">
        <f aca="false">SUMIFS(Sweep!$D$5:$D$41,Sweep!$A$5:$A$41,"Box wing",Sweep!$B$5:$B$41,$A47,Sweep!$C$5:$C$41,0.2)</f>
        <v>11.6</v>
      </c>
      <c r="G47" s="13" t="n">
        <f aca="false">SUMIFS(Sweep!$D$5:$D$41,Sweep!$A$5:$A$41,"Box wing",Sweep!$B$5:$B$41,$A47,Sweep!$C$5:$C$41,0.25)</f>
        <v>14.5</v>
      </c>
    </row>
    <row r="48" customFormat="false" ht="15" hidden="false" customHeight="false" outlineLevel="0" collapsed="false">
      <c r="A48" s="33" t="n">
        <v>60</v>
      </c>
      <c r="B48" s="13" t="n">
        <f aca="false">SUMIFS(Sweep!$D$5:$D$41,Sweep!$A$5:$A$41,"Conventional",Sweep!$B$5:$B$41,$A48)</f>
        <v>0</v>
      </c>
      <c r="C48" s="13" t="n">
        <f aca="false">SUMIFS(Sweep!$D$5:$D$41,Sweep!$A$5:$A$41,"Box wing",Sweep!$B$5:$B$41,$A48,Sweep!$C$5:$C$41,0.05)</f>
        <v>3</v>
      </c>
      <c r="D48" s="13" t="n">
        <f aca="false">SUMIFS(Sweep!$D$5:$D$41,Sweep!$A$5:$A$41,"Box wing",Sweep!$B$5:$B$41,$A48,Sweep!$C$5:$C$41,0.1)</f>
        <v>6</v>
      </c>
      <c r="E48" s="13" t="n">
        <f aca="false">SUMIFS(Sweep!$D$5:$D$41,Sweep!$A$5:$A$41,"Box wing",Sweep!$B$5:$B$41,$A48,Sweep!$C$5:$C$41,0.15)</f>
        <v>9</v>
      </c>
      <c r="F48" s="13" t="n">
        <f aca="false">SUMIFS(Sweep!$D$5:$D$41,Sweep!$A$5:$A$41,"Box wing",Sweep!$B$5:$B$41,$A48,Sweep!$C$5:$C$41,0.2)</f>
        <v>12</v>
      </c>
      <c r="G48" s="13" t="n">
        <f aca="false">SUMIFS(Sweep!$D$5:$D$41,Sweep!$A$5:$A$41,"Box wing",Sweep!$B$5:$B$41,$A48,Sweep!$C$5:$C$41,0.25)</f>
        <v>15</v>
      </c>
    </row>
    <row r="49" customFormat="false" ht="15" hidden="false" customHeight="false" outlineLevel="0" collapsed="false">
      <c r="A49" s="33" t="n">
        <v>62</v>
      </c>
      <c r="B49" s="13" t="n">
        <f aca="false">SUMIFS(Sweep!$D$5:$D$41,Sweep!$A$5:$A$41,"Conventional",Sweep!$B$5:$B$41,$A49)</f>
        <v>0</v>
      </c>
      <c r="C49" s="13" t="n">
        <f aca="false">SUMIFS(Sweep!$D$5:$D$41,Sweep!$A$5:$A$41,"Box wing",Sweep!$B$5:$B$41,$A49,Sweep!$C$5:$C$41,0.05)</f>
        <v>3.1</v>
      </c>
      <c r="D49" s="13" t="n">
        <f aca="false">SUMIFS(Sweep!$D$5:$D$41,Sweep!$A$5:$A$41,"Box wing",Sweep!$B$5:$B$41,$A49,Sweep!$C$5:$C$41,0.1)</f>
        <v>6.2</v>
      </c>
      <c r="E49" s="13" t="n">
        <f aca="false">SUMIFS(Sweep!$D$5:$D$41,Sweep!$A$5:$A$41,"Box wing",Sweep!$B$5:$B$41,$A49,Sweep!$C$5:$C$41,0.15)</f>
        <v>9.3</v>
      </c>
      <c r="F49" s="13" t="n">
        <f aca="false">SUMIFS(Sweep!$D$5:$D$41,Sweep!$A$5:$A$41,"Box wing",Sweep!$B$5:$B$41,$A49,Sweep!$C$5:$C$41,0.2)</f>
        <v>12.4</v>
      </c>
      <c r="G49" s="13" t="n">
        <f aca="false">SUMIFS(Sweep!$D$5:$D$41,Sweep!$A$5:$A$41,"Box wing",Sweep!$B$5:$B$41,$A49,Sweep!$C$5:$C$41,0.25)</f>
        <v>15.5</v>
      </c>
    </row>
    <row r="50" customFormat="false" ht="15" hidden="false" customHeight="false" outlineLevel="0" collapsed="false">
      <c r="A50" s="33" t="n">
        <v>64</v>
      </c>
      <c r="B50" s="13" t="n">
        <f aca="false">SUMIFS(Sweep!$D$5:$D$41,Sweep!$A$5:$A$41,"Conventional",Sweep!$B$5:$B$41,$A50)</f>
        <v>0</v>
      </c>
      <c r="C50" s="13" t="n">
        <f aca="false">SUMIFS(Sweep!$D$5:$D$41,Sweep!$A$5:$A$41,"Box wing",Sweep!$B$5:$B$41,$A50,Sweep!$C$5:$C$41,0.05)</f>
        <v>3.2</v>
      </c>
      <c r="D50" s="13" t="n">
        <f aca="false">SUMIFS(Sweep!$D$5:$D$41,Sweep!$A$5:$A$41,"Box wing",Sweep!$B$5:$B$41,$A50,Sweep!$C$5:$C$41,0.1)</f>
        <v>6.4</v>
      </c>
      <c r="E50" s="13" t="n">
        <f aca="false">SUMIFS(Sweep!$D$5:$D$41,Sweep!$A$5:$A$41,"Box wing",Sweep!$B$5:$B$41,$A50,Sweep!$C$5:$C$41,0.15)</f>
        <v>9.6</v>
      </c>
      <c r="F50" s="13" t="n">
        <f aca="false">SUMIFS(Sweep!$D$5:$D$41,Sweep!$A$5:$A$41,"Box wing",Sweep!$B$5:$B$41,$A50,Sweep!$C$5:$C$41,0.2)</f>
        <v>12.8</v>
      </c>
      <c r="G50" s="13" t="n">
        <f aca="false">SUMIFS(Sweep!$D$5:$D$41,Sweep!$A$5:$A$41,"Box wing",Sweep!$B$5:$B$41,$A50,Sweep!$C$5:$C$41,0.25)</f>
        <v>16</v>
      </c>
    </row>
    <row r="51" customFormat="false" ht="15" hidden="false" customHeight="false" outlineLevel="0" collapsed="false">
      <c r="A51" s="33" t="n">
        <v>65</v>
      </c>
      <c r="B51" s="13" t="n">
        <f aca="false">SUMIFS(Sweep!$D$5:$D$41,Sweep!$A$5:$A$41,"Conventional",Sweep!$B$5:$B$41,$A51)</f>
        <v>0</v>
      </c>
      <c r="C51" s="13" t="n">
        <f aca="false">SUMIFS(Sweep!$D$5:$D$41,Sweep!$A$5:$A$41,"Box wing",Sweep!$B$5:$B$41,$A51,Sweep!$C$5:$C$41,0.05)</f>
        <v>3.25</v>
      </c>
      <c r="D51" s="13" t="n">
        <f aca="false">SUMIFS(Sweep!$D$5:$D$41,Sweep!$A$5:$A$41,"Box wing",Sweep!$B$5:$B$41,$A51,Sweep!$C$5:$C$41,0.1)</f>
        <v>6.5</v>
      </c>
      <c r="E51" s="13" t="n">
        <f aca="false">SUMIFS(Sweep!$D$5:$D$41,Sweep!$A$5:$A$41,"Box wing",Sweep!$B$5:$B$41,$A51,Sweep!$C$5:$C$41,0.15)</f>
        <v>9.75</v>
      </c>
      <c r="F51" s="13" t="n">
        <f aca="false">SUMIFS(Sweep!$D$5:$D$41,Sweep!$A$5:$A$41,"Box wing",Sweep!$B$5:$B$41,$A51,Sweep!$C$5:$C$41,0.2)</f>
        <v>13</v>
      </c>
      <c r="G51" s="13" t="n">
        <f aca="false">SUMIFS(Sweep!$D$5:$D$41,Sweep!$A$5:$A$41,"Box wing",Sweep!$B$5:$B$41,$A51,Sweep!$C$5:$C$41,0.25)</f>
        <v>16.25</v>
      </c>
    </row>
    <row r="54" customFormat="false" ht="15" hidden="false" customHeight="false" outlineLevel="0" collapsed="false">
      <c r="A54" s="32" t="s">
        <v>144</v>
      </c>
    </row>
    <row r="55" customFormat="false" ht="15" hidden="false" customHeight="false" outlineLevel="0" collapsed="false">
      <c r="A55" s="5" t="s">
        <v>507</v>
      </c>
      <c r="B55" s="5" t="s">
        <v>500</v>
      </c>
      <c r="C55" s="5" t="s">
        <v>508</v>
      </c>
      <c r="D55" s="5" t="s">
        <v>509</v>
      </c>
      <c r="E55" s="5" t="s">
        <v>510</v>
      </c>
      <c r="F55" s="5" t="s">
        <v>511</v>
      </c>
      <c r="G55" s="5" t="s">
        <v>512</v>
      </c>
    </row>
    <row r="56" customFormat="false" ht="15" hidden="false" customHeight="false" outlineLevel="0" collapsed="false">
      <c r="A56" s="33" t="n">
        <v>56</v>
      </c>
      <c r="B56" s="18" t="n">
        <f aca="false">SUMIFS(Sweep!$W$5:$W$41,Sweep!$A$5:$A$41,"Conventional",Sweep!$B$5:$B$41,$A56)</f>
        <v>1</v>
      </c>
      <c r="C56" s="18" t="n">
        <f aca="false">SUMIFS(Sweep!$W$5:$W$41,Sweep!$A$5:$A$41,"Box wing",Sweep!$B$5:$B$41,$A56,Sweep!$C$5:$C$41,0.05)</f>
        <v>0.588359948549402</v>
      </c>
      <c r="D56" s="18" t="n">
        <f aca="false">SUMIFS(Sweep!$W$5:$W$41,Sweep!$A$5:$A$41,"Box wing",Sweep!$B$5:$B$41,$A56,Sweep!$C$5:$C$41,0.1)</f>
        <v>0.579269238960669</v>
      </c>
      <c r="E56" s="18" t="n">
        <f aca="false">SUMIFS(Sweep!$W$5:$W$41,Sweep!$A$5:$A$41,"Box wing",Sweep!$B$5:$B$41,$A56,Sweep!$C$5:$C$41,0.15)</f>
        <v>0.576909249012664</v>
      </c>
      <c r="F56" s="18" t="n">
        <f aca="false">SUMIFS(Sweep!$W$5:$W$41,Sweep!$A$5:$A$41,"Box wing",Sweep!$B$5:$B$41,$A56,Sweep!$C$5:$C$41,0.2)</f>
        <v>0.577880554041572</v>
      </c>
      <c r="G56" s="18" t="n">
        <f aca="false">SUMIFS(Sweep!$W$5:$W$41,Sweep!$A$5:$A$41,"Box wing",Sweep!$B$5:$B$41,$A56,Sweep!$C$5:$C$41,0.25)</f>
        <v>0.580877088084362</v>
      </c>
    </row>
    <row r="57" customFormat="false" ht="15" hidden="false" customHeight="false" outlineLevel="0" collapsed="false">
      <c r="A57" s="33" t="n">
        <v>58</v>
      </c>
      <c r="B57" s="18" t="n">
        <f aca="false">SUMIFS(Sweep!$W$5:$W$41,Sweep!$A$5:$A$41,"Conventional",Sweep!$B$5:$B$41,$A57)</f>
        <v>1</v>
      </c>
      <c r="C57" s="18" t="n">
        <f aca="false">SUMIFS(Sweep!$W$5:$W$41,Sweep!$A$5:$A$41,"Box wing",Sweep!$B$5:$B$41,$A57,Sweep!$C$5:$C$41,0.05)</f>
        <v>0.566664739676925</v>
      </c>
      <c r="D57" s="18" t="n">
        <f aca="false">SUMIFS(Sweep!$W$5:$W$41,Sweep!$A$5:$A$41,"Box wing",Sweep!$B$5:$B$41,$A57,Sweep!$C$5:$C$41,0.1)</f>
        <v>0.56179159868162</v>
      </c>
      <c r="E57" s="18" t="n">
        <f aca="false">SUMIFS(Sweep!$W$5:$W$41,Sweep!$A$5:$A$41,"Box wing",Sweep!$B$5:$B$41,$A57,Sweep!$C$5:$C$41,0.15)</f>
        <v>0.561574003255926</v>
      </c>
      <c r="F57" s="18" t="n">
        <f aca="false">SUMIFS(Sweep!$W$5:$W$41,Sweep!$A$5:$A$41,"Box wing",Sweep!$B$5:$B$41,$A57,Sweep!$C$5:$C$41,0.2)</f>
        <v>0.563903870131668</v>
      </c>
      <c r="G57" s="18" t="n">
        <f aca="false">SUMIFS(Sweep!$W$5:$W$41,Sweep!$A$5:$A$41,"Box wing",Sweep!$B$5:$B$41,$A57,Sweep!$C$5:$C$41,0.25)</f>
        <v>0.567891457895884</v>
      </c>
    </row>
    <row r="58" customFormat="false" ht="15" hidden="false" customHeight="false" outlineLevel="0" collapsed="false">
      <c r="A58" s="33" t="n">
        <v>60</v>
      </c>
      <c r="B58" s="18" t="n">
        <f aca="false">SUMIFS(Sweep!$W$5:$W$41,Sweep!$A$5:$A$41,"Conventional",Sweep!$B$5:$B$41,$A58)</f>
        <v>1</v>
      </c>
      <c r="C58" s="18" t="n">
        <f aca="false">SUMIFS(Sweep!$W$5:$W$41,Sweep!$A$5:$A$41,"Box wing",Sweep!$B$5:$B$41,$A58,Sweep!$C$5:$C$41,0.05)</f>
        <v>0.549427818930559</v>
      </c>
      <c r="D58" s="18" t="n">
        <f aca="false">SUMIFS(Sweep!$W$5:$W$41,Sweep!$A$5:$A$41,"Box wing",Sweep!$B$5:$B$41,$A58,Sweep!$C$5:$C$41,0.1)</f>
        <v>0.547235313933141</v>
      </c>
      <c r="E58" s="18" t="n">
        <f aca="false">SUMIFS(Sweep!$W$5:$W$41,Sweep!$A$5:$A$41,"Box wing",Sweep!$B$5:$B$41,$A58,Sweep!$C$5:$C$41,0.15)</f>
        <v>0.548548237091335</v>
      </c>
      <c r="F58" s="18" t="n">
        <f aca="false">SUMIFS(Sweep!$W$5:$W$41,Sweep!$A$5:$A$41,"Box wing",Sweep!$B$5:$B$41,$A58,Sweep!$C$5:$C$41,0.2)</f>
        <v>0.551928397439225</v>
      </c>
      <c r="G58" s="18" t="n">
        <f aca="false">SUMIFS(Sweep!$W$5:$W$41,Sweep!$A$5:$A$41,"Box wing",Sweep!$B$5:$B$41,$A58,Sweep!$C$5:$C$41,0.25)</f>
        <v>0.556734429137833</v>
      </c>
    </row>
    <row r="59" customFormat="false" ht="15" hidden="false" customHeight="false" outlineLevel="0" collapsed="false">
      <c r="A59" s="33" t="n">
        <v>62</v>
      </c>
      <c r="B59" s="18" t="n">
        <f aca="false">SUMIFS(Sweep!$W$5:$W$41,Sweep!$A$5:$A$41,"Conventional",Sweep!$B$5:$B$41,$A59)</f>
        <v>1</v>
      </c>
      <c r="C59" s="18" t="n">
        <f aca="false">SUMIFS(Sweep!$W$5:$W$41,Sweep!$A$5:$A$41,"Box wing",Sweep!$B$5:$B$41,$A59,Sweep!$C$5:$C$41,0.05)</f>
        <v>0.535175629781529</v>
      </c>
      <c r="D59" s="18" t="n">
        <f aca="false">SUMIFS(Sweep!$W$5:$W$41,Sweep!$A$5:$A$41,"Box wing",Sweep!$B$5:$B$41,$A59,Sweep!$C$5:$C$41,0.1)</f>
        <v>0.534862094040137</v>
      </c>
      <c r="E59" s="18" t="n">
        <f aca="false">SUMIFS(Sweep!$W$5:$W$41,Sweep!$A$5:$A$41,"Box wing",Sweep!$B$5:$B$41,$A59,Sweep!$C$5:$C$41,0.15)</f>
        <v>0.537348520331804</v>
      </c>
      <c r="F59" s="18" t="n">
        <f aca="false">SUMIFS(Sweep!$W$5:$W$41,Sweep!$A$5:$A$41,"Box wing",Sweep!$B$5:$B$41,$A59,Sweep!$C$5:$C$41,0.2)</f>
        <v>0.541592136996254</v>
      </c>
      <c r="G59" s="18" t="n">
        <f aca="false">SUMIFS(Sweep!$W$5:$W$41,Sweep!$A$5:$A$41,"Box wing",Sweep!$B$5:$B$41,$A59,Sweep!$C$5:$C$41,0.25)</f>
        <v>0.547113018838308</v>
      </c>
    </row>
    <row r="60" customFormat="false" ht="15" hidden="false" customHeight="false" outlineLevel="0" collapsed="false">
      <c r="A60" s="33" t="n">
        <v>64</v>
      </c>
      <c r="B60" s="18" t="n">
        <f aca="false">SUMIFS(Sweep!$W$5:$W$41,Sweep!$A$5:$A$41,"Conventional",Sweep!$B$5:$B$41,$A60)</f>
        <v>1</v>
      </c>
      <c r="C60" s="18" t="n">
        <f aca="false">SUMIFS(Sweep!$W$5:$W$41,Sweep!$A$5:$A$41,"Box wing",Sweep!$B$5:$B$41,$A60,Sweep!$C$5:$C$41,0.05)</f>
        <v>0.523111828468517</v>
      </c>
      <c r="D60" s="18" t="n">
        <f aca="false">SUMIFS(Sweep!$W$5:$W$41,Sweep!$A$5:$A$41,"Box wing",Sweep!$B$5:$B$41,$A60,Sweep!$C$5:$C$41,0.1)</f>
        <v>0.524211368979784</v>
      </c>
      <c r="E60" s="18" t="n">
        <f aca="false">SUMIFS(Sweep!$W$5:$W$41,Sweep!$A$5:$A$41,"Box wing",Sweep!$B$5:$B$41,$A60,Sweep!$C$5:$C$41,0.15)</f>
        <v>0.527650796359975</v>
      </c>
      <c r="F60" s="18" t="n">
        <f aca="false">SUMIFS(Sweep!$W$5:$W$41,Sweep!$A$5:$A$41,"Box wing",Sweep!$B$5:$B$41,$A60,Sweep!$C$5:$C$41,0.2)</f>
        <v>0.532641987563221</v>
      </c>
      <c r="G60" s="18" t="n">
        <f aca="false">SUMIFS(Sweep!$W$5:$W$41,Sweep!$A$5:$A$41,"Box wing",Sweep!$B$5:$B$41,$A60,Sweep!$C$5:$C$41,0.25)</f>
        <v>0.538816985810454</v>
      </c>
    </row>
    <row r="61" customFormat="false" ht="15" hidden="false" customHeight="false" outlineLevel="0" collapsed="false">
      <c r="A61" s="33" t="n">
        <v>65</v>
      </c>
      <c r="B61" s="18" t="n">
        <f aca="false">SUMIFS(Sweep!$W$5:$W$41,Sweep!$A$5:$A$41,"Conventional",Sweep!$B$5:$B$41,$A61)</f>
        <v>1</v>
      </c>
      <c r="C61" s="18" t="n">
        <f aca="false">SUMIFS(Sweep!$W$5:$W$41,Sweep!$A$5:$A$41,"Box wing",Sweep!$B$5:$B$41,$A61,Sweep!$C$5:$C$41,0.05)</f>
        <v>0.517741512359183</v>
      </c>
      <c r="D61" s="18" t="n">
        <f aca="false">SUMIFS(Sweep!$W$5:$W$41,Sweep!$A$5:$A$41,"Box wing",Sweep!$B$5:$B$41,$A61,Sweep!$C$5:$C$41,0.1)</f>
        <v>0.519431521033994</v>
      </c>
      <c r="E61" s="18" t="n">
        <f aca="false">SUMIFS(Sweep!$W$5:$W$41,Sweep!$A$5:$A$41,"Box wing",Sweep!$B$5:$B$41,$A61,Sweep!$C$5:$C$41,0.15)</f>
        <v>0.523291142868939</v>
      </c>
      <c r="F61" s="18" t="n">
        <f aca="false">SUMIFS(Sweep!$W$5:$W$41,Sweep!$A$5:$A$41,"Box wing",Sweep!$B$5:$B$41,$A61,Sweep!$C$5:$C$41,0.2)</f>
        <v>0.528627263710492</v>
      </c>
      <c r="G61" s="18" t="n">
        <f aca="false">SUMIFS(Sweep!$W$5:$W$41,Sweep!$A$5:$A$41,"Box wing",Sweep!$B$5:$B$41,$A61,Sweep!$C$5:$C$41,0.25)</f>
        <v>0.535115814799588</v>
      </c>
    </row>
    <row r="64" customFormat="false" ht="15" hidden="false" customHeight="false" outlineLevel="0" collapsed="false">
      <c r="A64" s="32" t="s">
        <v>145</v>
      </c>
    </row>
    <row r="65" customFormat="false" ht="15" hidden="false" customHeight="false" outlineLevel="0" collapsed="false">
      <c r="A65" s="5" t="s">
        <v>507</v>
      </c>
      <c r="B65" s="5" t="s">
        <v>500</v>
      </c>
      <c r="C65" s="5" t="s">
        <v>508</v>
      </c>
      <c r="D65" s="5" t="s">
        <v>509</v>
      </c>
      <c r="E65" s="5" t="s">
        <v>510</v>
      </c>
      <c r="F65" s="5" t="s">
        <v>511</v>
      </c>
      <c r="G65" s="5" t="s">
        <v>512</v>
      </c>
    </row>
    <row r="66" customFormat="false" ht="15" hidden="false" customHeight="false" outlineLevel="0" collapsed="false">
      <c r="A66" s="33" t="n">
        <v>56</v>
      </c>
      <c r="B66" s="16" t="n">
        <f aca="false">SUMIFS(Sweep!$X$5:$X$41,Sweep!$A$5:$A$41,"Conventional",Sweep!$B$5:$B$41,$A66)</f>
        <v>128.387239561919</v>
      </c>
      <c r="C66" s="16" t="n">
        <f aca="false">SUMIFS(Sweep!$X$5:$X$41,Sweep!$A$5:$A$41,"Box wing",Sweep!$B$5:$B$41,$A66,Sweep!$C$5:$C$41,0.05)</f>
        <v>133.62967568068</v>
      </c>
      <c r="D66" s="16" t="n">
        <f aca="false">SUMIFS(Sweep!$X$5:$X$41,Sweep!$A$5:$A$41,"Box wing",Sweep!$B$5:$B$41,$A66,Sweep!$C$5:$C$41,0.1)</f>
        <v>133.62967568068</v>
      </c>
      <c r="E66" s="16" t="n">
        <f aca="false">SUMIFS(Sweep!$X$5:$X$41,Sweep!$A$5:$A$41,"Box wing",Sweep!$B$5:$B$41,$A66,Sweep!$C$5:$C$41,0.15)</f>
        <v>133.62967568068</v>
      </c>
      <c r="F66" s="16" t="n">
        <f aca="false">SUMIFS(Sweep!$X$5:$X$41,Sweep!$A$5:$A$41,"Box wing",Sweep!$B$5:$B$41,$A66,Sweep!$C$5:$C$41,0.2)</f>
        <v>133.62967568068</v>
      </c>
      <c r="G66" s="16" t="n">
        <f aca="false">SUMIFS(Sweep!$X$5:$X$41,Sweep!$A$5:$A$41,"Box wing",Sweep!$B$5:$B$41,$A66,Sweep!$C$5:$C$41,0.25)</f>
        <v>133.62967568068</v>
      </c>
    </row>
    <row r="67" customFormat="false" ht="15" hidden="false" customHeight="false" outlineLevel="0" collapsed="false">
      <c r="A67" s="33" t="n">
        <v>58</v>
      </c>
      <c r="B67" s="16" t="n">
        <f aca="false">SUMIFS(Sweep!$X$5:$X$41,Sweep!$A$5:$A$41,"Conventional",Sweep!$B$5:$B$41,$A67)</f>
        <v>128.387239561919</v>
      </c>
      <c r="C67" s="16" t="n">
        <f aca="false">SUMIFS(Sweep!$X$5:$X$41,Sweep!$A$5:$A$41,"Box wing",Sweep!$B$5:$B$41,$A67,Sweep!$C$5:$C$41,0.05)</f>
        <v>133.62967568068</v>
      </c>
      <c r="D67" s="16" t="n">
        <f aca="false">SUMIFS(Sweep!$X$5:$X$41,Sweep!$A$5:$A$41,"Box wing",Sweep!$B$5:$B$41,$A67,Sweep!$C$5:$C$41,0.1)</f>
        <v>133.62967568068</v>
      </c>
      <c r="E67" s="16" t="n">
        <f aca="false">SUMIFS(Sweep!$X$5:$X$41,Sweep!$A$5:$A$41,"Box wing",Sweep!$B$5:$B$41,$A67,Sweep!$C$5:$C$41,0.15)</f>
        <v>133.62967568068</v>
      </c>
      <c r="F67" s="16" t="n">
        <f aca="false">SUMIFS(Sweep!$X$5:$X$41,Sweep!$A$5:$A$41,"Box wing",Sweep!$B$5:$B$41,$A67,Sweep!$C$5:$C$41,0.2)</f>
        <v>133.62967568068</v>
      </c>
      <c r="G67" s="16" t="n">
        <f aca="false">SUMIFS(Sweep!$X$5:$X$41,Sweep!$A$5:$A$41,"Box wing",Sweep!$B$5:$B$41,$A67,Sweep!$C$5:$C$41,0.25)</f>
        <v>133.62967568068</v>
      </c>
    </row>
    <row r="68" customFormat="false" ht="15" hidden="false" customHeight="false" outlineLevel="0" collapsed="false">
      <c r="A68" s="33" t="n">
        <v>60</v>
      </c>
      <c r="B68" s="16" t="n">
        <f aca="false">SUMIFS(Sweep!$X$5:$X$41,Sweep!$A$5:$A$41,"Conventional",Sweep!$B$5:$B$41,$A68)</f>
        <v>128.387239561919</v>
      </c>
      <c r="C68" s="16" t="n">
        <f aca="false">SUMIFS(Sweep!$X$5:$X$41,Sweep!$A$5:$A$41,"Box wing",Sweep!$B$5:$B$41,$A68,Sweep!$C$5:$C$41,0.05)</f>
        <v>133.62967568068</v>
      </c>
      <c r="D68" s="16" t="n">
        <f aca="false">SUMIFS(Sweep!$X$5:$X$41,Sweep!$A$5:$A$41,"Box wing",Sweep!$B$5:$B$41,$A68,Sweep!$C$5:$C$41,0.1)</f>
        <v>133.62967568068</v>
      </c>
      <c r="E68" s="16" t="n">
        <f aca="false">SUMIFS(Sweep!$X$5:$X$41,Sweep!$A$5:$A$41,"Box wing",Sweep!$B$5:$B$41,$A68,Sweep!$C$5:$C$41,0.15)</f>
        <v>133.62967568068</v>
      </c>
      <c r="F68" s="16" t="n">
        <f aca="false">SUMIFS(Sweep!$X$5:$X$41,Sweep!$A$5:$A$41,"Box wing",Sweep!$B$5:$B$41,$A68,Sweep!$C$5:$C$41,0.2)</f>
        <v>133.62967568068</v>
      </c>
      <c r="G68" s="16" t="n">
        <f aca="false">SUMIFS(Sweep!$X$5:$X$41,Sweep!$A$5:$A$41,"Box wing",Sweep!$B$5:$B$41,$A68,Sweep!$C$5:$C$41,0.25)</f>
        <v>133.62967568068</v>
      </c>
    </row>
    <row r="69" customFormat="false" ht="15" hidden="false" customHeight="false" outlineLevel="0" collapsed="false">
      <c r="A69" s="33" t="n">
        <v>62</v>
      </c>
      <c r="B69" s="16" t="n">
        <f aca="false">SUMIFS(Sweep!$X$5:$X$41,Sweep!$A$5:$A$41,"Conventional",Sweep!$B$5:$B$41,$A69)</f>
        <v>128.387239561919</v>
      </c>
      <c r="C69" s="16" t="n">
        <f aca="false">SUMIFS(Sweep!$X$5:$X$41,Sweep!$A$5:$A$41,"Box wing",Sweep!$B$5:$B$41,$A69,Sweep!$C$5:$C$41,0.05)</f>
        <v>133.62967568068</v>
      </c>
      <c r="D69" s="16" t="n">
        <f aca="false">SUMIFS(Sweep!$X$5:$X$41,Sweep!$A$5:$A$41,"Box wing",Sweep!$B$5:$B$41,$A69,Sweep!$C$5:$C$41,0.1)</f>
        <v>133.62967568068</v>
      </c>
      <c r="E69" s="16" t="n">
        <f aca="false">SUMIFS(Sweep!$X$5:$X$41,Sweep!$A$5:$A$41,"Box wing",Sweep!$B$5:$B$41,$A69,Sweep!$C$5:$C$41,0.15)</f>
        <v>133.62967568068</v>
      </c>
      <c r="F69" s="16" t="n">
        <f aca="false">SUMIFS(Sweep!$X$5:$X$41,Sweep!$A$5:$A$41,"Box wing",Sweep!$B$5:$B$41,$A69,Sweep!$C$5:$C$41,0.2)</f>
        <v>133.62967568068</v>
      </c>
      <c r="G69" s="16" t="n">
        <f aca="false">SUMIFS(Sweep!$X$5:$X$41,Sweep!$A$5:$A$41,"Box wing",Sweep!$B$5:$B$41,$A69,Sweep!$C$5:$C$41,0.25)</f>
        <v>133.62967568068</v>
      </c>
    </row>
    <row r="70" customFormat="false" ht="15" hidden="false" customHeight="false" outlineLevel="0" collapsed="false">
      <c r="A70" s="33" t="n">
        <v>64</v>
      </c>
      <c r="B70" s="16" t="n">
        <f aca="false">SUMIFS(Sweep!$X$5:$X$41,Sweep!$A$5:$A$41,"Conventional",Sweep!$B$5:$B$41,$A70)</f>
        <v>128.387239561919</v>
      </c>
      <c r="C70" s="16" t="n">
        <f aca="false">SUMIFS(Sweep!$X$5:$X$41,Sweep!$A$5:$A$41,"Box wing",Sweep!$B$5:$B$41,$A70,Sweep!$C$5:$C$41,0.05)</f>
        <v>133.62967568068</v>
      </c>
      <c r="D70" s="16" t="n">
        <f aca="false">SUMIFS(Sweep!$X$5:$X$41,Sweep!$A$5:$A$41,"Box wing",Sweep!$B$5:$B$41,$A70,Sweep!$C$5:$C$41,0.1)</f>
        <v>133.62967568068</v>
      </c>
      <c r="E70" s="16" t="n">
        <f aca="false">SUMIFS(Sweep!$X$5:$X$41,Sweep!$A$5:$A$41,"Box wing",Sweep!$B$5:$B$41,$A70,Sweep!$C$5:$C$41,0.15)</f>
        <v>133.62967568068</v>
      </c>
      <c r="F70" s="16" t="n">
        <f aca="false">SUMIFS(Sweep!$X$5:$X$41,Sweep!$A$5:$A$41,"Box wing",Sweep!$B$5:$B$41,$A70,Sweep!$C$5:$C$41,0.2)</f>
        <v>133.62967568068</v>
      </c>
      <c r="G70" s="16" t="n">
        <f aca="false">SUMIFS(Sweep!$X$5:$X$41,Sweep!$A$5:$A$41,"Box wing",Sweep!$B$5:$B$41,$A70,Sweep!$C$5:$C$41,0.25)</f>
        <v>133.62967568068</v>
      </c>
    </row>
    <row r="71" customFormat="false" ht="15" hidden="false" customHeight="false" outlineLevel="0" collapsed="false">
      <c r="A71" s="33" t="n">
        <v>65</v>
      </c>
      <c r="B71" s="16" t="n">
        <f aca="false">SUMIFS(Sweep!$X$5:$X$41,Sweep!$A$5:$A$41,"Conventional",Sweep!$B$5:$B$41,$A71)</f>
        <v>128.387239561919</v>
      </c>
      <c r="C71" s="16" t="n">
        <f aca="false">SUMIFS(Sweep!$X$5:$X$41,Sweep!$A$5:$A$41,"Box wing",Sweep!$B$5:$B$41,$A71,Sweep!$C$5:$C$41,0.05)</f>
        <v>133.62967568068</v>
      </c>
      <c r="D71" s="16" t="n">
        <f aca="false">SUMIFS(Sweep!$X$5:$X$41,Sweep!$A$5:$A$41,"Box wing",Sweep!$B$5:$B$41,$A71,Sweep!$C$5:$C$41,0.1)</f>
        <v>133.62967568068</v>
      </c>
      <c r="E71" s="16" t="n">
        <f aca="false">SUMIFS(Sweep!$X$5:$X$41,Sweep!$A$5:$A$41,"Box wing",Sweep!$B$5:$B$41,$A71,Sweep!$C$5:$C$41,0.15)</f>
        <v>133.62967568068</v>
      </c>
      <c r="F71" s="16" t="n">
        <f aca="false">SUMIFS(Sweep!$X$5:$X$41,Sweep!$A$5:$A$41,"Box wing",Sweep!$B$5:$B$41,$A71,Sweep!$C$5:$C$41,0.2)</f>
        <v>133.62967568068</v>
      </c>
      <c r="G71" s="16" t="n">
        <f aca="false">SUMIFS(Sweep!$X$5:$X$41,Sweep!$A$5:$A$41,"Box wing",Sweep!$B$5:$B$41,$A71,Sweep!$C$5:$C$41,0.25)</f>
        <v>133.62967568068</v>
      </c>
    </row>
  </sheetData>
  <conditionalFormatting sqref="B6:G11">
    <cfRule type="colorScale" priority="2">
      <colorScale>
        <cfvo type="min" val="0"/>
        <cfvo type="num" val="0"/>
        <cfvo type="max" val="0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8" min="15" style="0" width="9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0"/>
    <col collapsed="false" customWidth="true" hidden="false" outlineLevel="0" max="24" min="23" style="0" width="11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9"/>
    <col collapsed="false" customWidth="true" hidden="true" outlineLevel="1" max="378" min="29" style="0" width="13"/>
  </cols>
  <sheetData>
    <row r="1" customFormat="false" ht="16.15" hidden="false" customHeight="false" outlineLevel="0" collapsed="false">
      <c r="A1" s="4" t="s">
        <v>514</v>
      </c>
    </row>
    <row r="2" customFormat="false" ht="15" hidden="false" customHeight="false" outlineLevel="0" collapsed="false">
      <c r="A2" s="0" t="s">
        <v>515</v>
      </c>
    </row>
    <row r="3" customFormat="false" ht="15" hidden="false" customHeight="false" outlineLevel="0" collapsed="false">
      <c r="A3" s="0" t="s">
        <v>507</v>
      </c>
      <c r="B3" s="8" t="n">
        <v>64</v>
      </c>
      <c r="C3" s="9" t="s">
        <v>124</v>
      </c>
      <c r="D3" s="8" t="n">
        <v>0.15</v>
      </c>
    </row>
    <row r="4" customFormat="false" ht="57.75" hidden="false" customHeight="true" outlineLevel="0" collapsed="false">
      <c r="A4" s="10" t="s">
        <v>516</v>
      </c>
      <c r="B4" s="10" t="s">
        <v>123</v>
      </c>
      <c r="C4" s="10" t="s">
        <v>124</v>
      </c>
      <c r="D4" s="10" t="s">
        <v>125</v>
      </c>
      <c r="E4" s="10" t="s">
        <v>126</v>
      </c>
      <c r="F4" s="10" t="s">
        <v>127</v>
      </c>
      <c r="G4" s="10" t="s">
        <v>128</v>
      </c>
      <c r="H4" s="10" t="s">
        <v>129</v>
      </c>
      <c r="I4" s="10" t="s">
        <v>130</v>
      </c>
      <c r="J4" s="10" t="s">
        <v>131</v>
      </c>
      <c r="K4" s="10" t="s">
        <v>132</v>
      </c>
      <c r="L4" s="10" t="s">
        <v>133</v>
      </c>
      <c r="M4" s="10" t="s">
        <v>134</v>
      </c>
      <c r="N4" s="10" t="s">
        <v>135</v>
      </c>
      <c r="O4" s="10" t="s">
        <v>136</v>
      </c>
      <c r="P4" s="10" t="s">
        <v>137</v>
      </c>
      <c r="Q4" s="10" t="s">
        <v>138</v>
      </c>
      <c r="R4" s="10" t="s">
        <v>139</v>
      </c>
      <c r="S4" s="10" t="s">
        <v>140</v>
      </c>
      <c r="T4" s="10" t="s">
        <v>141</v>
      </c>
      <c r="U4" s="10" t="s">
        <v>142</v>
      </c>
      <c r="V4" s="10" t="s">
        <v>143</v>
      </c>
      <c r="W4" s="10" t="s">
        <v>144</v>
      </c>
      <c r="X4" s="10" t="s">
        <v>145</v>
      </c>
      <c r="Y4" s="10" t="s">
        <v>146</v>
      </c>
      <c r="Z4" s="10" t="s">
        <v>147</v>
      </c>
      <c r="AA4" s="10" t="s">
        <v>148</v>
      </c>
      <c r="AC4" s="11" t="s">
        <v>149</v>
      </c>
      <c r="AD4" s="11" t="s">
        <v>150</v>
      </c>
      <c r="AE4" s="11" t="s">
        <v>151</v>
      </c>
      <c r="AF4" s="11" t="s">
        <v>152</v>
      </c>
      <c r="AG4" s="11" t="s">
        <v>153</v>
      </c>
      <c r="AH4" s="11" t="s">
        <v>154</v>
      </c>
      <c r="AI4" s="11" t="s">
        <v>155</v>
      </c>
      <c r="AJ4" s="11" t="s">
        <v>156</v>
      </c>
      <c r="AK4" s="11" t="s">
        <v>157</v>
      </c>
      <c r="AL4" s="11" t="s">
        <v>158</v>
      </c>
      <c r="AM4" s="11" t="s">
        <v>159</v>
      </c>
      <c r="AN4" s="11" t="s">
        <v>160</v>
      </c>
      <c r="AO4" s="11" t="s">
        <v>161</v>
      </c>
      <c r="AP4" s="11" t="s">
        <v>162</v>
      </c>
      <c r="AQ4" s="11" t="s">
        <v>163</v>
      </c>
      <c r="AR4" s="11" t="s">
        <v>164</v>
      </c>
      <c r="AS4" s="11" t="s">
        <v>165</v>
      </c>
      <c r="AT4" s="11" t="s">
        <v>166</v>
      </c>
      <c r="AU4" s="11" t="s">
        <v>167</v>
      </c>
      <c r="AV4" s="11" t="s">
        <v>168</v>
      </c>
      <c r="AW4" s="11" t="s">
        <v>169</v>
      </c>
      <c r="AX4" s="11" t="s">
        <v>170</v>
      </c>
      <c r="AY4" s="11" t="s">
        <v>171</v>
      </c>
      <c r="AZ4" s="11" t="s">
        <v>172</v>
      </c>
      <c r="BA4" s="11" t="s">
        <v>173</v>
      </c>
      <c r="BB4" s="11" t="s">
        <v>174</v>
      </c>
      <c r="BC4" s="11" t="s">
        <v>175</v>
      </c>
      <c r="BD4" s="11" t="s">
        <v>176</v>
      </c>
      <c r="BE4" s="11" t="s">
        <v>177</v>
      </c>
      <c r="BF4" s="11" t="s">
        <v>178</v>
      </c>
      <c r="BG4" s="11" t="s">
        <v>179</v>
      </c>
      <c r="BH4" s="11" t="s">
        <v>180</v>
      </c>
      <c r="BI4" s="11" t="s">
        <v>181</v>
      </c>
      <c r="BJ4" s="11" t="s">
        <v>182</v>
      </c>
      <c r="BK4" s="11" t="s">
        <v>183</v>
      </c>
      <c r="BL4" s="11" t="s">
        <v>184</v>
      </c>
      <c r="BM4" s="11" t="s">
        <v>185</v>
      </c>
      <c r="BN4" s="11" t="s">
        <v>186</v>
      </c>
      <c r="BO4" s="11" t="s">
        <v>187</v>
      </c>
      <c r="BP4" s="11" t="s">
        <v>188</v>
      </c>
      <c r="BQ4" s="11" t="s">
        <v>189</v>
      </c>
      <c r="BR4" s="11" t="s">
        <v>190</v>
      </c>
      <c r="BS4" s="11" t="s">
        <v>191</v>
      </c>
      <c r="BT4" s="11" t="s">
        <v>192</v>
      </c>
      <c r="BU4" s="11" t="s">
        <v>193</v>
      </c>
      <c r="BV4" s="11" t="s">
        <v>194</v>
      </c>
      <c r="BW4" s="11" t="s">
        <v>195</v>
      </c>
      <c r="BX4" s="11" t="s">
        <v>196</v>
      </c>
      <c r="BY4" s="11" t="s">
        <v>197</v>
      </c>
      <c r="BZ4" s="11" t="s">
        <v>198</v>
      </c>
      <c r="CA4" s="11" t="s">
        <v>199</v>
      </c>
      <c r="CB4" s="11" t="s">
        <v>200</v>
      </c>
      <c r="CC4" s="11" t="s">
        <v>201</v>
      </c>
      <c r="CD4" s="11" t="s">
        <v>202</v>
      </c>
      <c r="CE4" s="11" t="s">
        <v>203</v>
      </c>
      <c r="CF4" s="11" t="s">
        <v>204</v>
      </c>
      <c r="CG4" s="11" t="s">
        <v>205</v>
      </c>
      <c r="CH4" s="11" t="s">
        <v>206</v>
      </c>
      <c r="CI4" s="11" t="s">
        <v>207</v>
      </c>
      <c r="CJ4" s="11" t="s">
        <v>208</v>
      </c>
      <c r="CK4" s="11" t="s">
        <v>209</v>
      </c>
      <c r="CL4" s="11" t="s">
        <v>210</v>
      </c>
      <c r="CM4" s="11" t="s">
        <v>211</v>
      </c>
      <c r="CN4" s="11" t="s">
        <v>212</v>
      </c>
      <c r="CO4" s="11" t="s">
        <v>213</v>
      </c>
      <c r="CP4" s="11" t="s">
        <v>214</v>
      </c>
      <c r="CQ4" s="11" t="s">
        <v>215</v>
      </c>
      <c r="CR4" s="11" t="s">
        <v>216</v>
      </c>
      <c r="CS4" s="11" t="s">
        <v>217</v>
      </c>
      <c r="CT4" s="11" t="s">
        <v>218</v>
      </c>
      <c r="CU4" s="11" t="s">
        <v>219</v>
      </c>
      <c r="CV4" s="11" t="s">
        <v>220</v>
      </c>
      <c r="CW4" s="11" t="s">
        <v>221</v>
      </c>
      <c r="CX4" s="11" t="s">
        <v>222</v>
      </c>
      <c r="CY4" s="11" t="s">
        <v>223</v>
      </c>
      <c r="CZ4" s="11" t="s">
        <v>224</v>
      </c>
      <c r="DA4" s="11" t="s">
        <v>225</v>
      </c>
      <c r="DB4" s="11" t="s">
        <v>226</v>
      </c>
      <c r="DC4" s="11" t="s">
        <v>227</v>
      </c>
      <c r="DD4" s="11" t="s">
        <v>228</v>
      </c>
      <c r="DE4" s="11" t="s">
        <v>229</v>
      </c>
      <c r="DF4" s="11" t="s">
        <v>230</v>
      </c>
      <c r="DG4" s="11" t="s">
        <v>231</v>
      </c>
      <c r="DH4" s="11" t="s">
        <v>232</v>
      </c>
      <c r="DI4" s="11" t="s">
        <v>233</v>
      </c>
      <c r="DJ4" s="11" t="s">
        <v>234</v>
      </c>
      <c r="DK4" s="11" t="s">
        <v>235</v>
      </c>
      <c r="DL4" s="11" t="s">
        <v>236</v>
      </c>
      <c r="DM4" s="11" t="s">
        <v>237</v>
      </c>
      <c r="DN4" s="11" t="s">
        <v>238</v>
      </c>
      <c r="DO4" s="11" t="s">
        <v>239</v>
      </c>
      <c r="DP4" s="11" t="s">
        <v>240</v>
      </c>
      <c r="DQ4" s="11" t="s">
        <v>241</v>
      </c>
      <c r="DR4" s="11" t="s">
        <v>242</v>
      </c>
      <c r="DS4" s="11" t="s">
        <v>243</v>
      </c>
      <c r="DT4" s="11" t="s">
        <v>244</v>
      </c>
      <c r="DU4" s="11" t="s">
        <v>245</v>
      </c>
      <c r="DV4" s="11" t="s">
        <v>246</v>
      </c>
      <c r="DW4" s="11" t="s">
        <v>247</v>
      </c>
      <c r="DX4" s="11" t="s">
        <v>248</v>
      </c>
      <c r="DY4" s="11" t="s">
        <v>249</v>
      </c>
      <c r="DZ4" s="11" t="s">
        <v>250</v>
      </c>
      <c r="EA4" s="11" t="s">
        <v>251</v>
      </c>
      <c r="EB4" s="11" t="s">
        <v>252</v>
      </c>
      <c r="EC4" s="11" t="s">
        <v>253</v>
      </c>
      <c r="ED4" s="11" t="s">
        <v>254</v>
      </c>
      <c r="EE4" s="11" t="s">
        <v>255</v>
      </c>
      <c r="EF4" s="11" t="s">
        <v>256</v>
      </c>
      <c r="EG4" s="11" t="s">
        <v>257</v>
      </c>
      <c r="EH4" s="11" t="s">
        <v>258</v>
      </c>
      <c r="EI4" s="11" t="s">
        <v>259</v>
      </c>
      <c r="EJ4" s="11" t="s">
        <v>260</v>
      </c>
      <c r="EK4" s="11" t="s">
        <v>261</v>
      </c>
      <c r="EL4" s="11" t="s">
        <v>262</v>
      </c>
      <c r="EM4" s="11" t="s">
        <v>263</v>
      </c>
      <c r="EN4" s="11" t="s">
        <v>264</v>
      </c>
      <c r="EO4" s="11" t="s">
        <v>265</v>
      </c>
      <c r="EP4" s="11" t="s">
        <v>266</v>
      </c>
      <c r="EQ4" s="11" t="s">
        <v>267</v>
      </c>
      <c r="ER4" s="11" t="s">
        <v>268</v>
      </c>
      <c r="ES4" s="11" t="s">
        <v>269</v>
      </c>
      <c r="ET4" s="11" t="s">
        <v>270</v>
      </c>
      <c r="EU4" s="11" t="s">
        <v>271</v>
      </c>
      <c r="EV4" s="11" t="s">
        <v>272</v>
      </c>
      <c r="EW4" s="11" t="s">
        <v>273</v>
      </c>
      <c r="EX4" s="11" t="s">
        <v>274</v>
      </c>
      <c r="EY4" s="11" t="s">
        <v>275</v>
      </c>
      <c r="EZ4" s="11" t="s">
        <v>276</v>
      </c>
      <c r="FA4" s="11" t="s">
        <v>277</v>
      </c>
      <c r="FB4" s="11" t="s">
        <v>278</v>
      </c>
      <c r="FC4" s="11" t="s">
        <v>279</v>
      </c>
      <c r="FD4" s="11" t="s">
        <v>280</v>
      </c>
      <c r="FE4" s="11" t="s">
        <v>281</v>
      </c>
      <c r="FF4" s="11" t="s">
        <v>282</v>
      </c>
      <c r="FG4" s="11" t="s">
        <v>283</v>
      </c>
      <c r="FH4" s="11" t="s">
        <v>284</v>
      </c>
      <c r="FI4" s="11" t="s">
        <v>285</v>
      </c>
      <c r="FJ4" s="11" t="s">
        <v>286</v>
      </c>
      <c r="FK4" s="11" t="s">
        <v>287</v>
      </c>
      <c r="FL4" s="11" t="s">
        <v>288</v>
      </c>
      <c r="FM4" s="11" t="s">
        <v>289</v>
      </c>
      <c r="FN4" s="11" t="s">
        <v>290</v>
      </c>
      <c r="FO4" s="11" t="s">
        <v>291</v>
      </c>
      <c r="FP4" s="11" t="s">
        <v>292</v>
      </c>
      <c r="FQ4" s="11" t="s">
        <v>293</v>
      </c>
      <c r="FR4" s="11" t="s">
        <v>294</v>
      </c>
      <c r="FS4" s="11" t="s">
        <v>295</v>
      </c>
      <c r="FT4" s="11" t="s">
        <v>296</v>
      </c>
      <c r="FU4" s="11" t="s">
        <v>297</v>
      </c>
      <c r="FV4" s="11" t="s">
        <v>298</v>
      </c>
      <c r="FW4" s="11" t="s">
        <v>299</v>
      </c>
      <c r="FX4" s="11" t="s">
        <v>300</v>
      </c>
      <c r="FY4" s="11" t="s">
        <v>301</v>
      </c>
      <c r="FZ4" s="11" t="s">
        <v>302</v>
      </c>
      <c r="GA4" s="11" t="s">
        <v>303</v>
      </c>
      <c r="GB4" s="11" t="s">
        <v>304</v>
      </c>
      <c r="GC4" s="11" t="s">
        <v>305</v>
      </c>
      <c r="GD4" s="11" t="s">
        <v>306</v>
      </c>
      <c r="GE4" s="11" t="s">
        <v>307</v>
      </c>
      <c r="GF4" s="11" t="s">
        <v>308</v>
      </c>
      <c r="GG4" s="11" t="s">
        <v>309</v>
      </c>
      <c r="GH4" s="11" t="s">
        <v>310</v>
      </c>
      <c r="GI4" s="11" t="s">
        <v>311</v>
      </c>
      <c r="GJ4" s="11" t="s">
        <v>312</v>
      </c>
      <c r="GK4" s="11" t="s">
        <v>313</v>
      </c>
      <c r="GL4" s="11" t="s">
        <v>314</v>
      </c>
      <c r="GM4" s="11" t="s">
        <v>315</v>
      </c>
      <c r="GN4" s="11" t="s">
        <v>316</v>
      </c>
      <c r="GO4" s="11" t="s">
        <v>317</v>
      </c>
      <c r="GP4" s="11" t="s">
        <v>318</v>
      </c>
      <c r="GQ4" s="11" t="s">
        <v>319</v>
      </c>
      <c r="GR4" s="11" t="s">
        <v>320</v>
      </c>
      <c r="GS4" s="11" t="s">
        <v>321</v>
      </c>
      <c r="GT4" s="11" t="s">
        <v>322</v>
      </c>
      <c r="GU4" s="11" t="s">
        <v>323</v>
      </c>
      <c r="GV4" s="11" t="s">
        <v>324</v>
      </c>
      <c r="GW4" s="11" t="s">
        <v>325</v>
      </c>
      <c r="GX4" s="11" t="s">
        <v>326</v>
      </c>
      <c r="GY4" s="11" t="s">
        <v>327</v>
      </c>
      <c r="GZ4" s="11" t="s">
        <v>328</v>
      </c>
      <c r="HA4" s="11" t="s">
        <v>329</v>
      </c>
      <c r="HB4" s="11" t="s">
        <v>330</v>
      </c>
      <c r="HC4" s="11" t="s">
        <v>331</v>
      </c>
      <c r="HD4" s="11" t="s">
        <v>332</v>
      </c>
      <c r="HE4" s="11" t="s">
        <v>333</v>
      </c>
      <c r="HF4" s="11" t="s">
        <v>334</v>
      </c>
      <c r="HG4" s="11" t="s">
        <v>335</v>
      </c>
      <c r="HH4" s="11" t="s">
        <v>336</v>
      </c>
      <c r="HI4" s="11" t="s">
        <v>337</v>
      </c>
      <c r="HJ4" s="11" t="s">
        <v>338</v>
      </c>
      <c r="HK4" s="11" t="s">
        <v>339</v>
      </c>
      <c r="HL4" s="11" t="s">
        <v>340</v>
      </c>
      <c r="HM4" s="11" t="s">
        <v>341</v>
      </c>
      <c r="HN4" s="11" t="s">
        <v>342</v>
      </c>
      <c r="HO4" s="11" t="s">
        <v>343</v>
      </c>
      <c r="HP4" s="11" t="s">
        <v>344</v>
      </c>
      <c r="HQ4" s="11" t="s">
        <v>345</v>
      </c>
      <c r="HR4" s="11" t="s">
        <v>346</v>
      </c>
      <c r="HS4" s="11" t="s">
        <v>347</v>
      </c>
      <c r="HT4" s="11" t="s">
        <v>348</v>
      </c>
      <c r="HU4" s="11" t="s">
        <v>349</v>
      </c>
      <c r="HV4" s="11" t="s">
        <v>350</v>
      </c>
      <c r="HW4" s="11" t="s">
        <v>351</v>
      </c>
      <c r="HX4" s="11" t="s">
        <v>352</v>
      </c>
      <c r="HY4" s="11" t="s">
        <v>353</v>
      </c>
      <c r="HZ4" s="11" t="s">
        <v>354</v>
      </c>
      <c r="IA4" s="11" t="s">
        <v>355</v>
      </c>
      <c r="IB4" s="11" t="s">
        <v>356</v>
      </c>
      <c r="IC4" s="11" t="s">
        <v>357</v>
      </c>
      <c r="ID4" s="11" t="s">
        <v>358</v>
      </c>
      <c r="IE4" s="11" t="s">
        <v>359</v>
      </c>
      <c r="IF4" s="11" t="s">
        <v>360</v>
      </c>
      <c r="IG4" s="11" t="s">
        <v>361</v>
      </c>
      <c r="IH4" s="11" t="s">
        <v>362</v>
      </c>
      <c r="II4" s="11" t="s">
        <v>363</v>
      </c>
      <c r="IJ4" s="11" t="s">
        <v>364</v>
      </c>
      <c r="IK4" s="11" t="s">
        <v>365</v>
      </c>
      <c r="IL4" s="11" t="s">
        <v>366</v>
      </c>
      <c r="IM4" s="11" t="s">
        <v>367</v>
      </c>
      <c r="IN4" s="11" t="s">
        <v>368</v>
      </c>
      <c r="IO4" s="11" t="s">
        <v>369</v>
      </c>
      <c r="IP4" s="11" t="s">
        <v>370</v>
      </c>
      <c r="IQ4" s="11" t="s">
        <v>371</v>
      </c>
      <c r="IR4" s="11" t="s">
        <v>372</v>
      </c>
      <c r="IS4" s="11" t="s">
        <v>373</v>
      </c>
      <c r="IT4" s="11" t="s">
        <v>374</v>
      </c>
      <c r="IU4" s="11" t="s">
        <v>375</v>
      </c>
      <c r="IV4" s="11" t="s">
        <v>376</v>
      </c>
      <c r="IW4" s="11" t="s">
        <v>377</v>
      </c>
      <c r="IX4" s="11" t="s">
        <v>378</v>
      </c>
      <c r="IY4" s="11" t="s">
        <v>379</v>
      </c>
      <c r="IZ4" s="11" t="s">
        <v>380</v>
      </c>
      <c r="JA4" s="11" t="s">
        <v>381</v>
      </c>
      <c r="JB4" s="11" t="s">
        <v>382</v>
      </c>
      <c r="JC4" s="11" t="s">
        <v>383</v>
      </c>
      <c r="JD4" s="11" t="s">
        <v>384</v>
      </c>
      <c r="JE4" s="11" t="s">
        <v>385</v>
      </c>
      <c r="JF4" s="11" t="s">
        <v>386</v>
      </c>
      <c r="JG4" s="11" t="s">
        <v>387</v>
      </c>
      <c r="JH4" s="11" t="s">
        <v>388</v>
      </c>
      <c r="JI4" s="11" t="s">
        <v>389</v>
      </c>
      <c r="JJ4" s="11" t="s">
        <v>390</v>
      </c>
      <c r="JK4" s="11" t="s">
        <v>391</v>
      </c>
      <c r="JL4" s="11" t="s">
        <v>392</v>
      </c>
      <c r="JM4" s="11" t="s">
        <v>393</v>
      </c>
      <c r="JN4" s="11" t="s">
        <v>394</v>
      </c>
      <c r="JO4" s="11" t="s">
        <v>395</v>
      </c>
      <c r="JP4" s="11" t="s">
        <v>396</v>
      </c>
      <c r="JQ4" s="11" t="s">
        <v>397</v>
      </c>
      <c r="JR4" s="11" t="s">
        <v>398</v>
      </c>
      <c r="JS4" s="11" t="s">
        <v>399</v>
      </c>
      <c r="JT4" s="11" t="s">
        <v>400</v>
      </c>
      <c r="JU4" s="11" t="s">
        <v>401</v>
      </c>
      <c r="JV4" s="11" t="s">
        <v>402</v>
      </c>
      <c r="JW4" s="11" t="s">
        <v>403</v>
      </c>
      <c r="JX4" s="11" t="s">
        <v>404</v>
      </c>
      <c r="JY4" s="11" t="s">
        <v>405</v>
      </c>
      <c r="JZ4" s="11" t="s">
        <v>406</v>
      </c>
      <c r="KA4" s="11" t="s">
        <v>407</v>
      </c>
      <c r="KB4" s="11" t="s">
        <v>408</v>
      </c>
      <c r="KC4" s="11" t="s">
        <v>409</v>
      </c>
      <c r="KD4" s="11" t="s">
        <v>410</v>
      </c>
      <c r="KE4" s="11" t="s">
        <v>411</v>
      </c>
      <c r="KF4" s="11" t="s">
        <v>412</v>
      </c>
      <c r="KG4" s="11" t="s">
        <v>413</v>
      </c>
      <c r="KH4" s="11" t="s">
        <v>414</v>
      </c>
      <c r="KI4" s="11" t="s">
        <v>415</v>
      </c>
      <c r="KJ4" s="11" t="s">
        <v>416</v>
      </c>
      <c r="KK4" s="11" t="s">
        <v>417</v>
      </c>
      <c r="KL4" s="11" t="s">
        <v>418</v>
      </c>
      <c r="KM4" s="11" t="s">
        <v>419</v>
      </c>
      <c r="KN4" s="11" t="s">
        <v>420</v>
      </c>
      <c r="KO4" s="11" t="s">
        <v>421</v>
      </c>
      <c r="KP4" s="11" t="s">
        <v>422</v>
      </c>
      <c r="KQ4" s="11" t="s">
        <v>423</v>
      </c>
      <c r="KR4" s="11" t="s">
        <v>424</v>
      </c>
      <c r="KS4" s="11" t="s">
        <v>425</v>
      </c>
      <c r="KT4" s="11" t="s">
        <v>426</v>
      </c>
      <c r="KU4" s="11" t="s">
        <v>427</v>
      </c>
      <c r="KV4" s="11" t="s">
        <v>428</v>
      </c>
      <c r="KW4" s="11" t="s">
        <v>429</v>
      </c>
      <c r="KX4" s="11" t="s">
        <v>430</v>
      </c>
      <c r="KY4" s="11" t="s">
        <v>431</v>
      </c>
      <c r="KZ4" s="11" t="s">
        <v>432</v>
      </c>
      <c r="LA4" s="11" t="s">
        <v>433</v>
      </c>
      <c r="LB4" s="11" t="s">
        <v>434</v>
      </c>
      <c r="LC4" s="11" t="s">
        <v>435</v>
      </c>
      <c r="LD4" s="11" t="s">
        <v>436</v>
      </c>
      <c r="LE4" s="11" t="s">
        <v>437</v>
      </c>
      <c r="LF4" s="11" t="s">
        <v>438</v>
      </c>
      <c r="LG4" s="11" t="s">
        <v>439</v>
      </c>
      <c r="LH4" s="11" t="s">
        <v>440</v>
      </c>
      <c r="LI4" s="11" t="s">
        <v>441</v>
      </c>
      <c r="LJ4" s="11" t="s">
        <v>442</v>
      </c>
      <c r="LK4" s="11" t="s">
        <v>443</v>
      </c>
      <c r="LL4" s="11" t="s">
        <v>444</v>
      </c>
      <c r="LM4" s="11" t="s">
        <v>445</v>
      </c>
      <c r="LN4" s="11" t="s">
        <v>446</v>
      </c>
      <c r="LO4" s="11" t="s">
        <v>447</v>
      </c>
      <c r="LP4" s="11" t="s">
        <v>448</v>
      </c>
      <c r="LQ4" s="11" t="s">
        <v>449</v>
      </c>
      <c r="LR4" s="11" t="s">
        <v>450</v>
      </c>
      <c r="LS4" s="11" t="s">
        <v>451</v>
      </c>
      <c r="LT4" s="11" t="s">
        <v>452</v>
      </c>
      <c r="LU4" s="11" t="s">
        <v>453</v>
      </c>
      <c r="LV4" s="11" t="s">
        <v>454</v>
      </c>
      <c r="LW4" s="11" t="s">
        <v>455</v>
      </c>
      <c r="LX4" s="11" t="s">
        <v>456</v>
      </c>
      <c r="LY4" s="11" t="s">
        <v>457</v>
      </c>
      <c r="LZ4" s="11" t="s">
        <v>458</v>
      </c>
      <c r="MA4" s="11" t="s">
        <v>459</v>
      </c>
      <c r="MB4" s="11" t="s">
        <v>460</v>
      </c>
      <c r="MC4" s="11" t="s">
        <v>461</v>
      </c>
      <c r="MD4" s="11" t="s">
        <v>462</v>
      </c>
      <c r="ME4" s="11" t="s">
        <v>463</v>
      </c>
      <c r="MF4" s="11" t="s">
        <v>464</v>
      </c>
      <c r="MG4" s="11" t="s">
        <v>465</v>
      </c>
      <c r="MH4" s="11" t="s">
        <v>466</v>
      </c>
      <c r="MI4" s="11" t="s">
        <v>467</v>
      </c>
      <c r="MJ4" s="11" t="s">
        <v>468</v>
      </c>
      <c r="MK4" s="11" t="s">
        <v>469</v>
      </c>
      <c r="ML4" s="11" t="s">
        <v>470</v>
      </c>
      <c r="MM4" s="11" t="s">
        <v>471</v>
      </c>
      <c r="MN4" s="11" t="s">
        <v>472</v>
      </c>
      <c r="MO4" s="11" t="s">
        <v>473</v>
      </c>
      <c r="MP4" s="11" t="s">
        <v>474</v>
      </c>
      <c r="MQ4" s="11" t="s">
        <v>475</v>
      </c>
      <c r="MR4" s="11" t="s">
        <v>476</v>
      </c>
      <c r="MS4" s="11" t="s">
        <v>477</v>
      </c>
      <c r="MT4" s="11" t="s">
        <v>478</v>
      </c>
      <c r="MU4" s="11" t="s">
        <v>479</v>
      </c>
      <c r="MV4" s="11" t="s">
        <v>480</v>
      </c>
      <c r="MW4" s="11" t="s">
        <v>481</v>
      </c>
      <c r="MX4" s="11" t="s">
        <v>482</v>
      </c>
      <c r="MY4" s="11" t="s">
        <v>483</v>
      </c>
      <c r="MZ4" s="11" t="s">
        <v>484</v>
      </c>
      <c r="NA4" s="11" t="s">
        <v>485</v>
      </c>
      <c r="NB4" s="11" t="s">
        <v>486</v>
      </c>
      <c r="NC4" s="11" t="s">
        <v>487</v>
      </c>
      <c r="ND4" s="11" t="s">
        <v>488</v>
      </c>
      <c r="NE4" s="11" t="s">
        <v>489</v>
      </c>
      <c r="NF4" s="11" t="s">
        <v>490</v>
      </c>
      <c r="NG4" s="11" t="s">
        <v>491</v>
      </c>
      <c r="NH4" s="11" t="s">
        <v>492</v>
      </c>
      <c r="NI4" s="11" t="s">
        <v>493</v>
      </c>
      <c r="NJ4" s="11" t="s">
        <v>494</v>
      </c>
      <c r="NK4" s="11" t="s">
        <v>495</v>
      </c>
      <c r="NL4" s="11" t="s">
        <v>496</v>
      </c>
      <c r="NM4" s="11" t="s">
        <v>497</v>
      </c>
      <c r="NN4" s="11" t="s">
        <v>498</v>
      </c>
    </row>
    <row r="5" customFormat="false" ht="15" hidden="false" customHeight="false" outlineLevel="0" collapsed="false">
      <c r="A5" s="34" t="n">
        <v>0</v>
      </c>
      <c r="B5" s="21" t="n">
        <f aca="false">$B$3</f>
        <v>64</v>
      </c>
      <c r="C5" s="22" t="n">
        <f aca="false">$D$3</f>
        <v>0.15</v>
      </c>
      <c r="D5" s="23" t="n">
        <f aca="false">B5*C5</f>
        <v>9.6</v>
      </c>
      <c r="E5" s="24" t="n">
        <f aca="false">IF(C5=0,1,(1+0.45*C5)/(1.04+2.81*C5))</f>
        <v>0.73041395826206</v>
      </c>
      <c r="F5" s="24" t="n">
        <f aca="false">1+Inputs!$B$42*D5</f>
        <v>1.048</v>
      </c>
      <c r="G5" s="25" t="n">
        <f aca="false">Inputs!$B$31+Inputs!$B$43*($B$3/Inputs!$B$32-1)+0</f>
        <v>0.52</v>
      </c>
      <c r="H5" s="22" t="n">
        <f aca="false">Inputs!$B$38</f>
        <v>0.5</v>
      </c>
      <c r="I5" s="23" t="n">
        <f aca="false">Inputs!$B$40</f>
        <v>2.4</v>
      </c>
      <c r="J5" s="26" t="n">
        <f aca="false">NN5/Inputs!$B$34</f>
        <v>298.760934690824</v>
      </c>
      <c r="K5" s="23" t="n">
        <f aca="false">B5^2/J5</f>
        <v>13.709958446337</v>
      </c>
      <c r="L5" s="23" t="n">
        <f aca="false">2*K5</f>
        <v>27.419916892674</v>
      </c>
      <c r="M5" s="22" t="n">
        <f aca="false">NC5</f>
        <v>20.5662395585061</v>
      </c>
      <c r="N5" s="23" t="n">
        <f aca="false">B5/SQRT(E5)</f>
        <v>74.8851048120828</v>
      </c>
      <c r="O5" s="24" t="n">
        <f aca="false">NM5</f>
        <v>0.297998293330182</v>
      </c>
      <c r="P5" s="23" t="n">
        <f aca="false">NN5/1000</f>
        <v>179.256560814494</v>
      </c>
      <c r="Q5" s="23" t="n">
        <f aca="false">G5*NN5/1000</f>
        <v>93.213411623537</v>
      </c>
      <c r="R5" s="23" t="n">
        <f aca="false">NM5*NN5/1000</f>
        <v>53.4181491909573</v>
      </c>
      <c r="S5" s="23" t="n">
        <f aca="false">NM5*NN5/Inputs!$B$28/1000</f>
        <v>71.2241989212764</v>
      </c>
      <c r="T5" s="27" t="n">
        <f aca="false">R5/Sweep!$R$5-1</f>
        <v>-0.14526340969903</v>
      </c>
      <c r="U5" s="27" t="n">
        <f aca="false">R5/SUMIFS(Sweep!$R:$R,Sweep!$A:$A,"Conventional",Sweep!$B:$B,B5)-1</f>
        <v>-0.145263409699313</v>
      </c>
      <c r="V5" s="26" t="n">
        <f aca="false">2*0.54*(J5/2)^1.5/SQRT(L5)*Inputs!$B$46*Inputs!$B$47</f>
        <v>35.208134937144</v>
      </c>
      <c r="W5" s="28" t="n">
        <f aca="false">MIN(1,V5/S5)</f>
        <v>0.494328268627623</v>
      </c>
      <c r="X5" s="26" t="n">
        <f aca="false">1.23*SQRT(2*Inputs!$B$41*NN5*Inputs!$B$49/(1.225*J5*I5))/0.5144</f>
        <v>133.62967568068</v>
      </c>
      <c r="Y5" s="29" t="n">
        <f aca="false">(11000+6341.6*LN(0.36392/(2*Inputs!$B$50*Inputs!$B$18*(1+ND5)/2*Inputs!$B$34*Inputs!$B$49/((Inputs!$B$12*295.07)^2*H5))))/0.3048</f>
        <v>38465.3295344557</v>
      </c>
      <c r="Z5" s="26" t="n">
        <f aca="false">NN5-MZ5</f>
        <v>0</v>
      </c>
      <c r="AA5" s="30" t="str">
        <f aca="false">IF(ABS(NN5-MZ5)&lt;10,"Yes","No")</f>
        <v>Yes</v>
      </c>
      <c r="AC5" s="15" t="n">
        <f aca="false">Inputs!$B$52/(1-0.3154-G5)/Inputs!$B$34</f>
        <v>330.346294046173</v>
      </c>
      <c r="AD5" s="15" t="n">
        <f aca="false">B5^2/AC5</f>
        <v>12.3991098850575</v>
      </c>
      <c r="AE5" s="15" t="n">
        <f aca="false">Inputs!$B$54*H5/(Inputs!$B$35*F5+E5*H5^2/(PI()*AD5*Inputs!$B$36))</f>
        <v>20.0795563897318</v>
      </c>
      <c r="AF5" s="15" t="n">
        <f aca="false">EXP(-Inputs!$B$11*Inputs!$B$14*Inputs!$B$17/(Inputs!$B$51*AE5*Inputs!$B$16))</f>
        <v>0.761597798763203</v>
      </c>
      <c r="AG5" s="15" t="n">
        <f aca="false">Inputs!$B$50*Inputs!$B$18*AF5*Inputs!$B$19</f>
        <v>0.7441756622239</v>
      </c>
      <c r="AH5" s="15" t="n">
        <f aca="false">1-AG5</f>
        <v>0.2558243377761</v>
      </c>
      <c r="AI5" s="15" t="n">
        <f aca="false">Inputs!$B$20*AH5</f>
        <v>0.00767473013328299</v>
      </c>
      <c r="AJ5" s="15" t="n">
        <f aca="false">0.8*(1-Inputs!$B$50)*(AG5-AI5)</f>
        <v>0.00177394203704092</v>
      </c>
      <c r="AK5" s="15" t="n">
        <f aca="false">AG5-AI5-AJ5</f>
        <v>0.734726990053576</v>
      </c>
      <c r="AL5" s="15" t="n">
        <f aca="false">AK5*(1-Inputs!$B$18*EXP(-Inputs!$B$21*Inputs!$B$14*Inputs!$B$17/(Inputs!$B$22*Inputs!$B$23*Inputs!$B$24*AE5*Inputs!$B$16))*Inputs!$B$19)</f>
        <v>0.0261323722091611</v>
      </c>
      <c r="AM5" s="15" t="n">
        <f aca="false">(AK5-AL5)*(1-EXP(-Inputs!$B$25*Inputs!$B$14*Inputs!$B$17*Inputs!$B$26/(AE5*Inputs!$B$16/0.866)))</f>
        <v>0.00733079452034927</v>
      </c>
      <c r="AN5" s="15" t="n">
        <f aca="false">(AK5-AL5-AM5)*(1-Inputs!$B$19)</f>
        <v>0.00350631911662033</v>
      </c>
      <c r="AO5" s="15" t="n">
        <f aca="false">(AH5+AI5+AJ5+AL5+AM5+AN5)*(1+Inputs!$B$27)</f>
        <v>0.303149223279932</v>
      </c>
      <c r="AP5" s="15" t="n">
        <f aca="false">Inputs!$B$52/(1-AO5-G5)</f>
        <v>184477.561281176</v>
      </c>
      <c r="AQ5" s="15" t="n">
        <f aca="false">AP5/Inputs!$B$34</f>
        <v>307.462602135294</v>
      </c>
      <c r="AR5" s="15" t="n">
        <f aca="false">B5^2/AQ5</f>
        <v>13.3219454058924</v>
      </c>
      <c r="AS5" s="15" t="n">
        <f aca="false">Inputs!$B$54*H5/(Inputs!$B$35*F5+E5*H5^2/(PI()*AR5*Inputs!$B$36))</f>
        <v>20.4298210069198</v>
      </c>
      <c r="AT5" s="15" t="n">
        <f aca="false">EXP(-Inputs!$B$11*Inputs!$B$14*Inputs!$B$17/(Inputs!$B$51*AS5*Inputs!$B$16))</f>
        <v>0.76516212807707</v>
      </c>
      <c r="AU5" s="15" t="n">
        <f aca="false">Inputs!$B$50*Inputs!$B$18*AT5*Inputs!$B$19</f>
        <v>0.747658454758015</v>
      </c>
      <c r="AV5" s="15" t="n">
        <f aca="false">1-AU5</f>
        <v>0.252341545241985</v>
      </c>
      <c r="AW5" s="15" t="n">
        <f aca="false">Inputs!$B$20*AV5</f>
        <v>0.00757024635725955</v>
      </c>
      <c r="AX5" s="15" t="n">
        <f aca="false">0.8*(1-Inputs!$B$50)*(AU5-AW5)</f>
        <v>0.00178258237945973</v>
      </c>
      <c r="AY5" s="15" t="n">
        <f aca="false">AU5-AW5-AX5</f>
        <v>0.738305626021296</v>
      </c>
      <c r="AZ5" s="15" t="n">
        <f aca="false">AY5*(1-Inputs!$B$18*EXP(-Inputs!$B$21*Inputs!$B$14*Inputs!$B$17/(Inputs!$B$22*Inputs!$B$23*Inputs!$B$24*AS5*Inputs!$B$16))*Inputs!$B$19)</f>
        <v>0.0260632131727218</v>
      </c>
      <c r="BA5" s="15" t="n">
        <f aca="false">(AY5-AZ5)*(1-EXP(-Inputs!$B$25*Inputs!$B$14*Inputs!$B$17*Inputs!$B$26/(AS5*Inputs!$B$16/0.866)))</f>
        <v>0.00724284566373479</v>
      </c>
      <c r="BB5" s="15" t="n">
        <f aca="false">(AY5-AZ5-BA5)*(1-Inputs!$B$19)</f>
        <v>0.0035249978359242</v>
      </c>
      <c r="BC5" s="15" t="n">
        <f aca="false">(AV5+AW5+AX5+AZ5+BA5+BB5)*(1+Inputs!$B$27)</f>
        <v>0.299421006943038</v>
      </c>
      <c r="BD5" s="15" t="n">
        <f aca="false">Inputs!$B$52/(1-BC5-G5)</f>
        <v>180668.855483698</v>
      </c>
      <c r="BE5" s="15" t="n">
        <f aca="false">BD5/Inputs!$B$34</f>
        <v>301.114759139498</v>
      </c>
      <c r="BF5" s="15" t="n">
        <f aca="false">B5^2/BE5</f>
        <v>13.6027872287138</v>
      </c>
      <c r="BG5" s="15" t="n">
        <f aca="false">Inputs!$B$54*H5/(Inputs!$B$35*F5+E5*H5^2/(PI()*BF5*Inputs!$B$36))</f>
        <v>20.5291585438756</v>
      </c>
      <c r="BH5" s="15" t="n">
        <f aca="false">EXP(-Inputs!$B$11*Inputs!$B$14*Inputs!$B$17/(Inputs!$B$51*BG5*Inputs!$B$16))</f>
        <v>0.766153810659787</v>
      </c>
      <c r="BI5" s="15" t="n">
        <f aca="false">Inputs!$B$50*Inputs!$B$18*BH5*Inputs!$B$19</f>
        <v>0.748627451837454</v>
      </c>
      <c r="BJ5" s="15" t="n">
        <f aca="false">1-BI5</f>
        <v>0.251372548162546</v>
      </c>
      <c r="BK5" s="15" t="n">
        <f aca="false">Inputs!$B$20*BJ5</f>
        <v>0.00754117644487637</v>
      </c>
      <c r="BL5" s="15" t="n">
        <f aca="false">0.8*(1-Inputs!$B$50)*(BI5-BK5)</f>
        <v>0.00178498633160077</v>
      </c>
      <c r="BM5" s="15" t="n">
        <f aca="false">BI5-BK5-BL5</f>
        <v>0.739301289060977</v>
      </c>
      <c r="BN5" s="15" t="n">
        <f aca="false">BM5*(1-Inputs!$B$18*EXP(-Inputs!$B$21*Inputs!$B$14*Inputs!$B$17/(Inputs!$B$22*Inputs!$B$23*Inputs!$B$24*BG5*Inputs!$B$16))*Inputs!$B$19)</f>
        <v>0.0260437861403192</v>
      </c>
      <c r="BO5" s="15" t="n">
        <f aca="false">(BM5-BN5)*(1-EXP(-Inputs!$B$25*Inputs!$B$14*Inputs!$B$17*Inputs!$B$26/(BG5*Inputs!$B$16/0.866)))</f>
        <v>0.00721824938676589</v>
      </c>
      <c r="BP5" s="15" t="n">
        <f aca="false">(BM5-BN5-BO5)*(1-Inputs!$B$19)</f>
        <v>0.00353019626766946</v>
      </c>
      <c r="BQ5" s="15" t="n">
        <f aca="false">(BJ5+BK5+BL5+BN5+BO5+BP5)*(1+Inputs!$B$27)</f>
        <v>0.298383415561979</v>
      </c>
      <c r="BR5" s="15" t="n">
        <f aca="false">Inputs!$B$52/(1-BQ5-G5)</f>
        <v>179636.678560782</v>
      </c>
      <c r="BS5" s="15" t="n">
        <f aca="false">BR5/Inputs!$B$34</f>
        <v>299.394464267971</v>
      </c>
      <c r="BT5" s="15" t="n">
        <f aca="false">B5^2/BS5</f>
        <v>13.6809476755519</v>
      </c>
      <c r="BU5" s="15" t="n">
        <f aca="false">Inputs!$B$54*H5/(Inputs!$B$35*F5+E5*H5^2/(PI()*BT5*Inputs!$B$36))</f>
        <v>20.5562460705375</v>
      </c>
      <c r="BV5" s="15" t="n">
        <f aca="false">EXP(-Inputs!$B$11*Inputs!$B$14*Inputs!$B$17/(Inputs!$B$51*BU5*Inputs!$B$16))</f>
        <v>0.766422782519252</v>
      </c>
      <c r="BW5" s="15" t="n">
        <f aca="false">Inputs!$B$50*Inputs!$B$18*BV5*Inputs!$B$19</f>
        <v>0.748890270758363</v>
      </c>
      <c r="BX5" s="15" t="n">
        <f aca="false">1-BW5</f>
        <v>0.251109729241637</v>
      </c>
      <c r="BY5" s="15" t="n">
        <f aca="false">Inputs!$B$20*BX5</f>
        <v>0.00753329187724911</v>
      </c>
      <c r="BZ5" s="15" t="n">
        <f aca="false">0.8*(1-Inputs!$B$50)*(BW5-BY5)</f>
        <v>0.00178563835018888</v>
      </c>
      <c r="CA5" s="15" t="n">
        <f aca="false">BW5-BY5-BZ5</f>
        <v>0.739571340530925</v>
      </c>
      <c r="CB5" s="15" t="n">
        <f aca="false">CA5*(1-Inputs!$B$18*EXP(-Inputs!$B$21*Inputs!$B$14*Inputs!$B$17/(Inputs!$B$22*Inputs!$B$23*Inputs!$B$24*BU5*Inputs!$B$16))*Inputs!$B$19)</f>
        <v>0.0260385031102061</v>
      </c>
      <c r="CC5" s="15" t="n">
        <f aca="false">(CA5-CB5)*(1-EXP(-Inputs!$B$25*Inputs!$B$14*Inputs!$B$17*Inputs!$B$26/(BU5*Inputs!$B$16/0.866)))</f>
        <v>0.00721156869616036</v>
      </c>
      <c r="CD5" s="15" t="n">
        <f aca="false">(CA5-CB5-CC5)*(1-Inputs!$B$19)</f>
        <v>0.0035316063436228</v>
      </c>
      <c r="CE5" s="15" t="n">
        <f aca="false">(BX5+BY5+BZ5+CB5+CC5+CD5)*(1+Inputs!$B$27)</f>
        <v>0.298101968631921</v>
      </c>
      <c r="CF5" s="15" t="n">
        <f aca="false">Inputs!$B$52/(1-CE5-G5)</f>
        <v>179358.730573515</v>
      </c>
      <c r="CG5" s="15" t="n">
        <f aca="false">CF5/Inputs!$B$34</f>
        <v>298.931217622525</v>
      </c>
      <c r="CH5" s="15" t="n">
        <f aca="false">B5^2/CG5</f>
        <v>13.7021487169407</v>
      </c>
      <c r="CI5" s="15" t="n">
        <f aca="false">Inputs!$B$54*H5/(Inputs!$B$35*F5+E5*H5^2/(PI()*CH5*Inputs!$B$36))</f>
        <v>20.5635525090864</v>
      </c>
      <c r="CJ5" s="15" t="n">
        <f aca="false">EXP(-Inputs!$B$11*Inputs!$B$14*Inputs!$B$17/(Inputs!$B$51*CI5*Inputs!$B$16))</f>
        <v>0.766495228279876</v>
      </c>
      <c r="CK5" s="15" t="n">
        <f aca="false">Inputs!$B$50*Inputs!$B$18*CJ5*Inputs!$B$19</f>
        <v>0.748961059266385</v>
      </c>
      <c r="CL5" s="15" t="n">
        <f aca="false">1-CK5</f>
        <v>0.251038940733615</v>
      </c>
      <c r="CM5" s="15" t="n">
        <f aca="false">Inputs!$B$20*CL5</f>
        <v>0.00753116822200844</v>
      </c>
      <c r="CN5" s="15" t="n">
        <f aca="false">0.8*(1-Inputs!$B$50)*(CK5-CM5)</f>
        <v>0.00178581396700862</v>
      </c>
      <c r="CO5" s="15" t="n">
        <f aca="false">CK5-CM5-CN5</f>
        <v>0.739644077077368</v>
      </c>
      <c r="CP5" s="15" t="n">
        <f aca="false">CO5*(1-Inputs!$B$18*EXP(-Inputs!$B$21*Inputs!$B$14*Inputs!$B$17/(Inputs!$B$22*Inputs!$B$23*Inputs!$B$24*CI5*Inputs!$B$16))*Inputs!$B$19)</f>
        <v>0.0260370791497321</v>
      </c>
      <c r="CQ5" s="15" t="n">
        <f aca="false">(CO5-CP5)*(1-EXP(-Inputs!$B$25*Inputs!$B$14*Inputs!$B$17*Inputs!$B$26/(CI5*Inputs!$B$16/0.866)))</f>
        <v>0.00720976860467615</v>
      </c>
      <c r="CR5" s="15" t="n">
        <f aca="false">(CO5-CP5-CQ5)*(1-Inputs!$B$19)</f>
        <v>0.0035319861466148</v>
      </c>
      <c r="CS5" s="15" t="n">
        <f aca="false">(CL5+CM5+CN5+CP5+CQ5+CR5)*(1+Inputs!$B$27)</f>
        <v>0.298026161094126</v>
      </c>
      <c r="CT5" s="15" t="n">
        <f aca="false">Inputs!$B$52/(1-CS5-G5)</f>
        <v>179284.012450137</v>
      </c>
      <c r="CU5" s="15" t="n">
        <f aca="false">CT5/Inputs!$B$34</f>
        <v>298.806687416895</v>
      </c>
      <c r="CV5" s="15" t="n">
        <f aca="false">B5^2/CU5</f>
        <v>13.7078592029142</v>
      </c>
      <c r="CW5" s="15" t="n">
        <f aca="false">Inputs!$B$54*H5/(Inputs!$B$35*F5+E5*H5^2/(PI()*CV5*Inputs!$B$36))</f>
        <v>20.565517515594</v>
      </c>
      <c r="CX5" s="15" t="n">
        <f aca="false">EXP(-Inputs!$B$11*Inputs!$B$14*Inputs!$B$17/(Inputs!$B$51*CW5*Inputs!$B$16))</f>
        <v>0.766514704354987</v>
      </c>
      <c r="CY5" s="15" t="n">
        <f aca="false">Inputs!$B$50*Inputs!$B$18*CX5*Inputs!$B$19</f>
        <v>0.748980089811269</v>
      </c>
      <c r="CZ5" s="15" t="n">
        <f aca="false">1-CY5</f>
        <v>0.251019910188731</v>
      </c>
      <c r="DA5" s="15" t="n">
        <f aca="false">Inputs!$B$20*CZ5</f>
        <v>0.00753059730566192</v>
      </c>
      <c r="DB5" s="15" t="n">
        <f aca="false">0.8*(1-Inputs!$B$50)*(CY5-DA5)</f>
        <v>0.00178586117924495</v>
      </c>
      <c r="DC5" s="15" t="n">
        <f aca="false">CY5-DA5-DB5</f>
        <v>0.739663631326363</v>
      </c>
      <c r="DD5" s="15" t="n">
        <f aca="false">DC5*(1-Inputs!$B$18*EXP(-Inputs!$B$21*Inputs!$B$14*Inputs!$B$17/(Inputs!$B$22*Inputs!$B$23*Inputs!$B$24*CW5*Inputs!$B$16))*Inputs!$B$19)</f>
        <v>0.0260366962637505</v>
      </c>
      <c r="DE5" s="15" t="n">
        <f aca="false">(DC5-DD5)*(1-EXP(-Inputs!$B$25*Inputs!$B$14*Inputs!$B$17*Inputs!$B$26/(CW5*Inputs!$B$16/0.866)))</f>
        <v>0.00720928462401309</v>
      </c>
      <c r="DF5" s="15" t="n">
        <f aca="false">(DC5-DD5-DE5)*(1-Inputs!$B$19)</f>
        <v>0.003532088252193</v>
      </c>
      <c r="DG5" s="15" t="n">
        <f aca="false">(CZ5+DA5+DB5+DD5+DE5+DF5)*(1+Inputs!$B$27)</f>
        <v>0.298005781127035</v>
      </c>
      <c r="DH5" s="15" t="n">
        <f aca="false">Inputs!$B$52/(1-DG5-G5)</f>
        <v>179263.935975751</v>
      </c>
      <c r="DI5" s="15" t="n">
        <f aca="false">DH5/Inputs!$B$34</f>
        <v>298.773226626251</v>
      </c>
      <c r="DJ5" s="15" t="n">
        <f aca="false">B5^2/DI5</f>
        <v>13.7093944000674</v>
      </c>
      <c r="DK5" s="15" t="n">
        <f aca="false">Inputs!$B$54*H5/(Inputs!$B$35*F5+E5*H5^2/(PI()*DJ5*Inputs!$B$36))</f>
        <v>20.5660455693496</v>
      </c>
      <c r="DL5" s="15" t="n">
        <f aca="false">EXP(-Inputs!$B$11*Inputs!$B$14*Inputs!$B$17/(Inputs!$B$51*DK5*Inputs!$B$16))</f>
        <v>0.766519937586334</v>
      </c>
      <c r="DM5" s="15" t="n">
        <f aca="false">Inputs!$B$50*Inputs!$B$18*DL5*Inputs!$B$19</f>
        <v>0.748985203328417</v>
      </c>
      <c r="DN5" s="15" t="n">
        <f aca="false">1-DM5</f>
        <v>0.251014796671583</v>
      </c>
      <c r="DO5" s="15" t="n">
        <f aca="false">Inputs!$B$20*DN5</f>
        <v>0.00753044390014748</v>
      </c>
      <c r="DP5" s="15" t="n">
        <f aca="false">0.8*(1-Inputs!$B$50)*(DM5-DO5)</f>
        <v>0.00178587386519701</v>
      </c>
      <c r="DQ5" s="15" t="n">
        <f aca="false">DM5-DO5-DP5</f>
        <v>0.739668885563073</v>
      </c>
      <c r="DR5" s="15" t="n">
        <f aca="false">DQ5*(1-Inputs!$B$18*EXP(-Inputs!$B$21*Inputs!$B$14*Inputs!$B$17/(Inputs!$B$22*Inputs!$B$23*Inputs!$B$24*DK5*Inputs!$B$16))*Inputs!$B$19)</f>
        <v>0.0260365933768024</v>
      </c>
      <c r="DS5" s="15" t="n">
        <f aca="false">(DQ5-DR5)*(1-EXP(-Inputs!$B$25*Inputs!$B$14*Inputs!$B$17*Inputs!$B$26/(DK5*Inputs!$B$16/0.866)))</f>
        <v>0.00720915457454201</v>
      </c>
      <c r="DT5" s="15" t="n">
        <f aca="false">(DQ5-DR5-DS5)*(1-Inputs!$B$19)</f>
        <v>0.00353211568805865</v>
      </c>
      <c r="DU5" s="15" t="n">
        <f aca="false">(DN5+DO5+DP5+DR5+DS5+DT5)*(1+Inputs!$B$27)</f>
        <v>0.298000305010559</v>
      </c>
      <c r="DV5" s="15" t="n">
        <f aca="false">Inputs!$B$52/(1-DU5-G5)</f>
        <v>179258.542174441</v>
      </c>
      <c r="DW5" s="15" t="n">
        <f aca="false">DV5/Inputs!$B$34</f>
        <v>298.764236957401</v>
      </c>
      <c r="DX5" s="15" t="n">
        <f aca="false">B5^2/DW5</f>
        <v>13.7098069089977</v>
      </c>
      <c r="DY5" s="15" t="n">
        <f aca="false">Inputs!$B$54*H5/(Inputs!$B$35*F5+E5*H5^2/(PI()*DX5*Inputs!$B$36))</f>
        <v>20.5661874423581</v>
      </c>
      <c r="DZ5" s="15" t="n">
        <f aca="false">EXP(-Inputs!$B$11*Inputs!$B$14*Inputs!$B$17/(Inputs!$B$51*DY5*Inputs!$B$16))</f>
        <v>0.766521343566876</v>
      </c>
      <c r="EA5" s="15" t="n">
        <f aca="false">Inputs!$B$50*Inputs!$B$18*DZ5*Inputs!$B$19</f>
        <v>0.748986577146071</v>
      </c>
      <c r="EB5" s="15" t="n">
        <f aca="false">1-EA5</f>
        <v>0.251013422853929</v>
      </c>
      <c r="EC5" s="15" t="n">
        <f aca="false">Inputs!$B$20*EB5</f>
        <v>0.00753040268561787</v>
      </c>
      <c r="ED5" s="15" t="n">
        <f aca="false">0.8*(1-Inputs!$B$50)*(EA5-EC5)</f>
        <v>0.00178587727345484</v>
      </c>
      <c r="EE5" s="15" t="n">
        <f aca="false">EA5-EC5-ED5</f>
        <v>0.739670297186998</v>
      </c>
      <c r="EF5" s="15" t="n">
        <f aca="false">EE5*(1-Inputs!$B$18*EXP(-Inputs!$B$21*Inputs!$B$14*Inputs!$B$17/(Inputs!$B$22*Inputs!$B$23*Inputs!$B$24*DY5*Inputs!$B$16))*Inputs!$B$19)</f>
        <v>0.026036565734408</v>
      </c>
      <c r="EG5" s="15" t="n">
        <f aca="false">(EE5-EF5)*(1-EXP(-Inputs!$B$25*Inputs!$B$14*Inputs!$B$17*Inputs!$B$26/(DY5*Inputs!$B$16/0.866)))</f>
        <v>0.00720911963467768</v>
      </c>
      <c r="EH5" s="15" t="n">
        <f aca="false">(EE5-EF5-EG5)*(1-Inputs!$B$19)</f>
        <v>0.00353212305908957</v>
      </c>
      <c r="EI5" s="15" t="n">
        <f aca="false">(EB5+EC5+ED5+EF5+EG5+EH5)*(1+Inputs!$B$27)</f>
        <v>0.2979988337749</v>
      </c>
      <c r="EJ5" s="15" t="n">
        <f aca="false">Inputs!$B$52/(1-EI5-G5)</f>
        <v>179257.093109224</v>
      </c>
      <c r="EK5" s="15" t="n">
        <f aca="false">EJ5/Inputs!$B$34</f>
        <v>298.761821848706</v>
      </c>
      <c r="EL5" s="15" t="n">
        <f aca="false">B5^2/EK5</f>
        <v>13.7099177353197</v>
      </c>
      <c r="EM5" s="15" t="n">
        <f aca="false">Inputs!$B$54*H5/(Inputs!$B$35*F5+E5*H5^2/(PI()*EL5*Inputs!$B$36))</f>
        <v>20.5662255574144</v>
      </c>
      <c r="EN5" s="15" t="n">
        <f aca="false">EXP(-Inputs!$B$11*Inputs!$B$14*Inputs!$B$17/(Inputs!$B$51*EM5*Inputs!$B$16))</f>
        <v>0.766521721289331</v>
      </c>
      <c r="EO5" s="15" t="n">
        <f aca="false">Inputs!$B$50*Inputs!$B$18*EN5*Inputs!$B$19</f>
        <v>0.748986946227833</v>
      </c>
      <c r="EP5" s="15" t="n">
        <f aca="false">1-EO5</f>
        <v>0.251013053772167</v>
      </c>
      <c r="EQ5" s="15" t="n">
        <f aca="false">Inputs!$B$20*EP5</f>
        <v>0.007530391613165</v>
      </c>
      <c r="ER5" s="15" t="n">
        <f aca="false">0.8*(1-Inputs!$B$50)*(EO5-EQ5)</f>
        <v>0.00178587818909733</v>
      </c>
      <c r="ES5" s="15" t="n">
        <f aca="false">EO5-EQ5-ER5</f>
        <v>0.739670676425571</v>
      </c>
      <c r="ET5" s="15" t="n">
        <f aca="false">ES5*(1-Inputs!$B$18*EXP(-Inputs!$B$21*Inputs!$B$14*Inputs!$B$17/(Inputs!$B$22*Inputs!$B$23*Inputs!$B$24*EM5*Inputs!$B$16))*Inputs!$B$19)</f>
        <v>0.0260365583081374</v>
      </c>
      <c r="EU5" s="15" t="n">
        <f aca="false">(ES5-ET5)*(1-EXP(-Inputs!$B$25*Inputs!$B$14*Inputs!$B$17*Inputs!$B$26/(EM5*Inputs!$B$16/0.866)))</f>
        <v>0.0072091102479206</v>
      </c>
      <c r="EV5" s="15" t="n">
        <f aca="false">(ES5-ET5-EU5)*(1-Inputs!$B$19)</f>
        <v>0.00353212503934757</v>
      </c>
      <c r="EW5" s="15" t="n">
        <f aca="false">(EP5+EQ5+ER5+ET5+EU5+EV5)*(1+Inputs!$B$27)</f>
        <v>0.297998438521344</v>
      </c>
      <c r="EX5" s="15" t="n">
        <f aca="false">Inputs!$B$52/(1-EW5-G5)</f>
        <v>179256.703815841</v>
      </c>
      <c r="EY5" s="15" t="n">
        <f aca="false">EX5/Inputs!$B$34</f>
        <v>298.761173026402</v>
      </c>
      <c r="EZ5" s="15" t="n">
        <f aca="false">B5^2/EY5</f>
        <v>13.7099475092703</v>
      </c>
      <c r="FA5" s="15" t="n">
        <f aca="false">Inputs!$B$54*H5/(Inputs!$B$35*F5+E5*H5^2/(PI()*EZ5*Inputs!$B$36))</f>
        <v>20.5662357971013</v>
      </c>
      <c r="FB5" s="15" t="n">
        <f aca="false">EXP(-Inputs!$B$11*Inputs!$B$14*Inputs!$B$17/(Inputs!$B$51*FA5*Inputs!$B$16))</f>
        <v>0.766521822765025</v>
      </c>
      <c r="FC5" s="15" t="n">
        <f aca="false">Inputs!$B$50*Inputs!$B$18*FB5*Inputs!$B$19</f>
        <v>0.748987045382192</v>
      </c>
      <c r="FD5" s="15" t="n">
        <f aca="false">1-FC5</f>
        <v>0.251012954617808</v>
      </c>
      <c r="FE5" s="15" t="n">
        <f aca="false">Inputs!$B$20*FD5</f>
        <v>0.00753038863853423</v>
      </c>
      <c r="FF5" s="15" t="n">
        <f aca="false">0.8*(1-Inputs!$B$50)*(FC5-FE5)</f>
        <v>0.00178587843508603</v>
      </c>
      <c r="FG5" s="15" t="n">
        <f aca="false">FC5-FE5-FF5</f>
        <v>0.739670778308572</v>
      </c>
      <c r="FH5" s="15" t="n">
        <f aca="false">FG5*(1-Inputs!$B$18*EXP(-Inputs!$B$21*Inputs!$B$14*Inputs!$B$17/(Inputs!$B$22*Inputs!$B$23*Inputs!$B$24*FA5*Inputs!$B$16))*Inputs!$B$19)</f>
        <v>0.0260365563130569</v>
      </c>
      <c r="FI5" s="15" t="n">
        <f aca="false">(FG5-FH5)*(1-EXP(-Inputs!$B$25*Inputs!$B$14*Inputs!$B$17*Inputs!$B$26/(FA5*Inputs!$B$16/0.866)))</f>
        <v>0.00720910772615315</v>
      </c>
      <c r="FJ5" s="15" t="n">
        <f aca="false">(FG5-FH5-FI5)*(1-Inputs!$B$19)</f>
        <v>0.00353212557134681</v>
      </c>
      <c r="FK5" s="15" t="n">
        <f aca="false">(FD5+FE5+FF5+FH5+FI5+FJ5)*(1+Inputs!$B$27)</f>
        <v>0.297998332335891</v>
      </c>
      <c r="FL5" s="15" t="n">
        <f aca="false">Inputs!$B$52/(1-FK5-G5)</f>
        <v>179256.599231885</v>
      </c>
      <c r="FM5" s="15" t="n">
        <f aca="false">FL5/Inputs!$B$34</f>
        <v>298.760998719809</v>
      </c>
      <c r="FN5" s="15" t="n">
        <f aca="false">B5^2/FM5</f>
        <v>13.7099555080863</v>
      </c>
      <c r="FO5" s="15" t="n">
        <f aca="false">Inputs!$B$54*H5/(Inputs!$B$35*F5+E5*H5^2/(PI()*FN5*Inputs!$B$36))</f>
        <v>20.5662385480025</v>
      </c>
      <c r="FP5" s="15" t="n">
        <f aca="false">EXP(-Inputs!$B$11*Inputs!$B$14*Inputs!$B$17/(Inputs!$B$51*FO5*Inputs!$B$16))</f>
        <v>0.766521850026547</v>
      </c>
      <c r="FQ5" s="15" t="n">
        <f aca="false">Inputs!$B$50*Inputs!$B$18*FP5*Inputs!$B$19</f>
        <v>0.748987072020086</v>
      </c>
      <c r="FR5" s="15" t="n">
        <f aca="false">1-FQ5</f>
        <v>0.251012927979914</v>
      </c>
      <c r="FS5" s="15" t="n">
        <f aca="false">Inputs!$B$20*FR5</f>
        <v>0.00753038783939741</v>
      </c>
      <c r="FT5" s="15" t="n">
        <f aca="false">0.8*(1-Inputs!$B$50)*(FQ5-FS5)</f>
        <v>0.00178587850117108</v>
      </c>
      <c r="FU5" s="15" t="n">
        <f aca="false">FQ5-FS5-FT5</f>
        <v>0.739670805679518</v>
      </c>
      <c r="FV5" s="15" t="n">
        <f aca="false">FU5*(1-Inputs!$B$18*EXP(-Inputs!$B$21*Inputs!$B$14*Inputs!$B$17/(Inputs!$B$22*Inputs!$B$23*Inputs!$B$24*FO5*Inputs!$B$16))*Inputs!$B$19)</f>
        <v>0.0260365557770769</v>
      </c>
      <c r="FW5" s="15" t="n">
        <f aca="false">(FU5-FV5)*(1-EXP(-Inputs!$B$25*Inputs!$B$14*Inputs!$B$17*Inputs!$B$26/(FO5*Inputs!$B$16/0.866)))</f>
        <v>0.00720910704867831</v>
      </c>
      <c r="FX5" s="15" t="n">
        <f aca="false">(FU5-FV5-FW5)*(1-Inputs!$B$19)</f>
        <v>0.00353212571426882</v>
      </c>
      <c r="FY5" s="15" t="n">
        <f aca="false">(FR5+FS5+FT5+FV5+FW5+FX5)*(1+Inputs!$B$27)</f>
        <v>0.297998303809088</v>
      </c>
      <c r="FZ5" s="15" t="n">
        <f aca="false">Inputs!$B$52/(1-FY5-G5)</f>
        <v>179256.571135347</v>
      </c>
      <c r="GA5" s="15" t="n">
        <f aca="false">FZ5/Inputs!$B$34</f>
        <v>298.760951892244</v>
      </c>
      <c r="GB5" s="15" t="n">
        <f aca="false">B5^2/GA5</f>
        <v>13.7099576569743</v>
      </c>
      <c r="GC5" s="15" t="n">
        <f aca="false">Inputs!$B$54*H5/(Inputs!$B$35*F5+E5*H5^2/(PI()*GB5*Inputs!$B$36))</f>
        <v>20.5662392870338</v>
      </c>
      <c r="GD5" s="15" t="n">
        <f aca="false">EXP(-Inputs!$B$11*Inputs!$B$14*Inputs!$B$17/(Inputs!$B$51*GC5*Inputs!$B$16))</f>
        <v>0.766521857350371</v>
      </c>
      <c r="GE5" s="15" t="n">
        <f aca="false">Inputs!$B$50*Inputs!$B$18*GD5*Inputs!$B$19</f>
        <v>0.748987079176372</v>
      </c>
      <c r="GF5" s="15" t="n">
        <f aca="false">1-GE5</f>
        <v>0.251012920823628</v>
      </c>
      <c r="GG5" s="15" t="n">
        <f aca="false">Inputs!$B$20*GF5</f>
        <v>0.00753038762470884</v>
      </c>
      <c r="GH5" s="15" t="n">
        <f aca="false">0.8*(1-Inputs!$B$50)*(GE5-GG5)</f>
        <v>0.00178587851892487</v>
      </c>
      <c r="GI5" s="15" t="n">
        <f aca="false">GE5-GG5-GH5</f>
        <v>0.739670813032738</v>
      </c>
      <c r="GJ5" s="15" t="n">
        <f aca="false">GI5*(1-Inputs!$B$18*EXP(-Inputs!$B$21*Inputs!$B$14*Inputs!$B$17/(Inputs!$B$22*Inputs!$B$23*Inputs!$B$24*GC5*Inputs!$B$16))*Inputs!$B$19)</f>
        <v>0.0260365556330855</v>
      </c>
      <c r="GK5" s="15" t="n">
        <f aca="false">(GI5-GJ5)*(1-EXP(-Inputs!$B$25*Inputs!$B$14*Inputs!$B$17*Inputs!$B$26/(GC5*Inputs!$B$16/0.866)))</f>
        <v>0.00720910686667429</v>
      </c>
      <c r="GL5" s="15" t="n">
        <f aca="false">(GI5-GJ5-GK5)*(1-Inputs!$B$19)</f>
        <v>0.0035321257526649</v>
      </c>
      <c r="GM5" s="15" t="n">
        <f aca="false">(GF5+GG5+GH5+GJ5+GK5+GL5)*(1+Inputs!$B$27)</f>
        <v>0.297998296145345</v>
      </c>
      <c r="GN5" s="15" t="n">
        <f aca="false">Inputs!$B$52/(1-GM5-G5)</f>
        <v>179256.563587197</v>
      </c>
      <c r="GO5" s="15" t="n">
        <f aca="false">GN5/Inputs!$B$34</f>
        <v>298.760939311994</v>
      </c>
      <c r="GP5" s="15" t="n">
        <f aca="false">B5^2/GO5</f>
        <v>13.7099582342743</v>
      </c>
      <c r="GQ5" s="15" t="n">
        <f aca="false">Inputs!$B$54*H5/(Inputs!$B$35*F5+E5*H5^2/(PI()*GP5*Inputs!$B$36))</f>
        <v>20.566239485575</v>
      </c>
      <c r="GR5" s="15" t="n">
        <f aca="false">EXP(-Inputs!$B$11*Inputs!$B$14*Inputs!$B$17/(Inputs!$B$51*GQ5*Inputs!$B$16))</f>
        <v>0.76652185931792</v>
      </c>
      <c r="GS5" s="15" t="n">
        <f aca="false">Inputs!$B$50*Inputs!$B$18*GR5*Inputs!$B$19</f>
        <v>0.748987081098912</v>
      </c>
      <c r="GT5" s="15" t="n">
        <f aca="false">1-GS5</f>
        <v>0.251012918901088</v>
      </c>
      <c r="GU5" s="15" t="n">
        <f aca="false">Inputs!$B$20*GT5</f>
        <v>0.00753038756703264</v>
      </c>
      <c r="GV5" s="15" t="n">
        <f aca="false">0.8*(1-Inputs!$B$50)*(GS5-GU5)</f>
        <v>0.00178587852369443</v>
      </c>
      <c r="GW5" s="15" t="n">
        <f aca="false">GS5-GU5-GV5</f>
        <v>0.739670815008185</v>
      </c>
      <c r="GX5" s="15" t="n">
        <f aca="false">GW5*(1-Inputs!$B$18*EXP(-Inputs!$B$21*Inputs!$B$14*Inputs!$B$17/(Inputs!$B$22*Inputs!$B$23*Inputs!$B$24*GQ5*Inputs!$B$16))*Inputs!$B$19)</f>
        <v>0.0260365555944022</v>
      </c>
      <c r="GY5" s="15" t="n">
        <f aca="false">(GW5-GX5)*(1-EXP(-Inputs!$B$25*Inputs!$B$14*Inputs!$B$17*Inputs!$B$26/(GQ5*Inputs!$B$16/0.866)))</f>
        <v>0.00720910681777881</v>
      </c>
      <c r="GZ5" s="15" t="n">
        <f aca="false">(GW5-GX5-GY5)*(1-Inputs!$B$19)</f>
        <v>0.00353212576298002</v>
      </c>
      <c r="HA5" s="15" t="n">
        <f aca="false">(GT5+GU5+GV5+GX5+GY5+GZ5)*(1+Inputs!$B$27)</f>
        <v>0.297998294086477</v>
      </c>
      <c r="HB5" s="15" t="n">
        <f aca="false">Inputs!$B$52/(1-HA5-G5)</f>
        <v>179256.561559382</v>
      </c>
      <c r="HC5" s="15" t="n">
        <f aca="false">HB5/Inputs!$B$34</f>
        <v>298.760935932304</v>
      </c>
      <c r="HD5" s="15" t="n">
        <f aca="false">B5^2/HC5</f>
        <v>13.7099583893663</v>
      </c>
      <c r="HE5" s="15" t="n">
        <f aca="false">Inputs!$B$54*H5/(Inputs!$B$35*F5+E5*H5^2/(PI()*HD5*Inputs!$B$36))</f>
        <v>20.5662395389132</v>
      </c>
      <c r="HF5" s="15" t="n">
        <f aca="false">EXP(-Inputs!$B$11*Inputs!$B$14*Inputs!$B$17/(Inputs!$B$51*HE5*Inputs!$B$16))</f>
        <v>0.766521859846503</v>
      </c>
      <c r="HG5" s="15" t="n">
        <f aca="false">Inputs!$B$50*Inputs!$B$18*HF5*Inputs!$B$19</f>
        <v>0.748987081615403</v>
      </c>
      <c r="HH5" s="15" t="n">
        <f aca="false">1-HG5</f>
        <v>0.251012918384597</v>
      </c>
      <c r="HI5" s="15" t="n">
        <f aca="false">Inputs!$B$20*HH5</f>
        <v>0.0075303875515379</v>
      </c>
      <c r="HJ5" s="15" t="n">
        <f aca="false">0.8*(1-Inputs!$B$50)*(HG5-HI5)</f>
        <v>0.00178587852497578</v>
      </c>
      <c r="HK5" s="15" t="n">
        <f aca="false">HG5-HI5-HJ5</f>
        <v>0.73967081553889</v>
      </c>
      <c r="HL5" s="15" t="n">
        <f aca="false">HK5*(1-Inputs!$B$18*EXP(-Inputs!$B$21*Inputs!$B$14*Inputs!$B$17/(Inputs!$B$22*Inputs!$B$23*Inputs!$B$24*HE5*Inputs!$B$16))*Inputs!$B$19)</f>
        <v>0.0260365555840098</v>
      </c>
      <c r="HM5" s="15" t="n">
        <f aca="false">(HK5-HL5)*(1-EXP(-Inputs!$B$25*Inputs!$B$14*Inputs!$B$17*Inputs!$B$26/(HE5*Inputs!$B$16/0.866)))</f>
        <v>0.00720910680464301</v>
      </c>
      <c r="HN5" s="15" t="n">
        <f aca="false">(HK5-HL5-HM5)*(1-Inputs!$B$19)</f>
        <v>0.00353212576575119</v>
      </c>
      <c r="HO5" s="15" t="n">
        <f aca="false">(HH5+HI5+HJ5+HL5+HM5+HN5)*(1+Inputs!$B$27)</f>
        <v>0.297998293533361</v>
      </c>
      <c r="HP5" s="15" t="n">
        <f aca="false">Inputs!$B$52/(1-HO5-G5)</f>
        <v>179256.561014609</v>
      </c>
      <c r="HQ5" s="15" t="n">
        <f aca="false">HP5/Inputs!$B$34</f>
        <v>298.760935024348</v>
      </c>
      <c r="HR5" s="15" t="n">
        <f aca="false">B5^2/HQ5</f>
        <v>13.7099584310318</v>
      </c>
      <c r="HS5" s="15" t="n">
        <f aca="false">Inputs!$B$54*H5/(Inputs!$B$35*F5+E5*H5^2/(PI()*HR5*Inputs!$B$36))</f>
        <v>20.5662395532425</v>
      </c>
      <c r="HT5" s="15" t="n">
        <f aca="false">EXP(-Inputs!$B$11*Inputs!$B$14*Inputs!$B$17/(Inputs!$B$51*HS5*Inputs!$B$16))</f>
        <v>0.766521859988507</v>
      </c>
      <c r="HU5" s="15" t="n">
        <f aca="false">Inputs!$B$50*Inputs!$B$18*HT5*Inputs!$B$19</f>
        <v>0.748987081754159</v>
      </c>
      <c r="HV5" s="15" t="n">
        <f aca="false">1-HU5</f>
        <v>0.251012918245841</v>
      </c>
      <c r="HW5" s="15" t="n">
        <f aca="false">Inputs!$B$20*HV5</f>
        <v>0.00753038754737523</v>
      </c>
      <c r="HX5" s="15" t="n">
        <f aca="false">0.8*(1-Inputs!$B$50)*(HU5-HW5)</f>
        <v>0.00178587852532001</v>
      </c>
      <c r="HY5" s="15" t="n">
        <f aca="false">HU5-HW5-HX5</f>
        <v>0.739670815681464</v>
      </c>
      <c r="HZ5" s="15" t="n">
        <f aca="false">HY5*(1-Inputs!$B$18*EXP(-Inputs!$B$21*Inputs!$B$14*Inputs!$B$17/(Inputs!$B$22*Inputs!$B$23*Inputs!$B$24*HS5*Inputs!$B$16))*Inputs!$B$19)</f>
        <v>0.026036555581218</v>
      </c>
      <c r="IA5" s="15" t="n">
        <f aca="false">(HY5-HZ5)*(1-EXP(-Inputs!$B$25*Inputs!$B$14*Inputs!$B$17*Inputs!$B$26/(HS5*Inputs!$B$16/0.866)))</f>
        <v>0.00720910680111411</v>
      </c>
      <c r="IB5" s="15" t="n">
        <f aca="false">(HY5-HZ5-IA5)*(1-Inputs!$B$19)</f>
        <v>0.00353212576649566</v>
      </c>
      <c r="IC5" s="15" t="n">
        <f aca="false">(HV5+HW5+HX5+HZ5+IA5+IB5)*(1+Inputs!$B$27)</f>
        <v>0.297998293384766</v>
      </c>
      <c r="ID5" s="15" t="n">
        <f aca="false">Inputs!$B$52/(1-IC5-G5)</f>
        <v>179256.560868255</v>
      </c>
      <c r="IE5" s="15" t="n">
        <f aca="false">ID5/Inputs!$B$34</f>
        <v>298.760934780425</v>
      </c>
      <c r="IF5" s="15" t="n">
        <f aca="false">B5^2/IE5</f>
        <v>13.7099584422253</v>
      </c>
      <c r="IG5" s="15" t="n">
        <f aca="false">Inputs!$B$54*H5/(Inputs!$B$35*F5+E5*H5^2/(PI()*IF5*Inputs!$B$36))</f>
        <v>20.5662395570921</v>
      </c>
      <c r="IH5" s="15" t="n">
        <f aca="false">EXP(-Inputs!$B$11*Inputs!$B$14*Inputs!$B$17/(Inputs!$B$51*IG5*Inputs!$B$16))</f>
        <v>0.766521860026657</v>
      </c>
      <c r="II5" s="15" t="n">
        <f aca="false">Inputs!$B$50*Inputs!$B$18*IH5*Inputs!$B$19</f>
        <v>0.748987081791436</v>
      </c>
      <c r="IJ5" s="15" t="n">
        <f aca="false">1-II5</f>
        <v>0.251012918208564</v>
      </c>
      <c r="IK5" s="15" t="n">
        <f aca="false">Inputs!$B$20*IJ5</f>
        <v>0.00753038754625693</v>
      </c>
      <c r="IL5" s="15" t="n">
        <f aca="false">0.8*(1-Inputs!$B$50)*(II5-IK5)</f>
        <v>0.00178587852541249</v>
      </c>
      <c r="IM5" s="15" t="n">
        <f aca="false">II5-IK5-IL5</f>
        <v>0.739670815719766</v>
      </c>
      <c r="IN5" s="15" t="n">
        <f aca="false">IM5*(1-Inputs!$B$18*EXP(-Inputs!$B$21*Inputs!$B$14*Inputs!$B$17/(Inputs!$B$22*Inputs!$B$23*Inputs!$B$24*IG5*Inputs!$B$16))*Inputs!$B$19)</f>
        <v>0.0260365555804679</v>
      </c>
      <c r="IO5" s="15" t="n">
        <f aca="false">(IM5-IN5)*(1-EXP(-Inputs!$B$25*Inputs!$B$14*Inputs!$B$17*Inputs!$B$26/(IG5*Inputs!$B$16/0.866)))</f>
        <v>0.007209106800166</v>
      </c>
      <c r="IP5" s="15" t="n">
        <f aca="false">(IM5-IN5-IO5)*(1-Inputs!$B$19)</f>
        <v>0.00353212576669567</v>
      </c>
      <c r="IQ5" s="15" t="n">
        <f aca="false">(IJ5+IK5+IL5+IN5+IO5+IP5)*(1+Inputs!$B$27)</f>
        <v>0.297998293344846</v>
      </c>
      <c r="IR5" s="15" t="n">
        <f aca="false">Inputs!$B$52/(1-IQ5-G5)</f>
        <v>179256.560828937</v>
      </c>
      <c r="IS5" s="15" t="n">
        <f aca="false">IR5/Inputs!$B$34</f>
        <v>298.760934714895</v>
      </c>
      <c r="IT5" s="15" t="n">
        <f aca="false">B5^2/IS5</f>
        <v>13.7099584452324</v>
      </c>
      <c r="IU5" s="15" t="n">
        <f aca="false">Inputs!$B$54*H5/(Inputs!$B$35*F5+E5*H5^2/(PI()*IT5*Inputs!$B$36))</f>
        <v>20.5662395581263</v>
      </c>
      <c r="IV5" s="15" t="n">
        <f aca="false">EXP(-Inputs!$B$11*Inputs!$B$14*Inputs!$B$17/(Inputs!$B$51*IU5*Inputs!$B$16))</f>
        <v>0.766521860036905</v>
      </c>
      <c r="IW5" s="15" t="n">
        <f aca="false">Inputs!$B$50*Inputs!$B$18*IV5*Inputs!$B$19</f>
        <v>0.74898708180145</v>
      </c>
      <c r="IX5" s="15" t="n">
        <f aca="false">1-IW5</f>
        <v>0.25101291819855</v>
      </c>
      <c r="IY5" s="15" t="n">
        <f aca="false">Inputs!$B$20*IX5</f>
        <v>0.0075303875459565</v>
      </c>
      <c r="IZ5" s="15" t="n">
        <f aca="false">0.8*(1-Inputs!$B$50)*(IW5-IY5)</f>
        <v>0.00178587852543734</v>
      </c>
      <c r="JA5" s="15" t="n">
        <f aca="false">IW5-IY5-IZ5</f>
        <v>0.739670815730056</v>
      </c>
      <c r="JB5" s="15" t="n">
        <f aca="false">JA5*(1-Inputs!$B$18*EXP(-Inputs!$B$21*Inputs!$B$14*Inputs!$B$17/(Inputs!$B$22*Inputs!$B$23*Inputs!$B$24*IU5*Inputs!$B$16))*Inputs!$B$19)</f>
        <v>0.0260365555802664</v>
      </c>
      <c r="JC5" s="15" t="n">
        <f aca="false">(JA5-JB5)*(1-EXP(-Inputs!$B$25*Inputs!$B$14*Inputs!$B$17*Inputs!$B$26/(IU5*Inputs!$B$16/0.866)))</f>
        <v>0.00720910679991133</v>
      </c>
      <c r="JD5" s="15" t="n">
        <f aca="false">(JA5-JB5-JC5)*(1-Inputs!$B$19)</f>
        <v>0.0035321257667494</v>
      </c>
      <c r="JE5" s="15" t="n">
        <f aca="false">(IX5+IY5+IZ5+JB5+JC5+JD5)*(1+Inputs!$B$27)</f>
        <v>0.297998293334121</v>
      </c>
      <c r="JF5" s="15" t="n">
        <f aca="false">Inputs!$B$52/(1-JE5-G5)</f>
        <v>179256.560818374</v>
      </c>
      <c r="JG5" s="15" t="n">
        <f aca="false">JF5/Inputs!$B$34</f>
        <v>298.760934697291</v>
      </c>
      <c r="JH5" s="15" t="n">
        <f aca="false">B5^2/JG5</f>
        <v>13.7099584460403</v>
      </c>
      <c r="JI5" s="15" t="n">
        <f aca="false">Inputs!$B$54*H5/(Inputs!$B$35*F5+E5*H5^2/(PI()*JH5*Inputs!$B$36))</f>
        <v>20.5662395584041</v>
      </c>
      <c r="JJ5" s="15" t="n">
        <f aca="false">EXP(-Inputs!$B$11*Inputs!$B$14*Inputs!$B$17/(Inputs!$B$51*JI5*Inputs!$B$16))</f>
        <v>0.766521860039659</v>
      </c>
      <c r="JK5" s="15" t="n">
        <f aca="false">Inputs!$B$50*Inputs!$B$18*JJ5*Inputs!$B$19</f>
        <v>0.748987081804141</v>
      </c>
      <c r="JL5" s="15" t="n">
        <f aca="false">1-JK5</f>
        <v>0.251012918195859</v>
      </c>
      <c r="JM5" s="15" t="n">
        <f aca="false">Inputs!$B$20*JL5</f>
        <v>0.00753038754587578</v>
      </c>
      <c r="JN5" s="15" t="n">
        <f aca="false">0.8*(1-Inputs!$B$50)*(JK5-JM5)</f>
        <v>0.00178587852544401</v>
      </c>
      <c r="JO5" s="15" t="n">
        <f aca="false">JK5-JM5-JN5</f>
        <v>0.739670815732821</v>
      </c>
      <c r="JP5" s="15" t="n">
        <f aca="false">JO5*(1-Inputs!$B$18*EXP(-Inputs!$B$21*Inputs!$B$14*Inputs!$B$17/(Inputs!$B$22*Inputs!$B$23*Inputs!$B$24*JI5*Inputs!$B$16))*Inputs!$B$19)</f>
        <v>0.0260365555802123</v>
      </c>
      <c r="JQ5" s="15" t="n">
        <f aca="false">(JO5-JP5)*(1-EXP(-Inputs!$B$25*Inputs!$B$14*Inputs!$B$17*Inputs!$B$26/(JI5*Inputs!$B$16/0.866)))</f>
        <v>0.0072091067998429</v>
      </c>
      <c r="JR5" s="15" t="n">
        <f aca="false">(JO5-JP5-JQ5)*(1-Inputs!$B$19)</f>
        <v>0.00353212576676383</v>
      </c>
      <c r="JS5" s="15" t="n">
        <f aca="false">(JL5+JM5+JN5+JP5+JQ5+JR5)*(1+Inputs!$B$27)</f>
        <v>0.29799829333124</v>
      </c>
      <c r="JT5" s="15" t="n">
        <f aca="false">Inputs!$B$52/(1-JS5-G5)</f>
        <v>179256.560815537</v>
      </c>
      <c r="JU5" s="15" t="n">
        <f aca="false">JT5/Inputs!$B$34</f>
        <v>298.760934692561</v>
      </c>
      <c r="JV5" s="15" t="n">
        <f aca="false">B5^2/JU5</f>
        <v>13.7099584462573</v>
      </c>
      <c r="JW5" s="15" t="n">
        <f aca="false">Inputs!$B$54*H5/(Inputs!$B$35*F5+E5*H5^2/(PI()*JV5*Inputs!$B$36))</f>
        <v>20.5662395584787</v>
      </c>
      <c r="JX5" s="15" t="n">
        <f aca="false">EXP(-Inputs!$B$11*Inputs!$B$14*Inputs!$B$17/(Inputs!$B$51*JW5*Inputs!$B$16))</f>
        <v>0.766521860040399</v>
      </c>
      <c r="JY5" s="15" t="n">
        <f aca="false">Inputs!$B$50*Inputs!$B$18*JX5*Inputs!$B$19</f>
        <v>0.748987081804863</v>
      </c>
      <c r="JZ5" s="15" t="n">
        <f aca="false">1-JY5</f>
        <v>0.251012918195137</v>
      </c>
      <c r="KA5" s="15" t="n">
        <f aca="false">Inputs!$B$20*JZ5</f>
        <v>0.0075303875458541</v>
      </c>
      <c r="KB5" s="15" t="n">
        <f aca="false">0.8*(1-Inputs!$B$50)*(JY5-KA5)</f>
        <v>0.0017858785254458</v>
      </c>
      <c r="KC5" s="15" t="n">
        <f aca="false">JY5-KA5-KB5</f>
        <v>0.739670815733564</v>
      </c>
      <c r="KD5" s="15" t="n">
        <f aca="false">KC5*(1-Inputs!$B$18*EXP(-Inputs!$B$21*Inputs!$B$14*Inputs!$B$17/(Inputs!$B$22*Inputs!$B$23*Inputs!$B$24*JW5*Inputs!$B$16))*Inputs!$B$19)</f>
        <v>0.0260365555801977</v>
      </c>
      <c r="KE5" s="15" t="n">
        <f aca="false">(KC5-KD5)*(1-EXP(-Inputs!$B$25*Inputs!$B$14*Inputs!$B$17*Inputs!$B$26/(JW5*Inputs!$B$16/0.866)))</f>
        <v>0.00720910679982449</v>
      </c>
      <c r="KF5" s="15" t="n">
        <f aca="false">(KC5-KD5-KE5)*(1-Inputs!$B$19)</f>
        <v>0.00353212576676771</v>
      </c>
      <c r="KG5" s="15" t="n">
        <f aca="false">(JZ5+KA5+KB5+KD5+KE5+KF5)*(1+Inputs!$B$27)</f>
        <v>0.297998293330466</v>
      </c>
      <c r="KH5" s="15" t="n">
        <f aca="false">Inputs!$B$52/(1-KG5-G5)</f>
        <v>179256.560814774</v>
      </c>
      <c r="KI5" s="15" t="n">
        <f aca="false">KH5/Inputs!$B$34</f>
        <v>298.76093469129</v>
      </c>
      <c r="KJ5" s="15" t="n">
        <f aca="false">B5^2/KI5</f>
        <v>13.7099584463156</v>
      </c>
      <c r="KK5" s="15" t="n">
        <f aca="false">Inputs!$B$54*H5/(Inputs!$B$35*F5+E5*H5^2/(PI()*KJ5*Inputs!$B$36))</f>
        <v>20.5662395584988</v>
      </c>
      <c r="KL5" s="15" t="n">
        <f aca="false">EXP(-Inputs!$B$11*Inputs!$B$14*Inputs!$B$17/(Inputs!$B$51*KK5*Inputs!$B$16))</f>
        <v>0.766521860040597</v>
      </c>
      <c r="KM5" s="15" t="n">
        <f aca="false">Inputs!$B$50*Inputs!$B$18*KL5*Inputs!$B$19</f>
        <v>0.748987081805058</v>
      </c>
      <c r="KN5" s="15" t="n">
        <f aca="false">1-KM5</f>
        <v>0.251012918194943</v>
      </c>
      <c r="KO5" s="15" t="n">
        <f aca="false">Inputs!$B$20*KN5</f>
        <v>0.00753038754584828</v>
      </c>
      <c r="KP5" s="15" t="n">
        <f aca="false">0.8*(1-Inputs!$B$50)*(KM5-KO5)</f>
        <v>0.00178587852544629</v>
      </c>
      <c r="KQ5" s="15" t="n">
        <f aca="false">KM5-KO5-KP5</f>
        <v>0.739670815733763</v>
      </c>
      <c r="KR5" s="15" t="n">
        <f aca="false">KQ5*(1-Inputs!$B$18*EXP(-Inputs!$B$21*Inputs!$B$14*Inputs!$B$17/(Inputs!$B$22*Inputs!$B$23*Inputs!$B$24*KK5*Inputs!$B$16))*Inputs!$B$19)</f>
        <v>0.0260365555801938</v>
      </c>
      <c r="KS5" s="15" t="n">
        <f aca="false">(KQ5-KR5)*(1-EXP(-Inputs!$B$25*Inputs!$B$14*Inputs!$B$17*Inputs!$B$26/(KK5*Inputs!$B$16/0.866)))</f>
        <v>0.00720910679981957</v>
      </c>
      <c r="KT5" s="15" t="n">
        <f aca="false">(KQ5-KR5-KS5)*(1-Inputs!$B$19)</f>
        <v>0.00353212576676875</v>
      </c>
      <c r="KU5" s="15" t="n">
        <f aca="false">(KN5+KO5+KP5+KR5+KS5+KT5)*(1+Inputs!$B$27)</f>
        <v>0.297998293330258</v>
      </c>
      <c r="KV5" s="15" t="n">
        <f aca="false">Inputs!$B$52/(1-KU5-G5)</f>
        <v>179256.56081457</v>
      </c>
      <c r="KW5" s="15" t="n">
        <f aca="false">KV5/Inputs!$B$34</f>
        <v>298.760934690949</v>
      </c>
      <c r="KX5" s="15" t="n">
        <f aca="false">B5^2/KW5</f>
        <v>13.7099584463313</v>
      </c>
      <c r="KY5" s="15" t="n">
        <f aca="false">Inputs!$B$54*H5/(Inputs!$B$35*F5+E5*H5^2/(PI()*KX5*Inputs!$B$36))</f>
        <v>20.5662395585042</v>
      </c>
      <c r="KZ5" s="15" t="n">
        <f aca="false">EXP(-Inputs!$B$11*Inputs!$B$14*Inputs!$B$17/(Inputs!$B$51*KY5*Inputs!$B$16))</f>
        <v>0.766521860040651</v>
      </c>
      <c r="LA5" s="15" t="n">
        <f aca="false">Inputs!$B$50*Inputs!$B$18*KZ5*Inputs!$B$19</f>
        <v>0.74898708180511</v>
      </c>
      <c r="LB5" s="15" t="n">
        <f aca="false">1-LA5</f>
        <v>0.25101291819489</v>
      </c>
      <c r="LC5" s="15" t="n">
        <f aca="false">Inputs!$B$20*LB5</f>
        <v>0.00753038754584671</v>
      </c>
      <c r="LD5" s="15" t="n">
        <f aca="false">0.8*(1-Inputs!$B$50)*(LA5-LC5)</f>
        <v>0.00178587852544642</v>
      </c>
      <c r="LE5" s="15" t="n">
        <f aca="false">LA5-LC5-LD5</f>
        <v>0.739670815733817</v>
      </c>
      <c r="LF5" s="15" t="n">
        <f aca="false">LE5*(1-Inputs!$B$18*EXP(-Inputs!$B$21*Inputs!$B$14*Inputs!$B$17/(Inputs!$B$22*Inputs!$B$23*Inputs!$B$24*KY5*Inputs!$B$16))*Inputs!$B$19)</f>
        <v>0.0260365555801928</v>
      </c>
      <c r="LG5" s="15" t="n">
        <f aca="false">(LE5-LF5)*(1-EXP(-Inputs!$B$25*Inputs!$B$14*Inputs!$B$17*Inputs!$B$26/(KY5*Inputs!$B$16/0.866)))</f>
        <v>0.00720910679981822</v>
      </c>
      <c r="LH5" s="15" t="n">
        <f aca="false">(LE5-LF5-LG5)*(1-Inputs!$B$19)</f>
        <v>0.00353212576676903</v>
      </c>
      <c r="LI5" s="15" t="n">
        <f aca="false">(LB5+LC5+LD5+LF5+LG5+LH5)*(1+Inputs!$B$27)</f>
        <v>0.297998293330203</v>
      </c>
      <c r="LJ5" s="15" t="n">
        <f aca="false">Inputs!$B$52/(1-LI5-G5)</f>
        <v>179256.560814515</v>
      </c>
      <c r="LK5" s="15" t="n">
        <f aca="false">LJ5/Inputs!$B$34</f>
        <v>298.760934690858</v>
      </c>
      <c r="LL5" s="15" t="n">
        <f aca="false">B5^2/LK5</f>
        <v>13.7099584463355</v>
      </c>
      <c r="LM5" s="15" t="n">
        <f aca="false">Inputs!$B$54*H5/(Inputs!$B$35*F5+E5*H5^2/(PI()*LL5*Inputs!$B$36))</f>
        <v>20.5662395585056</v>
      </c>
      <c r="LN5" s="15" t="n">
        <f aca="false">EXP(-Inputs!$B$11*Inputs!$B$14*Inputs!$B$17/(Inputs!$B$51*LM5*Inputs!$B$16))</f>
        <v>0.766521860040665</v>
      </c>
      <c r="LO5" s="15" t="n">
        <f aca="false">Inputs!$B$50*Inputs!$B$18*LN5*Inputs!$B$19</f>
        <v>0.748987081805124</v>
      </c>
      <c r="LP5" s="15" t="n">
        <f aca="false">1-LO5</f>
        <v>0.251012918194877</v>
      </c>
      <c r="LQ5" s="15" t="n">
        <f aca="false">Inputs!$B$20*LP5</f>
        <v>0.00753038754584629</v>
      </c>
      <c r="LR5" s="15" t="n">
        <f aca="false">0.8*(1-Inputs!$B$50)*(LO5-LQ5)</f>
        <v>0.00178587852544645</v>
      </c>
      <c r="LS5" s="15" t="n">
        <f aca="false">LO5-LQ5-LR5</f>
        <v>0.739670815733831</v>
      </c>
      <c r="LT5" s="15" t="n">
        <f aca="false">LS5*(1-Inputs!$B$18*EXP(-Inputs!$B$21*Inputs!$B$14*Inputs!$B$17/(Inputs!$B$22*Inputs!$B$23*Inputs!$B$24*LM5*Inputs!$B$16))*Inputs!$B$19)</f>
        <v>0.0260365555801925</v>
      </c>
      <c r="LU5" s="15" t="n">
        <f aca="false">(LS5-LT5)*(1-EXP(-Inputs!$B$25*Inputs!$B$14*Inputs!$B$17*Inputs!$B$26/(LM5*Inputs!$B$16/0.866)))</f>
        <v>0.00720910679981789</v>
      </c>
      <c r="LV5" s="15" t="n">
        <f aca="false">(LS5-LT5-LU5)*(1-Inputs!$B$19)</f>
        <v>0.00353212576676911</v>
      </c>
      <c r="LW5" s="15" t="n">
        <f aca="false">(LP5+LQ5+LR5+LT5+LU5+LV5)*(1+Inputs!$B$27)</f>
        <v>0.297998293330188</v>
      </c>
      <c r="LX5" s="15" t="n">
        <f aca="false">Inputs!$B$52/(1-LW5-G5)</f>
        <v>179256.5608145</v>
      </c>
      <c r="LY5" s="15" t="n">
        <f aca="false">LX5/Inputs!$B$34</f>
        <v>298.760934690833</v>
      </c>
      <c r="LZ5" s="15" t="n">
        <f aca="false">B5^2/LY5</f>
        <v>13.7099584463366</v>
      </c>
      <c r="MA5" s="15" t="n">
        <f aca="false">Inputs!$B$54*H5/(Inputs!$B$35*F5+E5*H5^2/(PI()*LZ5*Inputs!$B$36))</f>
        <v>20.566239558506</v>
      </c>
      <c r="MB5" s="15" t="n">
        <f aca="false">EXP(-Inputs!$B$11*Inputs!$B$14*Inputs!$B$17/(Inputs!$B$51*MA5*Inputs!$B$16))</f>
        <v>0.766521860040669</v>
      </c>
      <c r="MC5" s="15" t="n">
        <f aca="false">Inputs!$B$50*Inputs!$B$18*MB5*Inputs!$B$19</f>
        <v>0.748987081805127</v>
      </c>
      <c r="MD5" s="15" t="n">
        <f aca="false">1-MC5</f>
        <v>0.251012918194873</v>
      </c>
      <c r="ME5" s="15" t="n">
        <f aca="false">Inputs!$B$20*MD5</f>
        <v>0.00753038754584618</v>
      </c>
      <c r="MF5" s="15" t="n">
        <f aca="false">0.8*(1-Inputs!$B$50)*(MC5-ME5)</f>
        <v>0.00178587852544646</v>
      </c>
      <c r="MG5" s="15" t="n">
        <f aca="false">MC5-ME5-MF5</f>
        <v>0.739670815733835</v>
      </c>
      <c r="MH5" s="15" t="n">
        <f aca="false">MG5*(1-Inputs!$B$18*EXP(-Inputs!$B$21*Inputs!$B$14*Inputs!$B$17/(Inputs!$B$22*Inputs!$B$23*Inputs!$B$24*MA5*Inputs!$B$16))*Inputs!$B$19)</f>
        <v>0.0260365555801924</v>
      </c>
      <c r="MI5" s="15" t="n">
        <f aca="false">(MG5-MH5)*(1-EXP(-Inputs!$B$25*Inputs!$B$14*Inputs!$B$17*Inputs!$B$26/(MA5*Inputs!$B$16/0.866)))</f>
        <v>0.00720910679981777</v>
      </c>
      <c r="MJ5" s="15" t="n">
        <f aca="false">(MG5-MH5-MI5)*(1-Inputs!$B$19)</f>
        <v>0.00353212576676913</v>
      </c>
      <c r="MK5" s="15" t="n">
        <f aca="false">(MD5+ME5+MF5+MH5+MI5+MJ5)*(1+Inputs!$B$27)</f>
        <v>0.297998293330183</v>
      </c>
      <c r="ML5" s="15" t="n">
        <f aca="false">Inputs!$B$52/(1-MK5-G5)</f>
        <v>179256.560814496</v>
      </c>
      <c r="MM5" s="15" t="n">
        <f aca="false">ML5/Inputs!$B$34</f>
        <v>298.760934690826</v>
      </c>
      <c r="MN5" s="15" t="n">
        <f aca="false">B5^2/MM5</f>
        <v>13.7099584463369</v>
      </c>
      <c r="MO5" s="15" t="n">
        <f aca="false">Inputs!$B$54*H5/(Inputs!$B$35*F5+E5*H5^2/(PI()*MN5*Inputs!$B$36))</f>
        <v>20.5662395585061</v>
      </c>
      <c r="MP5" s="15" t="n">
        <f aca="false">EXP(-Inputs!$B$11*Inputs!$B$14*Inputs!$B$17/(Inputs!$B$51*MO5*Inputs!$B$16))</f>
        <v>0.76652186004067</v>
      </c>
      <c r="MQ5" s="15" t="n">
        <f aca="false">Inputs!$B$50*Inputs!$B$18*MP5*Inputs!$B$19</f>
        <v>0.748987081805128</v>
      </c>
      <c r="MR5" s="15" t="n">
        <f aca="false">1-MQ5</f>
        <v>0.251012918194872</v>
      </c>
      <c r="MS5" s="15" t="n">
        <f aca="false">Inputs!$B$20*MR5</f>
        <v>0.00753038754584615</v>
      </c>
      <c r="MT5" s="15" t="n">
        <f aca="false">0.8*(1-Inputs!$B$50)*(MQ5-MS5)</f>
        <v>0.00178587852544646</v>
      </c>
      <c r="MU5" s="15" t="n">
        <f aca="false">MQ5-MS5-MT5</f>
        <v>0.739670815733836</v>
      </c>
      <c r="MV5" s="15" t="n">
        <f aca="false">MU5*(1-Inputs!$B$18*EXP(-Inputs!$B$21*Inputs!$B$14*Inputs!$B$17/(Inputs!$B$22*Inputs!$B$23*Inputs!$B$24*MO5*Inputs!$B$16))*Inputs!$B$19)</f>
        <v>0.0260365555801924</v>
      </c>
      <c r="MW5" s="15" t="n">
        <f aca="false">(MU5-MV5)*(1-EXP(-Inputs!$B$25*Inputs!$B$14*Inputs!$B$17*Inputs!$B$26/(MO5*Inputs!$B$16/0.866)))</f>
        <v>0.00720910679981778</v>
      </c>
      <c r="MX5" s="15" t="n">
        <f aca="false">(MU5-MV5-MW5)*(1-Inputs!$B$19)</f>
        <v>0.00353212576676913</v>
      </c>
      <c r="MY5" s="15" t="n">
        <f aca="false">(MR5+MS5+MT5+MV5+MW5+MX5)*(1+Inputs!$B$27)</f>
        <v>0.297998293330182</v>
      </c>
      <c r="MZ5" s="15" t="n">
        <f aca="false">Inputs!$B$52/(1-MY5-G5)</f>
        <v>179256.560814495</v>
      </c>
      <c r="NA5" s="15" t="n">
        <f aca="false">MZ5/Inputs!$B$34</f>
        <v>298.760934690825</v>
      </c>
      <c r="NB5" s="15" t="n">
        <f aca="false">B5^2/NA5</f>
        <v>13.709958446337</v>
      </c>
      <c r="NC5" s="15" t="n">
        <f aca="false">Inputs!$B$54*H5/(Inputs!$B$35*F5+E5*H5^2/(PI()*NB5*Inputs!$B$36))</f>
        <v>20.5662395585061</v>
      </c>
      <c r="ND5" s="15" t="n">
        <f aca="false">EXP(-Inputs!$B$11*Inputs!$B$14*Inputs!$B$17/(Inputs!$B$51*NC5*Inputs!$B$16))</f>
        <v>0.76652186004067</v>
      </c>
      <c r="NE5" s="15" t="n">
        <f aca="false">Inputs!$B$50*Inputs!$B$18*ND5*Inputs!$B$19</f>
        <v>0.748987081805129</v>
      </c>
      <c r="NF5" s="15" t="n">
        <f aca="false">1-NE5</f>
        <v>0.251012918194871</v>
      </c>
      <c r="NG5" s="15" t="n">
        <f aca="false">Inputs!$B$20*NF5</f>
        <v>0.00753038754584614</v>
      </c>
      <c r="NH5" s="15" t="n">
        <f aca="false">0.8*(1-Inputs!$B$50)*(NE5-NG5)</f>
        <v>0.00178587852544646</v>
      </c>
      <c r="NI5" s="15" t="n">
        <f aca="false">NE5-NG5-NH5</f>
        <v>0.739670815733836</v>
      </c>
      <c r="NJ5" s="15" t="n">
        <f aca="false">NI5*(1-Inputs!$B$18*EXP(-Inputs!$B$21*Inputs!$B$14*Inputs!$B$17/(Inputs!$B$22*Inputs!$B$23*Inputs!$B$24*NC5*Inputs!$B$16))*Inputs!$B$19)</f>
        <v>0.0260365555801924</v>
      </c>
      <c r="NK5" s="15" t="n">
        <f aca="false">(NI5-NJ5)*(1-EXP(-Inputs!$B$25*Inputs!$B$14*Inputs!$B$17*Inputs!$B$26/(NC5*Inputs!$B$16/0.866)))</f>
        <v>0.00720910679981779</v>
      </c>
      <c r="NL5" s="15" t="n">
        <f aca="false">(NI5-NJ5-NK5)*(1-Inputs!$B$19)</f>
        <v>0.00353212576676913</v>
      </c>
      <c r="NM5" s="15" t="n">
        <f aca="false">(NF5+NG5+NH5+NJ5+NK5+NL5)*(1+Inputs!$B$27)</f>
        <v>0.297998293330182</v>
      </c>
      <c r="NN5" s="15" t="n">
        <f aca="false">Inputs!$B$52/(1-NM5-G5)</f>
        <v>179256.560814494</v>
      </c>
    </row>
    <row r="6" customFormat="false" ht="15" hidden="false" customHeight="false" outlineLevel="0" collapsed="false">
      <c r="A6" s="34" t="n">
        <v>0.005</v>
      </c>
      <c r="B6" s="21" t="n">
        <f aca="false">$B$3</f>
        <v>64</v>
      </c>
      <c r="C6" s="22" t="n">
        <f aca="false">$D$3</f>
        <v>0.15</v>
      </c>
      <c r="D6" s="23" t="n">
        <f aca="false">B6*C6</f>
        <v>9.6</v>
      </c>
      <c r="E6" s="24" t="n">
        <f aca="false">IF(C6=0,1,(1+0.45*C6)/(1.04+2.81*C6))</f>
        <v>0.73041395826206</v>
      </c>
      <c r="F6" s="24" t="n">
        <f aca="false">1+Inputs!$B$42*D6</f>
        <v>1.048</v>
      </c>
      <c r="G6" s="25" t="n">
        <f aca="false">Inputs!$B$31+Inputs!$B$43*($B$3/Inputs!$B$32-1)+0.005</f>
        <v>0.525</v>
      </c>
      <c r="H6" s="22" t="n">
        <f aca="false">Inputs!$B$38</f>
        <v>0.5</v>
      </c>
      <c r="I6" s="23" t="n">
        <f aca="false">Inputs!$B$40</f>
        <v>2.4</v>
      </c>
      <c r="J6" s="26" t="n">
        <f aca="false">NN6/Inputs!$B$34</f>
        <v>310.594201472569</v>
      </c>
      <c r="K6" s="23" t="n">
        <f aca="false">B6^2/J6</f>
        <v>13.1876254630006</v>
      </c>
      <c r="L6" s="23" t="n">
        <f aca="false">2*K6</f>
        <v>26.3752509260012</v>
      </c>
      <c r="M6" s="22" t="n">
        <f aca="false">NC6</f>
        <v>20.3811678170138</v>
      </c>
      <c r="N6" s="23" t="n">
        <f aca="false">B6/SQRT(E6)</f>
        <v>74.8851048120828</v>
      </c>
      <c r="O6" s="24" t="n">
        <f aca="false">NM6</f>
        <v>0.299932340197593</v>
      </c>
      <c r="P6" s="23" t="n">
        <f aca="false">NN6/1000</f>
        <v>186.356520883542</v>
      </c>
      <c r="Q6" s="23" t="n">
        <f aca="false">G6*NN6/1000</f>
        <v>97.8371734638593</v>
      </c>
      <c r="R6" s="23" t="n">
        <f aca="false">NM6*NN6/1000</f>
        <v>55.8943474196823</v>
      </c>
      <c r="S6" s="23" t="n">
        <f aca="false">NM6*NN6/Inputs!$B$28/1000</f>
        <v>74.5257965595764</v>
      </c>
      <c r="T6" s="27" t="n">
        <f aca="false">R6/Sweep!$R$5-1</f>
        <v>-0.105642096288045</v>
      </c>
      <c r="U6" s="27" t="n">
        <f aca="false">R6/SUMIFS(Sweep!$R:$R,Sweep!$A:$A,"Conventional",Sweep!$B:$B,B6)-1</f>
        <v>-0.10564209628834</v>
      </c>
      <c r="V6" s="26" t="n">
        <f aca="false">2*0.54*(J6/2)^1.5/SQRT(L6)*Inputs!$B$46*Inputs!$B$47</f>
        <v>38.0524030533864</v>
      </c>
      <c r="W6" s="28" t="n">
        <f aca="false">MIN(1,V6/S6)</f>
        <v>0.510593711305951</v>
      </c>
      <c r="X6" s="26" t="n">
        <f aca="false">1.23*SQRT(2*Inputs!$B$41*NN6*Inputs!$B$49/(1.225*J6*I6))/0.5144</f>
        <v>133.62967568068</v>
      </c>
      <c r="Y6" s="29" t="n">
        <f aca="false">(11000+6341.6*LN(0.36392/(2*Inputs!$B$50*Inputs!$B$18*(1+ND6)/2*Inputs!$B$34*Inputs!$B$49/((Inputs!$B$12*295.07)^2*H6))))/0.3048</f>
        <v>38487.1120969203</v>
      </c>
      <c r="Z6" s="26" t="n">
        <f aca="false">NN6-MZ6</f>
        <v>-1.65891833603382E-009</v>
      </c>
      <c r="AA6" s="30" t="str">
        <f aca="false">IF(ABS(NN6-MZ6)&lt;10,"Yes","No")</f>
        <v>Yes</v>
      </c>
      <c r="AC6" s="15" t="n">
        <f aca="false">Inputs!$B$52/(1-0.3154-G6)/Inputs!$B$34</f>
        <v>340.695488721805</v>
      </c>
      <c r="AD6" s="15" t="n">
        <f aca="false">B6^2/AC6</f>
        <v>12.0224662068966</v>
      </c>
      <c r="AE6" s="15" t="n">
        <f aca="false">Inputs!$B$54*H6/(Inputs!$B$35*F6+E6*H6^2/(PI()*AD6*Inputs!$B$36))</f>
        <v>19.925062303877</v>
      </c>
      <c r="AF6" s="15" t="n">
        <f aca="false">EXP(-Inputs!$B$11*Inputs!$B$14*Inputs!$B$17/(Inputs!$B$51*AE6*Inputs!$B$16))</f>
        <v>0.759991280953072</v>
      </c>
      <c r="AG6" s="15" t="n">
        <f aca="false">Inputs!$B$50*Inputs!$B$18*AF6*Inputs!$B$19</f>
        <v>0.74260589474667</v>
      </c>
      <c r="AH6" s="15" t="n">
        <f aca="false">1-AG6</f>
        <v>0.25739410525333</v>
      </c>
      <c r="AI6" s="15" t="n">
        <f aca="false">Inputs!$B$20*AH6</f>
        <v>0.0077218231575999</v>
      </c>
      <c r="AJ6" s="15" t="n">
        <f aca="false">0.8*(1-Inputs!$B$50)*(AG6-AI6)</f>
        <v>0.00177004765390201</v>
      </c>
      <c r="AK6" s="15" t="n">
        <f aca="false">AG6-AI6-AJ6</f>
        <v>0.733114023935168</v>
      </c>
      <c r="AL6" s="15" t="n">
        <f aca="false">AK6*(1-Inputs!$B$18*EXP(-Inputs!$B$21*Inputs!$B$14*Inputs!$B$17/(Inputs!$B$22*Inputs!$B$23*Inputs!$B$24*AE6*Inputs!$B$16))*Inputs!$B$19)</f>
        <v>0.0261632020143535</v>
      </c>
      <c r="AM6" s="15" t="n">
        <f aca="false">(AK6-AL6)*(1-EXP(-Inputs!$B$25*Inputs!$B$14*Inputs!$B$17*Inputs!$B$26/(AE6*Inputs!$B$16/0.866)))</f>
        <v>0.0073702012641481</v>
      </c>
      <c r="AN6" s="15" t="n">
        <f aca="false">(AK6-AL6-AM6)*(1-Inputs!$B$19)</f>
        <v>0.00349790310328334</v>
      </c>
      <c r="AO6" s="15" t="n">
        <f aca="false">(AH6+AI6+AJ6+AL6+AM6+AN6)*(1+Inputs!$B$27)</f>
        <v>0.304829034293957</v>
      </c>
      <c r="AP6" s="15" t="n">
        <f aca="false">Inputs!$B$52/(1-AO6-G6)</f>
        <v>191718.956665951</v>
      </c>
      <c r="AQ6" s="15" t="n">
        <f aca="false">AP6/Inputs!$B$34</f>
        <v>319.531594443252</v>
      </c>
      <c r="AR6" s="15" t="n">
        <f aca="false">B6^2/AQ6</f>
        <v>12.818763687944</v>
      </c>
      <c r="AS6" s="15" t="n">
        <f aca="false">Inputs!$B$54*H6/(Inputs!$B$35*F6+E6*H6^2/(PI()*AR6*Inputs!$B$36))</f>
        <v>20.2435803909163</v>
      </c>
      <c r="AT6" s="15" t="n">
        <f aca="false">EXP(-Inputs!$B$11*Inputs!$B$14*Inputs!$B$17/(Inputs!$B$51*AS6*Inputs!$B$16))</f>
        <v>0.763280206091432</v>
      </c>
      <c r="AU6" s="15" t="n">
        <f aca="false">Inputs!$B$50*Inputs!$B$18*AT6*Inputs!$B$19</f>
        <v>0.745819583188021</v>
      </c>
      <c r="AV6" s="15" t="n">
        <f aca="false">1-AU6</f>
        <v>0.254180416811979</v>
      </c>
      <c r="AW6" s="15" t="n">
        <f aca="false">Inputs!$B$20*AV6</f>
        <v>0.00762541250435937</v>
      </c>
      <c r="AX6" s="15" t="n">
        <f aca="false">0.8*(1-Inputs!$B$50)*(AU6-AW6)</f>
        <v>0.00177802038506203</v>
      </c>
      <c r="AY6" s="15" t="n">
        <f aca="false">AU6-AW6-AX6</f>
        <v>0.7364161502986</v>
      </c>
      <c r="AZ6" s="15" t="n">
        <f aca="false">AY6*(1-Inputs!$B$18*EXP(-Inputs!$B$21*Inputs!$B$14*Inputs!$B$17/(Inputs!$B$22*Inputs!$B$23*Inputs!$B$24*AS6*Inputs!$B$16))*Inputs!$B$19)</f>
        <v>0.0260998583152102</v>
      </c>
      <c r="BA6" s="15" t="n">
        <f aca="false">(AY6-AZ6)*(1-EXP(-Inputs!$B$25*Inputs!$B$14*Inputs!$B$17*Inputs!$B$26/(AS6*Inputs!$B$16/0.866)))</f>
        <v>0.00728937051722543</v>
      </c>
      <c r="BB6" s="15" t="n">
        <f aca="false">(AY6-AZ6-BA6)*(1-Inputs!$B$19)</f>
        <v>0.00351513460733082</v>
      </c>
      <c r="BC6" s="15" t="n">
        <f aca="false">(AV6+AW6+AX6+AZ6+BA6+BB6)*(1+Inputs!$B$27)</f>
        <v>0.30138967778059</v>
      </c>
      <c r="BD6" s="15" t="n">
        <f aca="false">Inputs!$B$52/(1-BC6-G6)</f>
        <v>187920.853915405</v>
      </c>
      <c r="BE6" s="15" t="n">
        <f aca="false">BD6/Inputs!$B$34</f>
        <v>313.201423192341</v>
      </c>
      <c r="BF6" s="15" t="n">
        <f aca="false">B6^2/BE6</f>
        <v>13.0778460654842</v>
      </c>
      <c r="BG6" s="15" t="n">
        <f aca="false">Inputs!$B$54*H6/(Inputs!$B$35*F6+E6*H6^2/(PI()*BF6*Inputs!$B$36))</f>
        <v>20.3408378961572</v>
      </c>
      <c r="BH6" s="15" t="n">
        <f aca="false">EXP(-Inputs!$B$11*Inputs!$B$14*Inputs!$B$17/(Inputs!$B$51*BG6*Inputs!$B$16))</f>
        <v>0.764266693891832</v>
      </c>
      <c r="BI6" s="15" t="n">
        <f aca="false">Inputs!$B$50*Inputs!$B$18*BH6*Inputs!$B$19</f>
        <v>0.746783504319792</v>
      </c>
      <c r="BJ6" s="15" t="n">
        <f aca="false">1-BI6</f>
        <v>0.253216495680208</v>
      </c>
      <c r="BK6" s="15" t="n">
        <f aca="false">Inputs!$B$20*BJ6</f>
        <v>0.00759649487040624</v>
      </c>
      <c r="BL6" s="15" t="n">
        <f aca="false">0.8*(1-Inputs!$B$50)*(BI6-BK6)</f>
        <v>0.00178041174445587</v>
      </c>
      <c r="BM6" s="15" t="n">
        <f aca="false">BI6-BK6-BL6</f>
        <v>0.73740659770493</v>
      </c>
      <c r="BN6" s="15" t="n">
        <f aca="false">BM6*(1-Inputs!$B$18*EXP(-Inputs!$B$21*Inputs!$B$14*Inputs!$B$17/(Inputs!$B$22*Inputs!$B$23*Inputs!$B$24*BG6*Inputs!$B$16))*Inputs!$B$19)</f>
        <v>0.0260806854715658</v>
      </c>
      <c r="BO6" s="15" t="n">
        <f aca="false">(BM6-BN6)*(1-EXP(-Inputs!$B$25*Inputs!$B$14*Inputs!$B$17*Inputs!$B$26/(BG6*Inputs!$B$16/0.866)))</f>
        <v>0.00726500736565632</v>
      </c>
      <c r="BP6" s="15" t="n">
        <f aca="false">(BM6-BN6-BO6)*(1-Inputs!$B$19)</f>
        <v>0.00352030452433854</v>
      </c>
      <c r="BQ6" s="15" t="n">
        <f aca="false">(BJ6+BK6+BL6+BN6+BO6+BP6)*(1+Inputs!$B$27)</f>
        <v>0.300357777855601</v>
      </c>
      <c r="BR6" s="15" t="n">
        <f aca="false">Inputs!$B$52/(1-BQ6-G6)</f>
        <v>186810.495190703</v>
      </c>
      <c r="BS6" s="15" t="n">
        <f aca="false">BR6/Inputs!$B$34</f>
        <v>311.350825317839</v>
      </c>
      <c r="BT6" s="15" t="n">
        <f aca="false">B6^2/BS6</f>
        <v>13.1555777821326</v>
      </c>
      <c r="BU6" s="15" t="n">
        <f aca="false">Inputs!$B$54*H6/(Inputs!$B$35*F6+E6*H6^2/(PI()*BT6*Inputs!$B$36))</f>
        <v>20.3694474870448</v>
      </c>
      <c r="BV6" s="15" t="n">
        <f aca="false">EXP(-Inputs!$B$11*Inputs!$B$14*Inputs!$B$17/(Inputs!$B$51*BU6*Inputs!$B$16))</f>
        <v>0.764555330060529</v>
      </c>
      <c r="BW6" s="15" t="n">
        <f aca="false">Inputs!$B$50*Inputs!$B$18*BV6*Inputs!$B$19</f>
        <v>0.747065537713705</v>
      </c>
      <c r="BX6" s="15" t="n">
        <f aca="false">1-BW6</f>
        <v>0.252934462286295</v>
      </c>
      <c r="BY6" s="15" t="n">
        <f aca="false">Inputs!$B$20*BX6</f>
        <v>0.00758803386858884</v>
      </c>
      <c r="BZ6" s="15" t="n">
        <f aca="false">0.8*(1-Inputs!$B$50)*(BW6-BY6)</f>
        <v>0.00178111143158138</v>
      </c>
      <c r="CA6" s="15" t="n">
        <f aca="false">BW6-BY6-BZ6</f>
        <v>0.737696392413535</v>
      </c>
      <c r="CB6" s="15" t="n">
        <f aca="false">CA6*(1-Inputs!$B$18*EXP(-Inputs!$B$21*Inputs!$B$14*Inputs!$B$17/(Inputs!$B$22*Inputs!$B$23*Inputs!$B$24*BU6*Inputs!$B$16))*Inputs!$B$19)</f>
        <v>0.0260750605938989</v>
      </c>
      <c r="CC6" s="15" t="n">
        <f aca="false">(CA6-CB6)*(1-EXP(-Inputs!$B$25*Inputs!$B$14*Inputs!$B$17*Inputs!$B$26/(BU6*Inputs!$B$16/0.866)))</f>
        <v>0.00725786862784692</v>
      </c>
      <c r="CD6" s="15" t="n">
        <f aca="false">(CA6-CB6-CC6)*(1-Inputs!$B$19)</f>
        <v>0.00352181731595895</v>
      </c>
      <c r="CE6" s="15" t="n">
        <f aca="false">(BX6+BY6+BZ6+CB6+CC6+CD6)*(1+Inputs!$B$27)</f>
        <v>0.300055829186542</v>
      </c>
      <c r="CF6" s="15" t="n">
        <f aca="false">Inputs!$B$52/(1-CE6-G6)</f>
        <v>186488.065582865</v>
      </c>
      <c r="CG6" s="15" t="n">
        <f aca="false">CF6/Inputs!$B$34</f>
        <v>310.813442638108</v>
      </c>
      <c r="CH6" s="15" t="n">
        <f aca="false">B6^2/CG6</f>
        <v>13.1783231935986</v>
      </c>
      <c r="CI6" s="15" t="n">
        <f aca="false">Inputs!$B$54*H6/(Inputs!$B$35*F6+E6*H6^2/(PI()*CH6*Inputs!$B$36))</f>
        <v>20.3777703180676</v>
      </c>
      <c r="CJ6" s="15" t="n">
        <f aca="false">EXP(-Inputs!$B$11*Inputs!$B$14*Inputs!$B$17/(Inputs!$B$51*CI6*Inputs!$B$16))</f>
        <v>0.764639165598814</v>
      </c>
      <c r="CK6" s="15" t="n">
        <f aca="false">Inputs!$B$50*Inputs!$B$18*CJ6*Inputs!$B$19</f>
        <v>0.747147455449447</v>
      </c>
      <c r="CL6" s="15" t="n">
        <f aca="false">1-CK6</f>
        <v>0.252852544550553</v>
      </c>
      <c r="CM6" s="15" t="n">
        <f aca="false">Inputs!$B$20*CL6</f>
        <v>0.00758557633651658</v>
      </c>
      <c r="CN6" s="15" t="n">
        <f aca="false">0.8*(1-Inputs!$B$50)*(CK6-CM6)</f>
        <v>0.00178131465852644</v>
      </c>
      <c r="CO6" s="15" t="n">
        <f aca="false">CK6-CM6-CN6</f>
        <v>0.737780564454404</v>
      </c>
      <c r="CP6" s="15" t="n">
        <f aca="false">CO6*(1-Inputs!$B$18*EXP(-Inputs!$B$21*Inputs!$B$14*Inputs!$B$17/(Inputs!$B$22*Inputs!$B$23*Inputs!$B$24*CI6*Inputs!$B$16))*Inputs!$B$19)</f>
        <v>0.026073425545024</v>
      </c>
      <c r="CQ6" s="15" t="n">
        <f aca="false">(CO6-CP6)*(1-EXP(-Inputs!$B$25*Inputs!$B$14*Inputs!$B$17*Inputs!$B$26/(CI6*Inputs!$B$16/0.866)))</f>
        <v>0.00725579427665262</v>
      </c>
      <c r="CR6" s="15" t="n">
        <f aca="false">(CO6-CP6-CQ6)*(1-Inputs!$B$19)</f>
        <v>0.00352225672316364</v>
      </c>
      <c r="CS6" s="15" t="n">
        <f aca="false">(CL6+CM6+CN6+CP6+CQ6+CR6)*(1+Inputs!$B$27)</f>
        <v>0.299968124826707</v>
      </c>
      <c r="CT6" s="15" t="n">
        <f aca="false">Inputs!$B$52/(1-CS6-G6)</f>
        <v>186394.620795208</v>
      </c>
      <c r="CU6" s="15" t="n">
        <f aca="false">CT6/Inputs!$B$34</f>
        <v>310.657701325346</v>
      </c>
      <c r="CV6" s="15" t="n">
        <f aca="false">B6^2/CU6</f>
        <v>13.1849298521344</v>
      </c>
      <c r="CW6" s="15" t="n">
        <f aca="false">Inputs!$B$54*H6/(Inputs!$B$35*F6+E6*H6^2/(PI()*CV6*Inputs!$B$36))</f>
        <v>20.3801836668309</v>
      </c>
      <c r="CX6" s="15" t="n">
        <f aca="false">EXP(-Inputs!$B$11*Inputs!$B$14*Inputs!$B$17/(Inputs!$B$51*CW6*Inputs!$B$16))</f>
        <v>0.764663464074684</v>
      </c>
      <c r="CY6" s="15" t="n">
        <f aca="false">Inputs!$B$50*Inputs!$B$18*CX6*Inputs!$B$19</f>
        <v>0.747171198078958</v>
      </c>
      <c r="CZ6" s="15" t="n">
        <f aca="false">1-CY6</f>
        <v>0.252828801921042</v>
      </c>
      <c r="DA6" s="15" t="n">
        <f aca="false">Inputs!$B$20*CZ6</f>
        <v>0.00758486405763127</v>
      </c>
      <c r="DB6" s="15" t="n">
        <f aca="false">0.8*(1-Inputs!$B$50)*(CY6-DA6)</f>
        <v>0.00178137356081444</v>
      </c>
      <c r="DC6" s="15" t="n">
        <f aca="false">CY6-DA6-DB6</f>
        <v>0.737804960460512</v>
      </c>
      <c r="DD6" s="15" t="n">
        <f aca="false">DC6*(1-Inputs!$B$18*EXP(-Inputs!$B$21*Inputs!$B$14*Inputs!$B$17/(Inputs!$B$22*Inputs!$B$23*Inputs!$B$24*CW6*Inputs!$B$16))*Inputs!$B$19)</f>
        <v>0.0260729515428554</v>
      </c>
      <c r="DE6" s="15" t="n">
        <f aca="false">(DC6-DD6)*(1-EXP(-Inputs!$B$25*Inputs!$B$14*Inputs!$B$17*Inputs!$B$26/(CW6*Inputs!$B$16/0.866)))</f>
        <v>0.007255192983308</v>
      </c>
      <c r="DF6" s="15" t="n">
        <f aca="false">(DC6-DD6-DE6)*(1-Inputs!$B$19)</f>
        <v>0.00352238407967175</v>
      </c>
      <c r="DG6" s="15" t="n">
        <f aca="false">(CZ6+DA6+DB6+DD6+DE6+DF6)*(1+Inputs!$B$27)</f>
        <v>0.299942704849759</v>
      </c>
      <c r="DH6" s="15" t="n">
        <f aca="false">Inputs!$B$52/(1-DG6-G6)</f>
        <v>186367.554531218</v>
      </c>
      <c r="DI6" s="15" t="n">
        <f aca="false">DH6/Inputs!$B$34</f>
        <v>310.612590885363</v>
      </c>
      <c r="DJ6" s="15" t="n">
        <f aca="false">B6^2/DI6</f>
        <v>13.1868447068577</v>
      </c>
      <c r="DK6" s="15" t="n">
        <f aca="false">Inputs!$B$54*H6/(Inputs!$B$35*F6+E6*H6^2/(PI()*DJ6*Inputs!$B$36))</f>
        <v>20.3808827995844</v>
      </c>
      <c r="DL6" s="15" t="n">
        <f aca="false">EXP(-Inputs!$B$11*Inputs!$B$14*Inputs!$B$17/(Inputs!$B$51*DK6*Inputs!$B$16))</f>
        <v>0.764670502267559</v>
      </c>
      <c r="DM6" s="15" t="n">
        <f aca="false">Inputs!$B$50*Inputs!$B$18*DL6*Inputs!$B$19</f>
        <v>0.747178075267747</v>
      </c>
      <c r="DN6" s="15" t="n">
        <f aca="false">1-DM6</f>
        <v>0.252821924732253</v>
      </c>
      <c r="DO6" s="15" t="n">
        <f aca="false">Inputs!$B$20*DN6</f>
        <v>0.00758465774196759</v>
      </c>
      <c r="DP6" s="15" t="n">
        <f aca="false">0.8*(1-Inputs!$B$50)*(DM6-DO6)</f>
        <v>0.00178139062219993</v>
      </c>
      <c r="DQ6" s="15" t="n">
        <f aca="false">DM6-DO6-DP6</f>
        <v>0.737812026903579</v>
      </c>
      <c r="DR6" s="15" t="n">
        <f aca="false">DQ6*(1-Inputs!$B$18*EXP(-Inputs!$B$21*Inputs!$B$14*Inputs!$B$17/(Inputs!$B$22*Inputs!$B$23*Inputs!$B$24*DK6*Inputs!$B$16))*Inputs!$B$19)</f>
        <v>0.0260728142363669</v>
      </c>
      <c r="DS6" s="15" t="n">
        <f aca="false">(DQ6-DR6)*(1-EXP(-Inputs!$B$25*Inputs!$B$14*Inputs!$B$17*Inputs!$B$26/(DK6*Inputs!$B$16/0.866)))</f>
        <v>0.00725501880905643</v>
      </c>
      <c r="DT6" s="15" t="n">
        <f aca="false">(DQ6-DR6-DS6)*(1-Inputs!$B$19)</f>
        <v>0.00352242096929078</v>
      </c>
      <c r="DU6" s="15" t="n">
        <f aca="false">(DN6+DO6+DP6+DR6+DS6+DT6)*(1+Inputs!$B$27)</f>
        <v>0.299935341792468</v>
      </c>
      <c r="DV6" s="15" t="n">
        <f aca="false">Inputs!$B$52/(1-DU6-G6)</f>
        <v>186359.716084582</v>
      </c>
      <c r="DW6" s="15" t="n">
        <f aca="false">DV6/Inputs!$B$34</f>
        <v>310.599526807636</v>
      </c>
      <c r="DX6" s="15" t="n">
        <f aca="false">B6^2/DW6</f>
        <v>13.1873993566538</v>
      </c>
      <c r="DY6" s="15" t="n">
        <f aca="false">Inputs!$B$54*H6/(Inputs!$B$35*F6+E6*H6^2/(PI()*DX6*Inputs!$B$36))</f>
        <v>20.3810852788486</v>
      </c>
      <c r="DZ6" s="15" t="n">
        <f aca="false">EXP(-Inputs!$B$11*Inputs!$B$14*Inputs!$B$17/(Inputs!$B$51*DY6*Inputs!$B$16))</f>
        <v>0.764672540555027</v>
      </c>
      <c r="EA6" s="15" t="n">
        <f aca="false">Inputs!$B$50*Inputs!$B$18*DZ6*Inputs!$B$19</f>
        <v>0.747180066927818</v>
      </c>
      <c r="EB6" s="15" t="n">
        <f aca="false">1-EA6</f>
        <v>0.252819933072182</v>
      </c>
      <c r="EC6" s="15" t="n">
        <f aca="false">Inputs!$B$20*EB6</f>
        <v>0.00758459799216546</v>
      </c>
      <c r="ED6" s="15" t="n">
        <f aca="false">0.8*(1-Inputs!$B$50)*(EA6-EC6)</f>
        <v>0.00178139556324216</v>
      </c>
      <c r="EE6" s="15" t="n">
        <f aca="false">EA6-EC6-ED6</f>
        <v>0.73781407337241</v>
      </c>
      <c r="EF6" s="15" t="n">
        <f aca="false">EE6*(1-Inputs!$B$18*EXP(-Inputs!$B$21*Inputs!$B$14*Inputs!$B$17/(Inputs!$B$22*Inputs!$B$23*Inputs!$B$24*DY6*Inputs!$B$16))*Inputs!$B$19)</f>
        <v>0.0260727744711262</v>
      </c>
      <c r="EG6" s="15" t="n">
        <f aca="false">(EE6-EF6)*(1-EXP(-Inputs!$B$25*Inputs!$B$14*Inputs!$B$17*Inputs!$B$26/(DY6*Inputs!$B$16/0.866)))</f>
        <v>0.00725496836701074</v>
      </c>
      <c r="EH6" s="15" t="n">
        <f aca="false">(EE6-EF6-EG6)*(1-Inputs!$B$19)</f>
        <v>0.00352243165267137</v>
      </c>
      <c r="EI6" s="15" t="n">
        <f aca="false">(EB6+EC6+ED6+EF6+EG6+EH6)*(1+Inputs!$B$27)</f>
        <v>0.299933209421753</v>
      </c>
      <c r="EJ6" s="15" t="n">
        <f aca="false">Inputs!$B$52/(1-EI6-G6)</f>
        <v>186357.446162344</v>
      </c>
      <c r="EK6" s="15" t="n">
        <f aca="false">EJ6/Inputs!$B$34</f>
        <v>310.595743603907</v>
      </c>
      <c r="EL6" s="15" t="n">
        <f aca="false">B6^2/EK6</f>
        <v>13.1875599854437</v>
      </c>
      <c r="EM6" s="15" t="n">
        <f aca="false">Inputs!$B$54*H6/(Inputs!$B$35*F6+E6*H6^2/(PI()*EL6*Inputs!$B$36))</f>
        <v>20.3811439152207</v>
      </c>
      <c r="EN6" s="15" t="n">
        <f aca="false">EXP(-Inputs!$B$11*Inputs!$B$14*Inputs!$B$17/(Inputs!$B$51*EM6*Inputs!$B$16))</f>
        <v>0.764673130820192</v>
      </c>
      <c r="EO6" s="15" t="n">
        <f aca="false">Inputs!$B$50*Inputs!$B$18*EN6*Inputs!$B$19</f>
        <v>0.747180643690213</v>
      </c>
      <c r="EP6" s="15" t="n">
        <f aca="false">1-EO6</f>
        <v>0.252819356309787</v>
      </c>
      <c r="EQ6" s="15" t="n">
        <f aca="false">Inputs!$B$20*EP6</f>
        <v>0.00758458068929361</v>
      </c>
      <c r="ER6" s="15" t="n">
        <f aca="false">0.8*(1-Inputs!$B$50)*(EO6-EQ6)</f>
        <v>0.00178139699411252</v>
      </c>
      <c r="ES6" s="15" t="n">
        <f aca="false">EO6-EQ6-ER6</f>
        <v>0.737814666006807</v>
      </c>
      <c r="ET6" s="15" t="n">
        <f aca="false">ES6*(1-Inputs!$B$18*EXP(-Inputs!$B$21*Inputs!$B$14*Inputs!$B$17/(Inputs!$B$22*Inputs!$B$23*Inputs!$B$24*EM6*Inputs!$B$16))*Inputs!$B$19)</f>
        <v>0.0260727629554955</v>
      </c>
      <c r="EU6" s="15" t="n">
        <f aca="false">(ES6-ET6)*(1-EXP(-Inputs!$B$25*Inputs!$B$14*Inputs!$B$17*Inputs!$B$26/(EM6*Inputs!$B$16/0.866)))</f>
        <v>0.00725495375951717</v>
      </c>
      <c r="EV6" s="15" t="n">
        <f aca="false">(ES6-ET6-EU6)*(1-Inputs!$B$19)</f>
        <v>0.00352243474645898</v>
      </c>
      <c r="EW6" s="15" t="n">
        <f aca="false">(EP6+EQ6+ER6+ET6+EU6+EV6)*(1+Inputs!$B$27)</f>
        <v>0.299932591911029</v>
      </c>
      <c r="EX6" s="15" t="n">
        <f aca="false">Inputs!$B$52/(1-EW6-G6)</f>
        <v>186356.788828561</v>
      </c>
      <c r="EY6" s="15" t="n">
        <f aca="false">EX6/Inputs!$B$34</f>
        <v>310.594648047602</v>
      </c>
      <c r="EZ6" s="15" t="n">
        <f aca="false">B6^2/EY6</f>
        <v>13.1876065017458</v>
      </c>
      <c r="FA6" s="15" t="n">
        <f aca="false">Inputs!$B$54*H6/(Inputs!$B$35*F6+E6*H6^2/(PI()*EZ6*Inputs!$B$36))</f>
        <v>20.3811608954549</v>
      </c>
      <c r="FB6" s="15" t="n">
        <f aca="false">EXP(-Inputs!$B$11*Inputs!$B$14*Inputs!$B$17/(Inputs!$B$51*FA6*Inputs!$B$16))</f>
        <v>0.764673301751787</v>
      </c>
      <c r="FC6" s="15" t="n">
        <f aca="false">Inputs!$B$50*Inputs!$B$18*FB6*Inputs!$B$19</f>
        <v>0.747180810711616</v>
      </c>
      <c r="FD6" s="15" t="n">
        <f aca="false">1-FC6</f>
        <v>0.252819189288384</v>
      </c>
      <c r="FE6" s="15" t="n">
        <f aca="false">Inputs!$B$20*FD6</f>
        <v>0.00758457567865153</v>
      </c>
      <c r="FF6" s="15" t="n">
        <f aca="false">0.8*(1-Inputs!$B$50)*(FC6-FE6)</f>
        <v>0.00178139740847028</v>
      </c>
      <c r="FG6" s="15" t="n">
        <f aca="false">FC6-FE6-FF6</f>
        <v>0.737814837624494</v>
      </c>
      <c r="FH6" s="15" t="n">
        <f aca="false">FG6*(1-Inputs!$B$18*EXP(-Inputs!$B$21*Inputs!$B$14*Inputs!$B$17/(Inputs!$B$22*Inputs!$B$23*Inputs!$B$24*FA6*Inputs!$B$16))*Inputs!$B$19)</f>
        <v>0.0260727596207429</v>
      </c>
      <c r="FI6" s="15" t="n">
        <f aca="false">(FG6-FH6)*(1-EXP(-Inputs!$B$25*Inputs!$B$14*Inputs!$B$17*Inputs!$B$26/(FA6*Inputs!$B$16/0.866)))</f>
        <v>0.00725494952941099</v>
      </c>
      <c r="FJ6" s="15" t="n">
        <f aca="false">(FG6-FH6-FI6)*(1-Inputs!$B$19)</f>
        <v>0.0035224356423717</v>
      </c>
      <c r="FK6" s="15" t="n">
        <f aca="false">(FD6+FE6+FF6+FH6+FI6+FJ6)*(1+Inputs!$B$27)</f>
        <v>0.299932413089536</v>
      </c>
      <c r="FL6" s="15" t="n">
        <f aca="false">Inputs!$B$52/(1-FK6-G6)</f>
        <v>186356.598475797</v>
      </c>
      <c r="FM6" s="15" t="n">
        <f aca="false">FL6/Inputs!$B$34</f>
        <v>310.594330792994</v>
      </c>
      <c r="FN6" s="15" t="n">
        <f aca="false">B6^2/FM6</f>
        <v>13.1876199721427</v>
      </c>
      <c r="FO6" s="15" t="n">
        <f aca="false">Inputs!$B$54*H6/(Inputs!$B$35*F6+E6*H6^2/(PI()*FN6*Inputs!$B$36))</f>
        <v>20.3811658126493</v>
      </c>
      <c r="FP6" s="15" t="n">
        <f aca="false">EXP(-Inputs!$B$11*Inputs!$B$14*Inputs!$B$17/(Inputs!$B$51*FO6*Inputs!$B$16))</f>
        <v>0.764673351250698</v>
      </c>
      <c r="FQ6" s="15" t="n">
        <f aca="false">Inputs!$B$50*Inputs!$B$18*FP6*Inputs!$B$19</f>
        <v>0.747180859078201</v>
      </c>
      <c r="FR6" s="15" t="n">
        <f aca="false">1-FQ6</f>
        <v>0.252819140921799</v>
      </c>
      <c r="FS6" s="15" t="n">
        <f aca="false">Inputs!$B$20*FR6</f>
        <v>0.00758457422765398</v>
      </c>
      <c r="FT6" s="15" t="n">
        <f aca="false">0.8*(1-Inputs!$B$50)*(FQ6-FS6)</f>
        <v>0.00178139752846131</v>
      </c>
      <c r="FU6" s="15" t="n">
        <f aca="false">FQ6-FS6-FT6</f>
        <v>0.737814887322085</v>
      </c>
      <c r="FV6" s="15" t="n">
        <f aca="false">FU6*(1-Inputs!$B$18*EXP(-Inputs!$B$21*Inputs!$B$14*Inputs!$B$17/(Inputs!$B$22*Inputs!$B$23*Inputs!$B$24*FO6*Inputs!$B$16))*Inputs!$B$19)</f>
        <v>0.0260727586550542</v>
      </c>
      <c r="FW6" s="15" t="n">
        <f aca="false">(FU6-FV6)*(1-EXP(-Inputs!$B$25*Inputs!$B$14*Inputs!$B$17*Inputs!$B$26/(FO6*Inputs!$B$16/0.866)))</f>
        <v>0.00725494830444318</v>
      </c>
      <c r="FX6" s="15" t="n">
        <f aca="false">(FU6-FV6-FW6)*(1-Inputs!$B$19)</f>
        <v>0.00352243590181294</v>
      </c>
      <c r="FY6" s="15" t="n">
        <f aca="false">(FR6+FS6+FT6+FV6+FW6+FX6)*(1+Inputs!$B$27)</f>
        <v>0.299932361305843</v>
      </c>
      <c r="FZ6" s="15" t="n">
        <f aca="false">Inputs!$B$52/(1-FY6-G6)</f>
        <v>186356.543352914</v>
      </c>
      <c r="GA6" s="15" t="n">
        <f aca="false">FZ6/Inputs!$B$34</f>
        <v>310.594238921523</v>
      </c>
      <c r="GB6" s="15" t="n">
        <f aca="false">B6^2/GA6</f>
        <v>13.1876238729429</v>
      </c>
      <c r="GC6" s="15" t="n">
        <f aca="false">Inputs!$B$54*H6/(Inputs!$B$35*F6+E6*H6^2/(PI()*GB6*Inputs!$B$36))</f>
        <v>20.3811672365845</v>
      </c>
      <c r="GD6" s="15" t="n">
        <f aca="false">EXP(-Inputs!$B$11*Inputs!$B$14*Inputs!$B$17/(Inputs!$B$51*GC6*Inputs!$B$16))</f>
        <v>0.76467336558473</v>
      </c>
      <c r="GE6" s="15" t="n">
        <f aca="false">Inputs!$B$50*Inputs!$B$18*GD6*Inputs!$B$19</f>
        <v>0.747180873084331</v>
      </c>
      <c r="GF6" s="15" t="n">
        <f aca="false">1-GE6</f>
        <v>0.252819126915669</v>
      </c>
      <c r="GG6" s="15" t="n">
        <f aca="false">Inputs!$B$20*GF6</f>
        <v>0.00758457380747006</v>
      </c>
      <c r="GH6" s="15" t="n">
        <f aca="false">0.8*(1-Inputs!$B$50)*(GE6-GG6)</f>
        <v>0.00178139756320864</v>
      </c>
      <c r="GI6" s="15" t="n">
        <f aca="false">GE6-GG6-GH6</f>
        <v>0.737814901713653</v>
      </c>
      <c r="GJ6" s="15" t="n">
        <f aca="false">GI6*(1-Inputs!$B$18*EXP(-Inputs!$B$21*Inputs!$B$14*Inputs!$B$17/(Inputs!$B$22*Inputs!$B$23*Inputs!$B$24*GC6*Inputs!$B$16))*Inputs!$B$19)</f>
        <v>0.0260727583754074</v>
      </c>
      <c r="GK6" s="15" t="n">
        <f aca="false">(GI6-GJ6)*(1-EXP(-Inputs!$B$25*Inputs!$B$14*Inputs!$B$17*Inputs!$B$26/(GC6*Inputs!$B$16/0.866)))</f>
        <v>0.0072549479497135</v>
      </c>
      <c r="GL6" s="15" t="n">
        <f aca="false">(GI6-GJ6-GK6)*(1-Inputs!$B$19)</f>
        <v>0.00352243597694266</v>
      </c>
      <c r="GM6" s="15" t="n">
        <f aca="false">(GF6+GG6+GH6+GJ6+GK6+GL6)*(1+Inputs!$B$27)</f>
        <v>0.299932346310176</v>
      </c>
      <c r="GN6" s="15" t="n">
        <f aca="false">Inputs!$B$52/(1-GM6-G6)</f>
        <v>186356.527390282</v>
      </c>
      <c r="GO6" s="15" t="n">
        <f aca="false">GN6/Inputs!$B$34</f>
        <v>310.594212317136</v>
      </c>
      <c r="GP6" s="15" t="n">
        <f aca="false">B6^2/GO6</f>
        <v>13.1876250025475</v>
      </c>
      <c r="GQ6" s="15" t="n">
        <f aca="false">Inputs!$B$54*H6/(Inputs!$B$35*F6+E6*H6^2/(PI()*GP6*Inputs!$B$36))</f>
        <v>20.3811676489316</v>
      </c>
      <c r="GR6" s="15" t="n">
        <f aca="false">EXP(-Inputs!$B$11*Inputs!$B$14*Inputs!$B$17/(Inputs!$B$51*GQ6*Inputs!$B$16))</f>
        <v>0.764673369735618</v>
      </c>
      <c r="GS6" s="15" t="n">
        <f aca="false">Inputs!$B$50*Inputs!$B$18*GR6*Inputs!$B$19</f>
        <v>0.747180877140264</v>
      </c>
      <c r="GT6" s="15" t="n">
        <f aca="false">1-GS6</f>
        <v>0.252819122859736</v>
      </c>
      <c r="GU6" s="15" t="n">
        <f aca="false">Inputs!$B$20*GT6</f>
        <v>0.00758457368579207</v>
      </c>
      <c r="GV6" s="15" t="n">
        <f aca="false">0.8*(1-Inputs!$B$50)*(GS6-GU6)</f>
        <v>0.00178139757327087</v>
      </c>
      <c r="GW6" s="15" t="n">
        <f aca="false">GS6-GU6-GV6</f>
        <v>0.737814905881201</v>
      </c>
      <c r="GX6" s="15" t="n">
        <f aca="false">GW6*(1-Inputs!$B$18*EXP(-Inputs!$B$21*Inputs!$B$14*Inputs!$B$17/(Inputs!$B$22*Inputs!$B$23*Inputs!$B$24*GQ6*Inputs!$B$16))*Inputs!$B$19)</f>
        <v>0.0260727582944265</v>
      </c>
      <c r="GY6" s="15" t="n">
        <f aca="false">(GW6-GX6)*(1-EXP(-Inputs!$B$25*Inputs!$B$14*Inputs!$B$17*Inputs!$B$26/(GQ6*Inputs!$B$16/0.866)))</f>
        <v>0.00725494784699001</v>
      </c>
      <c r="GZ6" s="15" t="n">
        <f aca="false">(GW6-GX6-GY6)*(1-Inputs!$B$19)</f>
        <v>0.00352243599869893</v>
      </c>
      <c r="HA6" s="15" t="n">
        <f aca="false">(GT6+GU6+GV6+GX6+GY6+GZ6)*(1+Inputs!$B$27)</f>
        <v>0.299932341967691</v>
      </c>
      <c r="HB6" s="15" t="n">
        <f aca="false">Inputs!$B$52/(1-HA6-G6)</f>
        <v>186356.52276778</v>
      </c>
      <c r="HC6" s="15" t="n">
        <f aca="false">HB6/Inputs!$B$34</f>
        <v>310.594204612967</v>
      </c>
      <c r="HD6" s="15" t="n">
        <f aca="false">B6^2/HC6</f>
        <v>13.1876253296614</v>
      </c>
      <c r="HE6" s="15" t="n">
        <f aca="false">Inputs!$B$54*H6/(Inputs!$B$35*F6+E6*H6^2/(PI()*HD6*Inputs!$B$36))</f>
        <v>20.3811677683401</v>
      </c>
      <c r="HF6" s="15" t="n">
        <f aca="false">EXP(-Inputs!$B$11*Inputs!$B$14*Inputs!$B$17/(Inputs!$B$51*HE6*Inputs!$B$16))</f>
        <v>0.764673370937643</v>
      </c>
      <c r="HG6" s="15" t="n">
        <f aca="false">Inputs!$B$50*Inputs!$B$18*HF6*Inputs!$B$19</f>
        <v>0.747180878314792</v>
      </c>
      <c r="HH6" s="15" t="n">
        <f aca="false">1-HG6</f>
        <v>0.252819121685208</v>
      </c>
      <c r="HI6" s="15" t="n">
        <f aca="false">Inputs!$B$20*HH6</f>
        <v>0.00758457365055624</v>
      </c>
      <c r="HJ6" s="15" t="n">
        <f aca="false">0.8*(1-Inputs!$B$50)*(HG6-HI6)</f>
        <v>0.00178139757618472</v>
      </c>
      <c r="HK6" s="15" t="n">
        <f aca="false">HG6-HI6-HJ6</f>
        <v>0.737814907088051</v>
      </c>
      <c r="HL6" s="15" t="n">
        <f aca="false">HK6*(1-Inputs!$B$18*EXP(-Inputs!$B$21*Inputs!$B$14*Inputs!$B$17/(Inputs!$B$22*Inputs!$B$23*Inputs!$B$24*HE6*Inputs!$B$16))*Inputs!$B$19)</f>
        <v>0.0260727582709759</v>
      </c>
      <c r="HM6" s="15" t="n">
        <f aca="false">(HK6-HL6)*(1-EXP(-Inputs!$B$25*Inputs!$B$14*Inputs!$B$17*Inputs!$B$26/(HE6*Inputs!$B$16/0.866)))</f>
        <v>0.00725494781724303</v>
      </c>
      <c r="HN6" s="15" t="n">
        <f aca="false">(HK6-HL6-HM6)*(1-Inputs!$B$19)</f>
        <v>0.00352243600499917</v>
      </c>
      <c r="HO6" s="15" t="n">
        <f aca="false">(HH6+HI6+HJ6+HL6+HM6+HN6)*(1+Inputs!$B$27)</f>
        <v>0.299932340710182</v>
      </c>
      <c r="HP6" s="15" t="n">
        <f aca="false">Inputs!$B$52/(1-HO6-G6)</f>
        <v>186356.521429184</v>
      </c>
      <c r="HQ6" s="15" t="n">
        <f aca="false">HP6/Inputs!$B$34</f>
        <v>310.594202381973</v>
      </c>
      <c r="HR6" s="15" t="n">
        <f aca="false">B6^2/HQ6</f>
        <v>13.1876254243879</v>
      </c>
      <c r="HS6" s="15" t="n">
        <f aca="false">Inputs!$B$54*H6/(Inputs!$B$35*F6+E6*H6^2/(PI()*HR6*Inputs!$B$36))</f>
        <v>20.3811678029188</v>
      </c>
      <c r="HT6" s="15" t="n">
        <f aca="false">EXP(-Inputs!$B$11*Inputs!$B$14*Inputs!$B$17/(Inputs!$B$51*HS6*Inputs!$B$16))</f>
        <v>0.764673371285729</v>
      </c>
      <c r="HU6" s="15" t="n">
        <f aca="false">Inputs!$B$50*Inputs!$B$18*HT6*Inputs!$B$19</f>
        <v>0.747180878654915</v>
      </c>
      <c r="HV6" s="15" t="n">
        <f aca="false">1-HU6</f>
        <v>0.252819121345085</v>
      </c>
      <c r="HW6" s="15" t="n">
        <f aca="false">Inputs!$B$20*HV6</f>
        <v>0.00758457364035255</v>
      </c>
      <c r="HX6" s="15" t="n">
        <f aca="false">0.8*(1-Inputs!$B$50)*(HU6-HW6)</f>
        <v>0.00178139757702852</v>
      </c>
      <c r="HY6" s="15" t="n">
        <f aca="false">HU6-HW6-HX6</f>
        <v>0.737814907437534</v>
      </c>
      <c r="HZ6" s="15" t="n">
        <f aca="false">HY6*(1-Inputs!$B$18*EXP(-Inputs!$B$21*Inputs!$B$14*Inputs!$B$17/(Inputs!$B$22*Inputs!$B$23*Inputs!$B$24*HS6*Inputs!$B$16))*Inputs!$B$19)</f>
        <v>0.0260727582641849</v>
      </c>
      <c r="IA6" s="15" t="n">
        <f aca="false">(HY6-HZ6)*(1-EXP(-Inputs!$B$25*Inputs!$B$14*Inputs!$B$17*Inputs!$B$26/(HS6*Inputs!$B$16/0.866)))</f>
        <v>0.00725494780862883</v>
      </c>
      <c r="IB6" s="15" t="n">
        <f aca="false">(HY6-HZ6-IA6)*(1-Inputs!$B$19)</f>
        <v>0.0035224360068236</v>
      </c>
      <c r="IC6" s="15" t="n">
        <f aca="false">(HV6+HW6+HX6+HZ6+IA6+IB6)*(1+Inputs!$B$27)</f>
        <v>0.29993234034603</v>
      </c>
      <c r="ID6" s="15" t="n">
        <f aca="false">Inputs!$B$52/(1-IC6-G6)</f>
        <v>186356.52104155</v>
      </c>
      <c r="IE6" s="15" t="n">
        <f aca="false">ID6/Inputs!$B$34</f>
        <v>310.594201735916</v>
      </c>
      <c r="IF6" s="15" t="n">
        <f aca="false">B6^2/IE6</f>
        <v>13.1876254518191</v>
      </c>
      <c r="IG6" s="15" t="n">
        <f aca="false">Inputs!$B$54*H6/(Inputs!$B$35*F6+E6*H6^2/(PI()*IF6*Inputs!$B$36))</f>
        <v>20.3811678129321</v>
      </c>
      <c r="IH6" s="15" t="n">
        <f aca="false">EXP(-Inputs!$B$11*Inputs!$B$14*Inputs!$B$17/(Inputs!$B$51*IG6*Inputs!$B$16))</f>
        <v>0.764673371386528</v>
      </c>
      <c r="II6" s="15" t="n">
        <f aca="false">Inputs!$B$50*Inputs!$B$18*IH6*Inputs!$B$19</f>
        <v>0.747180878753409</v>
      </c>
      <c r="IJ6" s="15" t="n">
        <f aca="false">1-II6</f>
        <v>0.252819121246591</v>
      </c>
      <c r="IK6" s="15" t="n">
        <f aca="false">Inputs!$B$20*IJ6</f>
        <v>0.00758457363739774</v>
      </c>
      <c r="IL6" s="15" t="n">
        <f aca="false">0.8*(1-Inputs!$B$50)*(II6-IK6)</f>
        <v>0.00178139757727287</v>
      </c>
      <c r="IM6" s="15" t="n">
        <f aca="false">II6-IK6-IL6</f>
        <v>0.737814907538738</v>
      </c>
      <c r="IN6" s="15" t="n">
        <f aca="false">IM6*(1-Inputs!$B$18*EXP(-Inputs!$B$21*Inputs!$B$14*Inputs!$B$17/(Inputs!$B$22*Inputs!$B$23*Inputs!$B$24*IG6*Inputs!$B$16))*Inputs!$B$19)</f>
        <v>0.0260727582622184</v>
      </c>
      <c r="IO6" s="15" t="n">
        <f aca="false">(IM6-IN6)*(1-EXP(-Inputs!$B$25*Inputs!$B$14*Inputs!$B$17*Inputs!$B$26/(IG6*Inputs!$B$16/0.866)))</f>
        <v>0.00725494780613425</v>
      </c>
      <c r="IP6" s="15" t="n">
        <f aca="false">(IM6-IN6-IO6)*(1-Inputs!$B$19)</f>
        <v>0.00352243600735193</v>
      </c>
      <c r="IQ6" s="15" t="n">
        <f aca="false">(IJ6+IK6+IL6+IN6+IO6+IP6)*(1+Inputs!$B$27)</f>
        <v>0.299932340240577</v>
      </c>
      <c r="IR6" s="15" t="n">
        <f aca="false">Inputs!$B$52/(1-IQ6-G6)</f>
        <v>186356.520929298</v>
      </c>
      <c r="IS6" s="15" t="n">
        <f aca="false">IR6/Inputs!$B$34</f>
        <v>310.594201548829</v>
      </c>
      <c r="IT6" s="15" t="n">
        <f aca="false">B6^2/IS6</f>
        <v>13.1876254597627</v>
      </c>
      <c r="IU6" s="15" t="n">
        <f aca="false">Inputs!$B$54*H6/(Inputs!$B$35*F6+E6*H6^2/(PI()*IT6*Inputs!$B$36))</f>
        <v>20.3811678158318</v>
      </c>
      <c r="IV6" s="15" t="n">
        <f aca="false">EXP(-Inputs!$B$11*Inputs!$B$14*Inputs!$B$17/(Inputs!$B$51*IU6*Inputs!$B$16))</f>
        <v>0.764673371415718</v>
      </c>
      <c r="IW6" s="15" t="n">
        <f aca="false">Inputs!$B$50*Inputs!$B$18*IV6*Inputs!$B$19</f>
        <v>0.747180878781931</v>
      </c>
      <c r="IX6" s="15" t="n">
        <f aca="false">1-IW6</f>
        <v>0.252819121218069</v>
      </c>
      <c r="IY6" s="15" t="n">
        <f aca="false">Inputs!$B$20*IX6</f>
        <v>0.00758457363654208</v>
      </c>
      <c r="IZ6" s="15" t="n">
        <f aca="false">0.8*(1-Inputs!$B$50)*(IW6-IY6)</f>
        <v>0.00178139757734363</v>
      </c>
      <c r="JA6" s="15" t="n">
        <f aca="false">IW6-IY6-IZ6</f>
        <v>0.737814907568045</v>
      </c>
      <c r="JB6" s="15" t="n">
        <f aca="false">JA6*(1-Inputs!$B$18*EXP(-Inputs!$B$21*Inputs!$B$14*Inputs!$B$17/(Inputs!$B$22*Inputs!$B$23*Inputs!$B$24*IU6*Inputs!$B$16))*Inputs!$B$19)</f>
        <v>0.0260727582616489</v>
      </c>
      <c r="JC6" s="15" t="n">
        <f aca="false">(JA6-JB6)*(1-EXP(-Inputs!$B$25*Inputs!$B$14*Inputs!$B$17*Inputs!$B$26/(IU6*Inputs!$B$16/0.866)))</f>
        <v>0.00725494780541193</v>
      </c>
      <c r="JD6" s="15" t="n">
        <f aca="false">(JA6-JB6-JC6)*(1-Inputs!$B$19)</f>
        <v>0.00352243600750492</v>
      </c>
      <c r="JE6" s="15" t="n">
        <f aca="false">(IX6+IY6+IZ6+JB6+JC6+JD6)*(1+Inputs!$B$27)</f>
        <v>0.29993234021004</v>
      </c>
      <c r="JF6" s="15" t="n">
        <f aca="false">Inputs!$B$52/(1-JE6-G6)</f>
        <v>186356.520896791</v>
      </c>
      <c r="JG6" s="15" t="n">
        <f aca="false">JF6/Inputs!$B$34</f>
        <v>310.594201494652</v>
      </c>
      <c r="JH6" s="15" t="n">
        <f aca="false">B6^2/JG6</f>
        <v>13.187625462063</v>
      </c>
      <c r="JI6" s="15" t="n">
        <f aca="false">Inputs!$B$54*H6/(Inputs!$B$35*F6+E6*H6^2/(PI()*JH6*Inputs!$B$36))</f>
        <v>20.3811678166715</v>
      </c>
      <c r="JJ6" s="15" t="n">
        <f aca="false">EXP(-Inputs!$B$11*Inputs!$B$14*Inputs!$B$17/(Inputs!$B$51*JI6*Inputs!$B$16))</f>
        <v>0.764673371424171</v>
      </c>
      <c r="JK6" s="15" t="n">
        <f aca="false">Inputs!$B$50*Inputs!$B$18*JJ6*Inputs!$B$19</f>
        <v>0.74718087879019</v>
      </c>
      <c r="JL6" s="15" t="n">
        <f aca="false">1-JK6</f>
        <v>0.25281912120981</v>
      </c>
      <c r="JM6" s="15" t="n">
        <f aca="false">Inputs!$B$20*JL6</f>
        <v>0.0075845736362943</v>
      </c>
      <c r="JN6" s="15" t="n">
        <f aca="false">0.8*(1-Inputs!$B$50)*(JK6-JM6)</f>
        <v>0.00178139757736412</v>
      </c>
      <c r="JO6" s="15" t="n">
        <f aca="false">JK6-JM6-JN6</f>
        <v>0.737814907576532</v>
      </c>
      <c r="JP6" s="15" t="n">
        <f aca="false">JO6*(1-Inputs!$B$18*EXP(-Inputs!$B$21*Inputs!$B$14*Inputs!$B$17/(Inputs!$B$22*Inputs!$B$23*Inputs!$B$24*JI6*Inputs!$B$16))*Inputs!$B$19)</f>
        <v>0.026072758261484</v>
      </c>
      <c r="JQ6" s="15" t="n">
        <f aca="false">(JO6-JP6)*(1-EXP(-Inputs!$B$25*Inputs!$B$14*Inputs!$B$17*Inputs!$B$26/(JI6*Inputs!$B$16/0.866)))</f>
        <v>0.00725494780520269</v>
      </c>
      <c r="JR6" s="15" t="n">
        <f aca="false">(JO6-JP6-JQ6)*(1-Inputs!$B$19)</f>
        <v>0.00352243600754923</v>
      </c>
      <c r="JS6" s="15" t="n">
        <f aca="false">(JL6+JM6+JN6+JP6+JQ6+JR6)*(1+Inputs!$B$27)</f>
        <v>0.299932340201197</v>
      </c>
      <c r="JT6" s="15" t="n">
        <f aca="false">Inputs!$B$52/(1-JS6-G6)</f>
        <v>186356.520887378</v>
      </c>
      <c r="JU6" s="15" t="n">
        <f aca="false">JT6/Inputs!$B$34</f>
        <v>310.594201478964</v>
      </c>
      <c r="JV6" s="15" t="n">
        <f aca="false">B6^2/JU6</f>
        <v>13.1876254627291</v>
      </c>
      <c r="JW6" s="15" t="n">
        <f aca="false">Inputs!$B$54*H6/(Inputs!$B$35*F6+E6*H6^2/(PI()*JV6*Inputs!$B$36))</f>
        <v>20.3811678169147</v>
      </c>
      <c r="JX6" s="15" t="n">
        <f aca="false">EXP(-Inputs!$B$11*Inputs!$B$14*Inputs!$B$17/(Inputs!$B$51*JW6*Inputs!$B$16))</f>
        <v>0.764673371426619</v>
      </c>
      <c r="JY6" s="15" t="n">
        <f aca="false">Inputs!$B$50*Inputs!$B$18*JX6*Inputs!$B$19</f>
        <v>0.747180878792582</v>
      </c>
      <c r="JZ6" s="15" t="n">
        <f aca="false">1-JY6</f>
        <v>0.252819121207418</v>
      </c>
      <c r="KA6" s="15" t="n">
        <f aca="false">Inputs!$B$20*JZ6</f>
        <v>0.00758457363622254</v>
      </c>
      <c r="KB6" s="15" t="n">
        <f aca="false">0.8*(1-Inputs!$B$50)*(JY6-KA6)</f>
        <v>0.00178139757737005</v>
      </c>
      <c r="KC6" s="15" t="n">
        <f aca="false">JY6-KA6-KB6</f>
        <v>0.737814907578989</v>
      </c>
      <c r="KD6" s="15" t="n">
        <f aca="false">KC6*(1-Inputs!$B$18*EXP(-Inputs!$B$21*Inputs!$B$14*Inputs!$B$17/(Inputs!$B$22*Inputs!$B$23*Inputs!$B$24*JW6*Inputs!$B$16))*Inputs!$B$19)</f>
        <v>0.0260727582614363</v>
      </c>
      <c r="KE6" s="15" t="n">
        <f aca="false">(KC6-KD6)*(1-EXP(-Inputs!$B$25*Inputs!$B$14*Inputs!$B$17*Inputs!$B$26/(JW6*Inputs!$B$16/0.866)))</f>
        <v>0.00725494780514218</v>
      </c>
      <c r="KF6" s="15" t="n">
        <f aca="false">(KC6-KD6-KE6)*(1-Inputs!$B$19)</f>
        <v>0.00352243600756206</v>
      </c>
      <c r="KG6" s="15" t="n">
        <f aca="false">(JZ6+KA6+KB6+KD6+KE6+KF6)*(1+Inputs!$B$27)</f>
        <v>0.299932340198637</v>
      </c>
      <c r="KH6" s="15" t="n">
        <f aca="false">Inputs!$B$52/(1-KG6-G6)</f>
        <v>186356.520884653</v>
      </c>
      <c r="KI6" s="15" t="n">
        <f aca="false">KH6/Inputs!$B$34</f>
        <v>310.594201474421</v>
      </c>
      <c r="KJ6" s="15" t="n">
        <f aca="false">B6^2/KI6</f>
        <v>13.187625462922</v>
      </c>
      <c r="KK6" s="15" t="n">
        <f aca="false">Inputs!$B$54*H6/(Inputs!$B$35*F6+E6*H6^2/(PI()*KJ6*Inputs!$B$36))</f>
        <v>20.3811678169851</v>
      </c>
      <c r="KL6" s="15" t="n">
        <f aca="false">EXP(-Inputs!$B$11*Inputs!$B$14*Inputs!$B$17/(Inputs!$B$51*KK6*Inputs!$B$16))</f>
        <v>0.764673371427328</v>
      </c>
      <c r="KM6" s="15" t="n">
        <f aca="false">Inputs!$B$50*Inputs!$B$18*KL6*Inputs!$B$19</f>
        <v>0.747180878793275</v>
      </c>
      <c r="KN6" s="15" t="n">
        <f aca="false">1-KM6</f>
        <v>0.252819121206725</v>
      </c>
      <c r="KO6" s="15" t="n">
        <f aca="false">Inputs!$B$20*KN6</f>
        <v>0.00758457363620176</v>
      </c>
      <c r="KP6" s="15" t="n">
        <f aca="false">0.8*(1-Inputs!$B$50)*(KM6-KO6)</f>
        <v>0.00178139757737177</v>
      </c>
      <c r="KQ6" s="15" t="n">
        <f aca="false">KM6-KO6-KP6</f>
        <v>0.737814907579701</v>
      </c>
      <c r="KR6" s="15" t="n">
        <f aca="false">KQ6*(1-Inputs!$B$18*EXP(-Inputs!$B$21*Inputs!$B$14*Inputs!$B$17/(Inputs!$B$22*Inputs!$B$23*Inputs!$B$24*KK6*Inputs!$B$16))*Inputs!$B$19)</f>
        <v>0.0260727582614224</v>
      </c>
      <c r="KS6" s="15" t="n">
        <f aca="false">(KQ6-KR6)*(1-EXP(-Inputs!$B$25*Inputs!$B$14*Inputs!$B$17*Inputs!$B$26/(KK6*Inputs!$B$16/0.866)))</f>
        <v>0.0072549478051246</v>
      </c>
      <c r="KT6" s="15" t="n">
        <f aca="false">(KQ6-KR6-KS6)*(1-Inputs!$B$19)</f>
        <v>0.00352243600756577</v>
      </c>
      <c r="KU6" s="15" t="n">
        <f aca="false">(KN6+KO6+KP6+KR6+KS6+KT6)*(1+Inputs!$B$27)</f>
        <v>0.299932340197895</v>
      </c>
      <c r="KV6" s="15" t="n">
        <f aca="false">Inputs!$B$52/(1-KU6-G6)</f>
        <v>186356.520883863</v>
      </c>
      <c r="KW6" s="15" t="n">
        <f aca="false">KV6/Inputs!$B$34</f>
        <v>310.594201473105</v>
      </c>
      <c r="KX6" s="15" t="n">
        <f aca="false">B6^2/KW6</f>
        <v>13.1876254629779</v>
      </c>
      <c r="KY6" s="15" t="n">
        <f aca="false">Inputs!$B$54*H6/(Inputs!$B$35*F6+E6*H6^2/(PI()*KX6*Inputs!$B$36))</f>
        <v>20.3811678170055</v>
      </c>
      <c r="KZ6" s="15" t="n">
        <f aca="false">EXP(-Inputs!$B$11*Inputs!$B$14*Inputs!$B$17/(Inputs!$B$51*KY6*Inputs!$B$16))</f>
        <v>0.764673371427533</v>
      </c>
      <c r="LA6" s="15" t="n">
        <f aca="false">Inputs!$B$50*Inputs!$B$18*KZ6*Inputs!$B$19</f>
        <v>0.747180878793475</v>
      </c>
      <c r="LB6" s="15" t="n">
        <f aca="false">1-LA6</f>
        <v>0.252819121206525</v>
      </c>
      <c r="LC6" s="15" t="n">
        <f aca="false">Inputs!$B$20*LB6</f>
        <v>0.00758457363619574</v>
      </c>
      <c r="LD6" s="15" t="n">
        <f aca="false">0.8*(1-Inputs!$B$50)*(LA6-LC6)</f>
        <v>0.00178139757737227</v>
      </c>
      <c r="LE6" s="15" t="n">
        <f aca="false">LA6-LC6-LD6</f>
        <v>0.737814907579907</v>
      </c>
      <c r="LF6" s="15" t="n">
        <f aca="false">LE6*(1-Inputs!$B$18*EXP(-Inputs!$B$21*Inputs!$B$14*Inputs!$B$17/(Inputs!$B$22*Inputs!$B$23*Inputs!$B$24*KY6*Inputs!$B$16))*Inputs!$B$19)</f>
        <v>0.0260727582614184</v>
      </c>
      <c r="LG6" s="15" t="n">
        <f aca="false">(LE6-LF6)*(1-EXP(-Inputs!$B$25*Inputs!$B$14*Inputs!$B$17*Inputs!$B$26/(KY6*Inputs!$B$16/0.866)))</f>
        <v>0.00725494780511956</v>
      </c>
      <c r="LH6" s="15" t="n">
        <f aca="false">(LE6-LF6-LG6)*(1-Inputs!$B$19)</f>
        <v>0.00352243600756685</v>
      </c>
      <c r="LI6" s="15" t="n">
        <f aca="false">(LB6+LC6+LD6+LF6+LG6+LH6)*(1+Inputs!$B$27)</f>
        <v>0.29993234019768</v>
      </c>
      <c r="LJ6" s="15" t="n">
        <f aca="false">Inputs!$B$52/(1-LI6-G6)</f>
        <v>186356.520883634</v>
      </c>
      <c r="LK6" s="15" t="n">
        <f aca="false">LJ6/Inputs!$B$34</f>
        <v>310.594201472724</v>
      </c>
      <c r="LL6" s="15" t="n">
        <f aca="false">B6^2/LK6</f>
        <v>13.1876254629941</v>
      </c>
      <c r="LM6" s="15" t="n">
        <f aca="false">Inputs!$B$54*H6/(Inputs!$B$35*F6+E6*H6^2/(PI()*LL6*Inputs!$B$36))</f>
        <v>20.3811678170114</v>
      </c>
      <c r="LN6" s="15" t="n">
        <f aca="false">EXP(-Inputs!$B$11*Inputs!$B$14*Inputs!$B$17/(Inputs!$B$51*LM6*Inputs!$B$16))</f>
        <v>0.764673371427592</v>
      </c>
      <c r="LO6" s="15" t="n">
        <f aca="false">Inputs!$B$50*Inputs!$B$18*LN6*Inputs!$B$19</f>
        <v>0.747180878793533</v>
      </c>
      <c r="LP6" s="15" t="n">
        <f aca="false">1-LO6</f>
        <v>0.252819121206467</v>
      </c>
      <c r="LQ6" s="15" t="n">
        <f aca="false">Inputs!$B$20*LP6</f>
        <v>0.007584573636194</v>
      </c>
      <c r="LR6" s="15" t="n">
        <f aca="false">0.8*(1-Inputs!$B$50)*(LO6-LQ6)</f>
        <v>0.00178139757737241</v>
      </c>
      <c r="LS6" s="15" t="n">
        <f aca="false">LO6-LQ6-LR6</f>
        <v>0.737814907579967</v>
      </c>
      <c r="LT6" s="15" t="n">
        <f aca="false">LS6*(1-Inputs!$B$18*EXP(-Inputs!$B$21*Inputs!$B$14*Inputs!$B$17/(Inputs!$B$22*Inputs!$B$23*Inputs!$B$24*LM6*Inputs!$B$16))*Inputs!$B$19)</f>
        <v>0.0260727582614173</v>
      </c>
      <c r="LU6" s="15" t="n">
        <f aca="false">(LS6-LT6)*(1-EXP(-Inputs!$B$25*Inputs!$B$14*Inputs!$B$17*Inputs!$B$26/(LM6*Inputs!$B$16/0.866)))</f>
        <v>0.00725494780511804</v>
      </c>
      <c r="LV6" s="15" t="n">
        <f aca="false">(LS6-LT6-LU6)*(1-Inputs!$B$19)</f>
        <v>0.00352243600756716</v>
      </c>
      <c r="LW6" s="15" t="n">
        <f aca="false">(LP6+LQ6+LR6+LT6+LU6+LV6)*(1+Inputs!$B$27)</f>
        <v>0.299932340197618</v>
      </c>
      <c r="LX6" s="15" t="n">
        <f aca="false">Inputs!$B$52/(1-LW6-G6)</f>
        <v>186356.520883568</v>
      </c>
      <c r="LY6" s="15" t="n">
        <f aca="false">LX6/Inputs!$B$34</f>
        <v>310.594201472614</v>
      </c>
      <c r="LZ6" s="15" t="n">
        <f aca="false">B6^2/LY6</f>
        <v>13.1876254629987</v>
      </c>
      <c r="MA6" s="15" t="n">
        <f aca="false">Inputs!$B$54*H6/(Inputs!$B$35*F6+E6*H6^2/(PI()*LZ6*Inputs!$B$36))</f>
        <v>20.3811678170131</v>
      </c>
      <c r="MB6" s="15" t="n">
        <f aca="false">EXP(-Inputs!$B$11*Inputs!$B$14*Inputs!$B$17/(Inputs!$B$51*MA6*Inputs!$B$16))</f>
        <v>0.764673371427609</v>
      </c>
      <c r="MC6" s="15" t="n">
        <f aca="false">Inputs!$B$50*Inputs!$B$18*MB6*Inputs!$B$19</f>
        <v>0.74718087879355</v>
      </c>
      <c r="MD6" s="15" t="n">
        <f aca="false">1-MC6</f>
        <v>0.25281912120645</v>
      </c>
      <c r="ME6" s="15" t="n">
        <f aca="false">Inputs!$B$20*MD6</f>
        <v>0.0075845736361935</v>
      </c>
      <c r="MF6" s="15" t="n">
        <f aca="false">0.8*(1-Inputs!$B$50)*(MC6-ME6)</f>
        <v>0.00178139757737245</v>
      </c>
      <c r="MG6" s="15" t="n">
        <f aca="false">MC6-ME6-MF6</f>
        <v>0.737814907579984</v>
      </c>
      <c r="MH6" s="15" t="n">
        <f aca="false">MG6*(1-Inputs!$B$18*EXP(-Inputs!$B$21*Inputs!$B$14*Inputs!$B$17/(Inputs!$B$22*Inputs!$B$23*Inputs!$B$24*MA6*Inputs!$B$16))*Inputs!$B$19)</f>
        <v>0.0260727582614169</v>
      </c>
      <c r="MI6" s="15" t="n">
        <f aca="false">(MG6-MH6)*(1-EXP(-Inputs!$B$25*Inputs!$B$14*Inputs!$B$17*Inputs!$B$26/(MA6*Inputs!$B$16/0.866)))</f>
        <v>0.00725494780511767</v>
      </c>
      <c r="MJ6" s="15" t="n">
        <f aca="false">(MG6-MH6-MI6)*(1-Inputs!$B$19)</f>
        <v>0.00352243600756725</v>
      </c>
      <c r="MK6" s="15" t="n">
        <f aca="false">(MD6+ME6+MF6+MH6+MI6+MJ6)*(1+Inputs!$B$27)</f>
        <v>0.2999323401976</v>
      </c>
      <c r="ML6" s="15" t="n">
        <f aca="false">Inputs!$B$52/(1-MK6-G6)</f>
        <v>186356.520883549</v>
      </c>
      <c r="MM6" s="15" t="n">
        <f aca="false">ML6/Inputs!$B$34</f>
        <v>310.594201472582</v>
      </c>
      <c r="MN6" s="15" t="n">
        <f aca="false">B6^2/MM6</f>
        <v>13.1876254630001</v>
      </c>
      <c r="MO6" s="15" t="n">
        <f aca="false">Inputs!$B$54*H6/(Inputs!$B$35*F6+E6*H6^2/(PI()*MN6*Inputs!$B$36))</f>
        <v>20.3811678170136</v>
      </c>
      <c r="MP6" s="15" t="n">
        <f aca="false">EXP(-Inputs!$B$11*Inputs!$B$14*Inputs!$B$17/(Inputs!$B$51*MO6*Inputs!$B$16))</f>
        <v>0.764673371427614</v>
      </c>
      <c r="MQ6" s="15" t="n">
        <f aca="false">Inputs!$B$50*Inputs!$B$18*MP6*Inputs!$B$19</f>
        <v>0.747180878793555</v>
      </c>
      <c r="MR6" s="15" t="n">
        <f aca="false">1-MQ6</f>
        <v>0.252819121206445</v>
      </c>
      <c r="MS6" s="15" t="n">
        <f aca="false">Inputs!$B$20*MR6</f>
        <v>0.00758457363619335</v>
      </c>
      <c r="MT6" s="15" t="n">
        <f aca="false">0.8*(1-Inputs!$B$50)*(MQ6-MS6)</f>
        <v>0.00178139757737246</v>
      </c>
      <c r="MU6" s="15" t="n">
        <f aca="false">MQ6-MS6-MT6</f>
        <v>0.737814907579989</v>
      </c>
      <c r="MV6" s="15" t="n">
        <f aca="false">MU6*(1-Inputs!$B$18*EXP(-Inputs!$B$21*Inputs!$B$14*Inputs!$B$17/(Inputs!$B$22*Inputs!$B$23*Inputs!$B$24*MO6*Inputs!$B$16))*Inputs!$B$19)</f>
        <v>0.0260727582614168</v>
      </c>
      <c r="MW6" s="15" t="n">
        <f aca="false">(MU6-MV6)*(1-EXP(-Inputs!$B$25*Inputs!$B$14*Inputs!$B$17*Inputs!$B$26/(MO6*Inputs!$B$16/0.866)))</f>
        <v>0.00725494780511748</v>
      </c>
      <c r="MX6" s="15" t="n">
        <f aca="false">(MU6-MV6-MW6)*(1-Inputs!$B$19)</f>
        <v>0.00352243600756728</v>
      </c>
      <c r="MY6" s="15" t="n">
        <f aca="false">(MR6+MS6+MT6+MV6+MW6+MX6)*(1+Inputs!$B$27)</f>
        <v>0.299932340197595</v>
      </c>
      <c r="MZ6" s="15" t="n">
        <f aca="false">Inputs!$B$52/(1-MY6-G6)</f>
        <v>186356.520883543</v>
      </c>
      <c r="NA6" s="15" t="n">
        <f aca="false">MZ6/Inputs!$B$34</f>
        <v>310.594201472572</v>
      </c>
      <c r="NB6" s="15" t="n">
        <f aca="false">B6^2/NA6</f>
        <v>13.1876254630005</v>
      </c>
      <c r="NC6" s="15" t="n">
        <f aca="false">Inputs!$B$54*H6/(Inputs!$B$35*F6+E6*H6^2/(PI()*NB6*Inputs!$B$36))</f>
        <v>20.3811678170138</v>
      </c>
      <c r="ND6" s="15" t="n">
        <f aca="false">EXP(-Inputs!$B$11*Inputs!$B$14*Inputs!$B$17/(Inputs!$B$51*NC6*Inputs!$B$16))</f>
        <v>0.764673371427616</v>
      </c>
      <c r="NE6" s="15" t="n">
        <f aca="false">Inputs!$B$50*Inputs!$B$18*ND6*Inputs!$B$19</f>
        <v>0.747180878793556</v>
      </c>
      <c r="NF6" s="15" t="n">
        <f aca="false">1-NE6</f>
        <v>0.252819121206444</v>
      </c>
      <c r="NG6" s="15" t="n">
        <f aca="false">Inputs!$B$20*NF6</f>
        <v>0.00758457363619331</v>
      </c>
      <c r="NH6" s="15" t="n">
        <f aca="false">0.8*(1-Inputs!$B$50)*(NE6-NG6)</f>
        <v>0.00178139757737247</v>
      </c>
      <c r="NI6" s="15" t="n">
        <f aca="false">NE6-NG6-NH6</f>
        <v>0.737814907579991</v>
      </c>
      <c r="NJ6" s="15" t="n">
        <f aca="false">NI6*(1-Inputs!$B$18*EXP(-Inputs!$B$21*Inputs!$B$14*Inputs!$B$17/(Inputs!$B$22*Inputs!$B$23*Inputs!$B$24*NC6*Inputs!$B$16))*Inputs!$B$19)</f>
        <v>0.0260727582614168</v>
      </c>
      <c r="NK6" s="15" t="n">
        <f aca="false">(NI6-NJ6)*(1-EXP(-Inputs!$B$25*Inputs!$B$14*Inputs!$B$17*Inputs!$B$26/(NC6*Inputs!$B$16/0.866)))</f>
        <v>0.0072549478051175</v>
      </c>
      <c r="NL6" s="15" t="n">
        <f aca="false">(NI6-NJ6-NK6)*(1-Inputs!$B$19)</f>
        <v>0.00352243600756729</v>
      </c>
      <c r="NM6" s="15" t="n">
        <f aca="false">(NF6+NG6+NH6+NJ6+NK6+NL6)*(1+Inputs!$B$27)</f>
        <v>0.299932340197593</v>
      </c>
      <c r="NN6" s="15" t="n">
        <f aca="false">Inputs!$B$52/(1-NM6-G6)</f>
        <v>186356.520883542</v>
      </c>
    </row>
    <row r="7" customFormat="false" ht="15" hidden="false" customHeight="false" outlineLevel="0" collapsed="false">
      <c r="A7" s="34" t="n">
        <v>0.01</v>
      </c>
      <c r="B7" s="21" t="n">
        <f aca="false">$B$3</f>
        <v>64</v>
      </c>
      <c r="C7" s="22" t="n">
        <f aca="false">$D$3</f>
        <v>0.15</v>
      </c>
      <c r="D7" s="23" t="n">
        <f aca="false">B7*C7</f>
        <v>9.6</v>
      </c>
      <c r="E7" s="24" t="n">
        <f aca="false">IF(C7=0,1,(1+0.45*C7)/(1.04+2.81*C7))</f>
        <v>0.73041395826206</v>
      </c>
      <c r="F7" s="24" t="n">
        <f aca="false">1+Inputs!$B$42*D7</f>
        <v>1.048</v>
      </c>
      <c r="G7" s="25" t="n">
        <f aca="false">Inputs!$B$31+Inputs!$B$43*($B$3/Inputs!$B$32-1)+0.01</f>
        <v>0.53</v>
      </c>
      <c r="H7" s="22" t="n">
        <f aca="false">Inputs!$B$38</f>
        <v>0.5</v>
      </c>
      <c r="I7" s="23" t="n">
        <f aca="false">Inputs!$B$40</f>
        <v>2.4</v>
      </c>
      <c r="J7" s="26" t="n">
        <f aca="false">NN7/Inputs!$B$34</f>
        <v>323.834817321763</v>
      </c>
      <c r="K7" s="23" t="n">
        <f aca="false">B7^2/J7</f>
        <v>12.6484237670164</v>
      </c>
      <c r="L7" s="23" t="n">
        <f aca="false">2*K7</f>
        <v>25.2968475340328</v>
      </c>
      <c r="M7" s="22" t="n">
        <f aca="false">NC7</f>
        <v>20.1779944631948</v>
      </c>
      <c r="N7" s="23" t="n">
        <f aca="false">B7/SQRT(E7)</f>
        <v>74.8851048120828</v>
      </c>
      <c r="O7" s="24" t="n">
        <f aca="false">NM7</f>
        <v>0.302090321696407</v>
      </c>
      <c r="P7" s="23" t="n">
        <f aca="false">NN7/1000</f>
        <v>194.300890393058</v>
      </c>
      <c r="Q7" s="23" t="n">
        <f aca="false">G7*NN7/1000</f>
        <v>102.97947190832</v>
      </c>
      <c r="R7" s="23" t="n">
        <f aca="false">NM7*NN7/1000</f>
        <v>58.696418484737</v>
      </c>
      <c r="S7" s="23" t="n">
        <f aca="false">NM7*NN7/Inputs!$B$28/1000</f>
        <v>78.2618913129827</v>
      </c>
      <c r="T7" s="27" t="n">
        <f aca="false">R7/Sweep!$R$5-1</f>
        <v>-0.0608065356368469</v>
      </c>
      <c r="U7" s="27" t="n">
        <f aca="false">R7/SUMIFS(Sweep!$R:$R,Sweep!$A:$A,"Conventional",Sweep!$B:$B,B7)-1</f>
        <v>-0.0608065356371572</v>
      </c>
      <c r="V7" s="26" t="n">
        <f aca="false">2*0.54*(J7/2)^1.5/SQRT(L7)*Inputs!$B$46*Inputs!$B$47</f>
        <v>41.3659003910686</v>
      </c>
      <c r="W7" s="28" t="n">
        <f aca="false">MIN(1,V7/S7)</f>
        <v>0.528557382106181</v>
      </c>
      <c r="X7" s="26" t="n">
        <f aca="false">1.23*SQRT(2*Inputs!$B$41*NN7*Inputs!$B$49/(1.225*J7*I7))/0.5144</f>
        <v>133.62967568068</v>
      </c>
      <c r="Y7" s="29" t="n">
        <f aca="false">(11000+6341.6*LN(0.36392/(2*Inputs!$B$50*Inputs!$B$18*(1+ND7)/2*Inputs!$B$34*Inputs!$B$49/((Inputs!$B$12*295.07)^2*H7))))/0.3048</f>
        <v>38511.4499878423</v>
      </c>
      <c r="Z7" s="26" t="n">
        <f aca="false">NN7-MZ7</f>
        <v>-9.86619852483273E-009</v>
      </c>
      <c r="AA7" s="30" t="str">
        <f aca="false">IF(ABS(NN7-MZ7)&lt;10,"Yes","No")</f>
        <v>Yes</v>
      </c>
      <c r="AC7" s="15" t="n">
        <f aca="false">Inputs!$B$52/(1-0.3154-G7)/Inputs!$B$34</f>
        <v>351.714100905563</v>
      </c>
      <c r="AD7" s="15" t="n">
        <f aca="false">B7^2/AC7</f>
        <v>11.6458225287356</v>
      </c>
      <c r="AE7" s="15" t="n">
        <f aca="false">Inputs!$B$54*H7/(Inputs!$B$35*F7+E7*H7^2/(PI()*AD7*Inputs!$B$36))</f>
        <v>19.763166861128</v>
      </c>
      <c r="AF7" s="15" t="n">
        <f aca="false">EXP(-Inputs!$B$11*Inputs!$B$14*Inputs!$B$17/(Inputs!$B$51*AE7*Inputs!$B$16))</f>
        <v>0.758284573178284</v>
      </c>
      <c r="AG7" s="15" t="n">
        <f aca="false">Inputs!$B$50*Inputs!$B$18*AF7*Inputs!$B$19</f>
        <v>0.74093822922743</v>
      </c>
      <c r="AH7" s="15" t="n">
        <f aca="false">1-AG7</f>
        <v>0.25906177077257</v>
      </c>
      <c r="AI7" s="15" t="n">
        <f aca="false">Inputs!$B$20*AH7</f>
        <v>0.00777185312317709</v>
      </c>
      <c r="AJ7" s="15" t="n">
        <f aca="false">0.8*(1-Inputs!$B$50)*(AG7-AI7)</f>
        <v>0.00176591039881571</v>
      </c>
      <c r="AK7" s="15" t="n">
        <f aca="false">AG7-AI7-AJ7</f>
        <v>0.731400465705438</v>
      </c>
      <c r="AL7" s="15" t="n">
        <f aca="false">AK7*(1-Inputs!$B$18*EXP(-Inputs!$B$21*Inputs!$B$14*Inputs!$B$17/(Inputs!$B$22*Inputs!$B$23*Inputs!$B$24*AE7*Inputs!$B$16))*Inputs!$B$19)</f>
        <v>0.0261957212826255</v>
      </c>
      <c r="AM7" s="15" t="n">
        <f aca="false">(AK7-AL7)*(1-EXP(-Inputs!$B$25*Inputs!$B$14*Inputs!$B$17*Inputs!$B$26/(AE7*Inputs!$B$16/0.866)))</f>
        <v>0.00741190613174917</v>
      </c>
      <c r="AN7" s="15" t="n">
        <f aca="false">(AK7-AL7-AM7)*(1-Inputs!$B$19)</f>
        <v>0.00348896419145532</v>
      </c>
      <c r="AO7" s="15" t="n">
        <f aca="false">(AH7+AI7+AJ7+AL7+AM7+AN7)*(1+Inputs!$B$27)</f>
        <v>0.306613214278094</v>
      </c>
      <c r="AP7" s="15" t="n">
        <f aca="false">Inputs!$B$52/(1-AO7-G7)</f>
        <v>199679.55092482</v>
      </c>
      <c r="AQ7" s="15" t="n">
        <f aca="false">AP7/Inputs!$B$34</f>
        <v>332.799251541366</v>
      </c>
      <c r="AR7" s="15" t="n">
        <f aca="false">B7^2/AQ7</f>
        <v>12.3077199874378</v>
      </c>
      <c r="AS7" s="15" t="n">
        <f aca="false">Inputs!$B$54*H7/(Inputs!$B$35*F7+E7*H7^2/(PI()*AR7*Inputs!$B$36))</f>
        <v>20.0427220964175</v>
      </c>
      <c r="AT7" s="15" t="n">
        <f aca="false">EXP(-Inputs!$B$11*Inputs!$B$14*Inputs!$B$17/(Inputs!$B$51*AS7*Inputs!$B$16))</f>
        <v>0.761216716453851</v>
      </c>
      <c r="AU7" s="15" t="n">
        <f aca="false">Inputs!$B$50*Inputs!$B$18*AT7*Inputs!$B$19</f>
        <v>0.743803297466039</v>
      </c>
      <c r="AV7" s="15" t="n">
        <f aca="false">1-AU7</f>
        <v>0.256196702533961</v>
      </c>
      <c r="AW7" s="15" t="n">
        <f aca="false">Inputs!$B$20*AV7</f>
        <v>0.00768590107601882</v>
      </c>
      <c r="AX7" s="15" t="n">
        <f aca="false">0.8*(1-Inputs!$B$50)*(AU7-AW7)</f>
        <v>0.00177301824988418</v>
      </c>
      <c r="AY7" s="15" t="n">
        <f aca="false">AU7-AW7-AX7</f>
        <v>0.734344378140136</v>
      </c>
      <c r="AZ7" s="15" t="n">
        <f aca="false">AY7*(1-Inputs!$B$18*EXP(-Inputs!$B$21*Inputs!$B$14*Inputs!$B$17/(Inputs!$B$22*Inputs!$B$23*Inputs!$B$24*AS7*Inputs!$B$16))*Inputs!$B$19)</f>
        <v>0.0261397045883652</v>
      </c>
      <c r="BA7" s="15" t="n">
        <f aca="false">(AY7-AZ7)*(1-EXP(-Inputs!$B$25*Inputs!$B$14*Inputs!$B$17*Inputs!$B$26/(AS7*Inputs!$B$16/0.866)))</f>
        <v>0.00734015535398865</v>
      </c>
      <c r="BB7" s="15" t="n">
        <f aca="false">(AY7-AZ7-BA7)*(1-Inputs!$B$19)</f>
        <v>0.00350432259098892</v>
      </c>
      <c r="BC7" s="15" t="n">
        <f aca="false">(AV7+AW7+AX7+AZ7+BA7+BB7)*(1+Inputs!$B$27)</f>
        <v>0.303547723806386</v>
      </c>
      <c r="BD7" s="15" t="n">
        <f aca="false">Inputs!$B$52/(1-BC7-G7)</f>
        <v>196002.125930986</v>
      </c>
      <c r="BE7" s="15" t="n">
        <f aca="false">BD7/Inputs!$B$34</f>
        <v>326.670209884977</v>
      </c>
      <c r="BF7" s="15" t="n">
        <f aca="false">B7^2/BE7</f>
        <v>12.538639508764</v>
      </c>
      <c r="BG7" s="15" t="n">
        <f aca="false">Inputs!$B$54*H7/(Inputs!$B$35*F7+E7*H7^2/(PI()*BF7*Inputs!$B$36))</f>
        <v>20.1350116752866</v>
      </c>
      <c r="BH7" s="15" t="n">
        <f aca="false">EXP(-Inputs!$B$11*Inputs!$B$14*Inputs!$B$17/(Inputs!$B$51*BG7*Inputs!$B$16))</f>
        <v>0.762169258678392</v>
      </c>
      <c r="BI7" s="15" t="n">
        <f aca="false">Inputs!$B$50*Inputs!$B$18*BH7*Inputs!$B$19</f>
        <v>0.744734049553158</v>
      </c>
      <c r="BJ7" s="15" t="n">
        <f aca="false">1-BI7</f>
        <v>0.255265950446842</v>
      </c>
      <c r="BK7" s="15" t="n">
        <f aca="false">Inputs!$B$20*BJ7</f>
        <v>0.00765797851340527</v>
      </c>
      <c r="BL7" s="15" t="n">
        <f aca="false">0.8*(1-Inputs!$B$50)*(BI7-BK7)</f>
        <v>0.00177532732131492</v>
      </c>
      <c r="BM7" s="15" t="n">
        <f aca="false">BI7-BK7-BL7</f>
        <v>0.735300743718438</v>
      </c>
      <c r="BN7" s="15" t="n">
        <f aca="false">BM7*(1-Inputs!$B$18*EXP(-Inputs!$B$21*Inputs!$B$14*Inputs!$B$17/(Inputs!$B$22*Inputs!$B$23*Inputs!$B$24*BG7*Inputs!$B$16))*Inputs!$B$19)</f>
        <v>0.0261213543849093</v>
      </c>
      <c r="BO7" s="15" t="n">
        <f aca="false">(BM7-BN7)*(1-EXP(-Inputs!$B$25*Inputs!$B$14*Inputs!$B$17*Inputs!$B$26/(BG7*Inputs!$B$16/0.866)))</f>
        <v>0.00731674196671093</v>
      </c>
      <c r="BP7" s="15" t="n">
        <f aca="false">(BM7-BN7-BO7)*(1-Inputs!$B$19)</f>
        <v>0.00350931323683409</v>
      </c>
      <c r="BQ7" s="15" t="n">
        <f aca="false">(BJ7+BK7+BL7+BN7+BO7+BP7)*(1+Inputs!$B$27)</f>
        <v>0.302551605867627</v>
      </c>
      <c r="BR7" s="15" t="n">
        <f aca="false">Inputs!$B$52/(1-BQ7-G7)</f>
        <v>194836.14739362</v>
      </c>
      <c r="BS7" s="15" t="n">
        <f aca="false">BR7/Inputs!$B$34</f>
        <v>324.7269123227</v>
      </c>
      <c r="BT7" s="15" t="n">
        <f aca="false">B7^2/BS7</f>
        <v>12.6136758136313</v>
      </c>
      <c r="BU7" s="15" t="n">
        <f aca="false">Inputs!$B$54*H7/(Inputs!$B$35*F7+E7*H7^2/(PI()*BT7*Inputs!$B$36))</f>
        <v>20.1644510849112</v>
      </c>
      <c r="BV7" s="15" t="n">
        <f aca="false">EXP(-Inputs!$B$11*Inputs!$B$14*Inputs!$B$17/(Inputs!$B$51*BU7*Inputs!$B$16))</f>
        <v>0.762471524191719</v>
      </c>
      <c r="BW7" s="15" t="n">
        <f aca="false">Inputs!$B$50*Inputs!$B$18*BV7*Inputs!$B$19</f>
        <v>0.74502940050994</v>
      </c>
      <c r="BX7" s="15" t="n">
        <f aca="false">1-BW7</f>
        <v>0.254970599490061</v>
      </c>
      <c r="BY7" s="15" t="n">
        <f aca="false">Inputs!$B$20*BX7</f>
        <v>0.00764911798470182</v>
      </c>
      <c r="BZ7" s="15" t="n">
        <f aca="false">0.8*(1-Inputs!$B$50)*(BW7-BY7)</f>
        <v>0.00177606004753255</v>
      </c>
      <c r="CA7" s="15" t="n">
        <f aca="false">BW7-BY7-BZ7</f>
        <v>0.735604222477705</v>
      </c>
      <c r="CB7" s="15" t="n">
        <f aca="false">CA7*(1-Inputs!$B$18*EXP(-Inputs!$B$21*Inputs!$B$14*Inputs!$B$17/(Inputs!$B$22*Inputs!$B$23*Inputs!$B$24*BU7*Inputs!$B$16))*Inputs!$B$19)</f>
        <v>0.0261155158019478</v>
      </c>
      <c r="CC7" s="15" t="n">
        <f aca="false">(CA7-CB7)*(1-EXP(-Inputs!$B$25*Inputs!$B$14*Inputs!$B$17*Inputs!$B$26/(BU7*Inputs!$B$16/0.866)))</f>
        <v>0.00730930164082108</v>
      </c>
      <c r="CD7" s="15" t="n">
        <f aca="false">(CA7-CB7-CC7)*(1-Inputs!$B$19)</f>
        <v>0.00351089702517468</v>
      </c>
      <c r="CE7" s="15" t="n">
        <f aca="false">(BX7+BY7+BZ7+CB7+CC7+CD7)*(1+Inputs!$B$27)</f>
        <v>0.302235486466209</v>
      </c>
      <c r="CF7" s="15" t="n">
        <f aca="false">Inputs!$B$52/(1-CE7-G7)</f>
        <v>194469.016794954</v>
      </c>
      <c r="CG7" s="15" t="n">
        <f aca="false">CF7/Inputs!$B$34</f>
        <v>324.115027991589</v>
      </c>
      <c r="CH7" s="15" t="n">
        <f aca="false">B7^2/CG7</f>
        <v>12.6374886884489</v>
      </c>
      <c r="CI7" s="15" t="n">
        <f aca="false">Inputs!$B$54*H7/(Inputs!$B$35*F7+E7*H7^2/(PI()*CH7*Inputs!$B$36))</f>
        <v>20.1737384736357</v>
      </c>
      <c r="CJ7" s="15" t="n">
        <f aca="false">EXP(-Inputs!$B$11*Inputs!$B$14*Inputs!$B$17/(Inputs!$B$51*CI7*Inputs!$B$16))</f>
        <v>0.762566723070641</v>
      </c>
      <c r="CK7" s="15" t="n">
        <f aca="false">Inputs!$B$50*Inputs!$B$18*CJ7*Inputs!$B$19</f>
        <v>0.745122421641145</v>
      </c>
      <c r="CL7" s="15" t="n">
        <f aca="false">1-CK7</f>
        <v>0.254877578358855</v>
      </c>
      <c r="CM7" s="15" t="n">
        <f aca="false">Inputs!$B$20*CL7</f>
        <v>0.00764632735076566</v>
      </c>
      <c r="CN7" s="15" t="n">
        <f aca="false">0.8*(1-Inputs!$B$50)*(CK7-CM7)</f>
        <v>0.00177629082051656</v>
      </c>
      <c r="CO7" s="15" t="n">
        <f aca="false">CK7-CM7-CN7</f>
        <v>0.735699803469863</v>
      </c>
      <c r="CP7" s="15" t="n">
        <f aca="false">CO7*(1-Inputs!$B$18*EXP(-Inputs!$B$21*Inputs!$B$14*Inputs!$B$17/(Inputs!$B$22*Inputs!$B$23*Inputs!$B$24*CI7*Inputs!$B$16))*Inputs!$B$19)</f>
        <v>0.0261136753776247</v>
      </c>
      <c r="CQ7" s="15" t="n">
        <f aca="false">(CO7-CP7)*(1-EXP(-Inputs!$B$25*Inputs!$B$14*Inputs!$B$17*Inputs!$B$26/(CI7*Inputs!$B$16/0.866)))</f>
        <v>0.00730695723737346</v>
      </c>
      <c r="CR7" s="15" t="n">
        <f aca="false">(CO7-CP7-CQ7)*(1-Inputs!$B$19)</f>
        <v>0.00351139585427433</v>
      </c>
      <c r="CS7" s="15" t="n">
        <f aca="false">(CL7+CM7+CN7+CP7+CQ7+CR7)*(1+Inputs!$B$27)</f>
        <v>0.302135921674408</v>
      </c>
      <c r="CT7" s="15" t="n">
        <f aca="false">Inputs!$B$52/(1-CS7-G7)</f>
        <v>194353.671883987</v>
      </c>
      <c r="CU7" s="15" t="n">
        <f aca="false">CT7/Inputs!$B$34</f>
        <v>323.922786473312</v>
      </c>
      <c r="CV7" s="15" t="n">
        <f aca="false">B7^2/CU7</f>
        <v>12.6449887783287</v>
      </c>
      <c r="CW7" s="15" t="n">
        <f aca="false">Inputs!$B$54*H7/(Inputs!$B$35*F7+E7*H7^2/(PI()*CV7*Inputs!$B$36))</f>
        <v>20.1766581472877</v>
      </c>
      <c r="CX7" s="15" t="n">
        <f aca="false">EXP(-Inputs!$B$11*Inputs!$B$14*Inputs!$B$17/(Inputs!$B$51*CW7*Inputs!$B$16))</f>
        <v>0.762596635061359</v>
      </c>
      <c r="CY7" s="15" t="n">
        <f aca="false">Inputs!$B$50*Inputs!$B$18*CX7*Inputs!$B$19</f>
        <v>0.745151649372025</v>
      </c>
      <c r="CZ7" s="15" t="n">
        <f aca="false">1-CY7</f>
        <v>0.254848350627975</v>
      </c>
      <c r="DA7" s="15" t="n">
        <f aca="false">Inputs!$B$20*CZ7</f>
        <v>0.00764545051883924</v>
      </c>
      <c r="DB7" s="15" t="n">
        <f aca="false">0.8*(1-Inputs!$B$50)*(CY7-DA7)</f>
        <v>0.00177636333060738</v>
      </c>
      <c r="DC7" s="15" t="n">
        <f aca="false">CY7-DA7-DB7</f>
        <v>0.735729835522579</v>
      </c>
      <c r="DD7" s="15" t="n">
        <f aca="false">DC7*(1-Inputs!$B$18*EXP(-Inputs!$B$21*Inputs!$B$14*Inputs!$B$17/(Inputs!$B$22*Inputs!$B$23*Inputs!$B$24*CW7*Inputs!$B$16))*Inputs!$B$19)</f>
        <v>0.0261130969527381</v>
      </c>
      <c r="DE7" s="15" t="n">
        <f aca="false">(DC7-DD7)*(1-EXP(-Inputs!$B$25*Inputs!$B$14*Inputs!$B$17*Inputs!$B$26/(CW7*Inputs!$B$16/0.866)))</f>
        <v>0.00730622050820259</v>
      </c>
      <c r="DF7" s="15" t="n">
        <f aca="false">(DC7-DD7-DE7)*(1-Inputs!$B$19)</f>
        <v>0.00351155259030819</v>
      </c>
      <c r="DG7" s="15" t="n">
        <f aca="false">(CZ7+DA7+DB7+DD7+DE7+DF7)*(1+Inputs!$B$27)</f>
        <v>0.302104637632256</v>
      </c>
      <c r="DH7" s="15" t="n">
        <f aca="false">Inputs!$B$52/(1-DG7-G7)</f>
        <v>194317.457849377</v>
      </c>
      <c r="DI7" s="15" t="n">
        <f aca="false">DH7/Inputs!$B$34</f>
        <v>323.862429748962</v>
      </c>
      <c r="DJ7" s="15" t="n">
        <f aca="false">B7^2/DI7</f>
        <v>12.6473453656695</v>
      </c>
      <c r="DK7" s="15" t="n">
        <f aca="false">Inputs!$B$54*H7/(Inputs!$B$35*F7+E7*H7^2/(PI()*DJ7*Inputs!$B$36))</f>
        <v>20.1775749911213</v>
      </c>
      <c r="DL7" s="15" t="n">
        <f aca="false">EXP(-Inputs!$B$11*Inputs!$B$14*Inputs!$B$17/(Inputs!$B$51*DK7*Inputs!$B$16))</f>
        <v>0.7626060265618</v>
      </c>
      <c r="DM7" s="15" t="n">
        <f aca="false">Inputs!$B$50*Inputs!$B$18*DL7*Inputs!$B$19</f>
        <v>0.745160826034657</v>
      </c>
      <c r="DN7" s="15" t="n">
        <f aca="false">1-DM7</f>
        <v>0.254839173965343</v>
      </c>
      <c r="DO7" s="15" t="n">
        <f aca="false">Inputs!$B$20*DN7</f>
        <v>0.0076451752189603</v>
      </c>
      <c r="DP7" s="15" t="n">
        <f aca="false">0.8*(1-Inputs!$B$50)*(DM7-DO7)</f>
        <v>0.00177638609667989</v>
      </c>
      <c r="DQ7" s="15" t="n">
        <f aca="false">DM7-DO7-DP7</f>
        <v>0.735739264719016</v>
      </c>
      <c r="DR7" s="15" t="n">
        <f aca="false">DQ7*(1-Inputs!$B$18*EXP(-Inputs!$B$21*Inputs!$B$14*Inputs!$B$17/(Inputs!$B$22*Inputs!$B$23*Inputs!$B$24*DK7*Inputs!$B$16))*Inputs!$B$19)</f>
        <v>0.0261129153288707</v>
      </c>
      <c r="DS7" s="15" t="n">
        <f aca="false">(DQ7-DR7)*(1-EXP(-Inputs!$B$25*Inputs!$B$14*Inputs!$B$17*Inputs!$B$26/(DK7*Inputs!$B$16/0.866)))</f>
        <v>0.00730598918616117</v>
      </c>
      <c r="DT7" s="15" t="n">
        <f aca="false">(DQ7-DR7-DS7)*(1-Inputs!$B$19)</f>
        <v>0.00351160180101993</v>
      </c>
      <c r="DU7" s="15" t="n">
        <f aca="false">(DN7+DO7+DP7+DR7+DS7+DT7)*(1+Inputs!$B$27)</f>
        <v>0.302094815321826</v>
      </c>
      <c r="DV7" s="15" t="n">
        <f aca="false">Inputs!$B$52/(1-DU7-G7)</f>
        <v>194306.090443442</v>
      </c>
      <c r="DW7" s="15" t="n">
        <f aca="false">DV7/Inputs!$B$34</f>
        <v>323.843484072403</v>
      </c>
      <c r="DX7" s="15" t="n">
        <f aca="false">B7^2/DW7</f>
        <v>12.6480852678951</v>
      </c>
      <c r="DY7" s="15" t="n">
        <f aca="false">Inputs!$B$54*H7/(Inputs!$B$35*F7+E7*H7^2/(PI()*DX7*Inputs!$B$36))</f>
        <v>20.1778628010383</v>
      </c>
      <c r="DZ7" s="15" t="n">
        <f aca="false">EXP(-Inputs!$B$11*Inputs!$B$14*Inputs!$B$17/(Inputs!$B$51*DY7*Inputs!$B$16))</f>
        <v>0.762608974531081</v>
      </c>
      <c r="EA7" s="15" t="n">
        <f aca="false">Inputs!$B$50*Inputs!$B$18*DZ7*Inputs!$B$19</f>
        <v>0.745163706566868</v>
      </c>
      <c r="EB7" s="15" t="n">
        <f aca="false">1-EA7</f>
        <v>0.254836293433132</v>
      </c>
      <c r="EC7" s="15" t="n">
        <f aca="false">Inputs!$B$20*EB7</f>
        <v>0.00764508880299395</v>
      </c>
      <c r="ED7" s="15" t="n">
        <f aca="false">0.8*(1-Inputs!$B$50)*(EA7-EC7)</f>
        <v>0.00177639324289501</v>
      </c>
      <c r="EE7" s="15" t="n">
        <f aca="false">EA7-EC7-ED7</f>
        <v>0.735742224520979</v>
      </c>
      <c r="EF7" s="15" t="n">
        <f aca="false">EE7*(1-Inputs!$B$18*EXP(-Inputs!$B$21*Inputs!$B$14*Inputs!$B$17/(Inputs!$B$22*Inputs!$B$23*Inputs!$B$24*DY7*Inputs!$B$16))*Inputs!$B$19)</f>
        <v>0.0261128583160826</v>
      </c>
      <c r="EG7" s="15" t="n">
        <f aca="false">(EE7-EF7)*(1-EXP(-Inputs!$B$25*Inputs!$B$14*Inputs!$B$17*Inputs!$B$26/(DY7*Inputs!$B$16/0.866)))</f>
        <v>0.007305916573709</v>
      </c>
      <c r="EH7" s="15" t="n">
        <f aca="false">(EE7-EF7-EG7)*(1-Inputs!$B$19)</f>
        <v>0.00351161724815594</v>
      </c>
      <c r="EI7" s="15" t="n">
        <f aca="false">(EB7+EC7+ED7+EF7+EG7+EH7)*(1+Inputs!$B$27)</f>
        <v>0.302091732119819</v>
      </c>
      <c r="EJ7" s="15" t="n">
        <f aca="false">Inputs!$B$52/(1-EI7-G7)</f>
        <v>194302.52251355</v>
      </c>
      <c r="EK7" s="15" t="n">
        <f aca="false">EJ7/Inputs!$B$34</f>
        <v>323.837537522583</v>
      </c>
      <c r="EL7" s="15" t="n">
        <f aca="false">B7^2/EK7</f>
        <v>12.6483175216041</v>
      </c>
      <c r="EM7" s="15" t="n">
        <f aca="false">Inputs!$B$54*H7/(Inputs!$B$35*F7+E7*H7^2/(PI()*EL7*Inputs!$B$36))</f>
        <v>20.1779531386981</v>
      </c>
      <c r="EN7" s="15" t="n">
        <f aca="false">EXP(-Inputs!$B$11*Inputs!$B$14*Inputs!$B$17/(Inputs!$B$51*EM7*Inputs!$B$16))</f>
        <v>0.762609899823491</v>
      </c>
      <c r="EO7" s="15" t="n">
        <f aca="false">Inputs!$B$50*Inputs!$B$18*EN7*Inputs!$B$19</f>
        <v>0.745164610692501</v>
      </c>
      <c r="EP7" s="15" t="n">
        <f aca="false">1-EO7</f>
        <v>0.254835389307499</v>
      </c>
      <c r="EQ7" s="15" t="n">
        <f aca="false">Inputs!$B$20*EP7</f>
        <v>0.00764506167922497</v>
      </c>
      <c r="ER7" s="15" t="n">
        <f aca="false">0.8*(1-Inputs!$B$50)*(EO7-EQ7)</f>
        <v>0.00177639548590977</v>
      </c>
      <c r="ES7" s="15" t="n">
        <f aca="false">EO7-EQ7-ER7</f>
        <v>0.735743153527366</v>
      </c>
      <c r="ET7" s="15" t="n">
        <f aca="false">ES7*(1-Inputs!$B$18*EXP(-Inputs!$B$21*Inputs!$B$14*Inputs!$B$17/(Inputs!$B$22*Inputs!$B$23*Inputs!$B$24*EM7*Inputs!$B$16))*Inputs!$B$19)</f>
        <v>0.0261128404210746</v>
      </c>
      <c r="EU7" s="15" t="n">
        <f aca="false">(ES7-ET7)*(1-EXP(-Inputs!$B$25*Inputs!$B$14*Inputs!$B$17*Inputs!$B$26/(EM7*Inputs!$B$16/0.866)))</f>
        <v>0.0073058937824105</v>
      </c>
      <c r="EV7" s="15" t="n">
        <f aca="false">(ES7-ET7-EU7)*(1-Inputs!$B$19)</f>
        <v>0.00351162209661941</v>
      </c>
      <c r="EW7" s="15" t="n">
        <f aca="false">(EP7+EQ7+ER7+ET7+EU7+EV7)*(1+Inputs!$B$27)</f>
        <v>0.302090764381056</v>
      </c>
      <c r="EX7" s="15" t="n">
        <f aca="false">Inputs!$B$52/(1-EW7-G7)</f>
        <v>194301.40265804</v>
      </c>
      <c r="EY7" s="15" t="n">
        <f aca="false">EX7/Inputs!$B$34</f>
        <v>323.835671096733</v>
      </c>
      <c r="EZ7" s="15" t="n">
        <f aca="false">B7^2/EY7</f>
        <v>12.6483904201415</v>
      </c>
      <c r="FA7" s="15" t="n">
        <f aca="false">Inputs!$B$54*H7/(Inputs!$B$35*F7+E7*H7^2/(PI()*EZ7*Inputs!$B$36))</f>
        <v>20.1779814928767</v>
      </c>
      <c r="FB7" s="15" t="n">
        <f aca="false">EXP(-Inputs!$B$11*Inputs!$B$14*Inputs!$B$17/(Inputs!$B$51*FA7*Inputs!$B$16))</f>
        <v>0.76261019024249</v>
      </c>
      <c r="FC7" s="15" t="n">
        <f aca="false">Inputs!$B$50*Inputs!$B$18*FB7*Inputs!$B$19</f>
        <v>0.745164894467942</v>
      </c>
      <c r="FD7" s="15" t="n">
        <f aca="false">1-FC7</f>
        <v>0.254835105532058</v>
      </c>
      <c r="FE7" s="15" t="n">
        <f aca="false">Inputs!$B$20*FD7</f>
        <v>0.00764505316596173</v>
      </c>
      <c r="FF7" s="15" t="n">
        <f aca="false">0.8*(1-Inputs!$B$50)*(FC7-FE7)</f>
        <v>0.00177639618991868</v>
      </c>
      <c r="FG7" s="15" t="n">
        <f aca="false">FC7-FE7-FF7</f>
        <v>0.735743445112062</v>
      </c>
      <c r="FH7" s="15" t="n">
        <f aca="false">FG7*(1-Inputs!$B$18*EXP(-Inputs!$B$21*Inputs!$B$14*Inputs!$B$17/(Inputs!$B$22*Inputs!$B$23*Inputs!$B$24*FA7*Inputs!$B$16))*Inputs!$B$19)</f>
        <v>0.0261128348044027</v>
      </c>
      <c r="FI7" s="15" t="n">
        <f aca="false">(FG7-FH7)*(1-EXP(-Inputs!$B$25*Inputs!$B$14*Inputs!$B$17*Inputs!$B$26/(FA7*Inputs!$B$16/0.866)))</f>
        <v>0.00730588662895799</v>
      </c>
      <c r="FJ7" s="15" t="n">
        <f aca="false">(FG7-FH7-FI7)*(1-Inputs!$B$19)</f>
        <v>0.00351162361839351</v>
      </c>
      <c r="FK7" s="15" t="n">
        <f aca="false">(FD7+FE7+FF7+FH7+FI7+FJ7)*(1+Inputs!$B$27)</f>
        <v>0.302090460639512</v>
      </c>
      <c r="FL7" s="15" t="n">
        <f aca="false">Inputs!$B$52/(1-FK7-G7)</f>
        <v>194301.051174685</v>
      </c>
      <c r="FM7" s="15" t="n">
        <f aca="false">FL7/Inputs!$B$34</f>
        <v>323.835085291141</v>
      </c>
      <c r="FN7" s="15" t="n">
        <f aca="false">B7^2/FM7</f>
        <v>12.648413300608</v>
      </c>
      <c r="FO7" s="15" t="n">
        <f aca="false">Inputs!$B$54*H7/(Inputs!$B$35*F7+E7*H7^2/(PI()*FN7*Inputs!$B$36))</f>
        <v>20.177990392275</v>
      </c>
      <c r="FP7" s="15" t="n">
        <f aca="false">EXP(-Inputs!$B$11*Inputs!$B$14*Inputs!$B$17/(Inputs!$B$51*FO7*Inputs!$B$16))</f>
        <v>0.762610281394847</v>
      </c>
      <c r="FQ7" s="15" t="n">
        <f aca="false">Inputs!$B$50*Inputs!$B$18*FP7*Inputs!$B$19</f>
        <v>0.745164983535119</v>
      </c>
      <c r="FR7" s="15" t="n">
        <f aca="false">1-FQ7</f>
        <v>0.254835016464881</v>
      </c>
      <c r="FS7" s="15" t="n">
        <f aca="false">Inputs!$B$20*FR7</f>
        <v>0.00764505049394642</v>
      </c>
      <c r="FT7" s="15" t="n">
        <f aca="false">0.8*(1-Inputs!$B$50)*(FQ7-FS7)</f>
        <v>0.00177639641088243</v>
      </c>
      <c r="FU7" s="15" t="n">
        <f aca="false">FQ7-FS7-FT7</f>
        <v>0.73574353663029</v>
      </c>
      <c r="FV7" s="15" t="n">
        <f aca="false">FU7*(1-Inputs!$B$18*EXP(-Inputs!$B$21*Inputs!$B$14*Inputs!$B$17/(Inputs!$B$22*Inputs!$B$23*Inputs!$B$24*FO7*Inputs!$B$16))*Inputs!$B$19)</f>
        <v>0.0261128330415246</v>
      </c>
      <c r="FW7" s="15" t="n">
        <f aca="false">(FU7-FV7)*(1-EXP(-Inputs!$B$25*Inputs!$B$14*Inputs!$B$17*Inputs!$B$26/(FO7*Inputs!$B$16/0.866)))</f>
        <v>0.00730588438373868</v>
      </c>
      <c r="FX7" s="15" t="n">
        <f aca="false">(FU7-FV7-FW7)*(1-Inputs!$B$19)</f>
        <v>0.00351162409602514</v>
      </c>
      <c r="FY7" s="15" t="n">
        <f aca="false">(FR7+FS7+FT7+FV7+FW7+FX7)*(1+Inputs!$B$27)</f>
        <v>0.302090365305671</v>
      </c>
      <c r="FZ7" s="15" t="n">
        <f aca="false">Inputs!$B$52/(1-FY7-G7)</f>
        <v>194300.940856623</v>
      </c>
      <c r="GA7" s="15" t="n">
        <f aca="false">FZ7/Inputs!$B$34</f>
        <v>323.834901427705</v>
      </c>
      <c r="GB7" s="15" t="n">
        <f aca="false">B7^2/GA7</f>
        <v>12.6484204819857</v>
      </c>
      <c r="GC7" s="15" t="n">
        <f aca="false">Inputs!$B$54*H7/(Inputs!$B$35*F7+E7*H7^2/(PI()*GB7*Inputs!$B$36))</f>
        <v>20.1779931854796</v>
      </c>
      <c r="GD7" s="15" t="n">
        <f aca="false">EXP(-Inputs!$B$11*Inputs!$B$14*Inputs!$B$17/(Inputs!$B$51*GC7*Inputs!$B$16))</f>
        <v>0.762610310004316</v>
      </c>
      <c r="GE7" s="15" t="n">
        <f aca="false">Inputs!$B$50*Inputs!$B$18*GD7*Inputs!$B$19</f>
        <v>0.745165011490125</v>
      </c>
      <c r="GF7" s="15" t="n">
        <f aca="false">1-GE7</f>
        <v>0.254834988509875</v>
      </c>
      <c r="GG7" s="15" t="n">
        <f aca="false">Inputs!$B$20*GF7</f>
        <v>0.00764504965529626</v>
      </c>
      <c r="GH7" s="15" t="n">
        <f aca="false">0.8*(1-Inputs!$B$50)*(GE7-GG7)</f>
        <v>0.00177639648023506</v>
      </c>
      <c r="GI7" s="15" t="n">
        <f aca="false">GE7-GG7-GH7</f>
        <v>0.735743565354593</v>
      </c>
      <c r="GJ7" s="15" t="n">
        <f aca="false">GI7*(1-Inputs!$B$18*EXP(-Inputs!$B$21*Inputs!$B$14*Inputs!$B$17/(Inputs!$B$22*Inputs!$B$23*Inputs!$B$24*GC7*Inputs!$B$16))*Inputs!$B$19)</f>
        <v>0.0261128324882199</v>
      </c>
      <c r="GK7" s="15" t="n">
        <f aca="false">(GI7-GJ7)*(1-EXP(-Inputs!$B$25*Inputs!$B$14*Inputs!$B$17*Inputs!$B$26/(GC7*Inputs!$B$16/0.866)))</f>
        <v>0.00730588367904444</v>
      </c>
      <c r="GL7" s="15" t="n">
        <f aca="false">(GI7-GJ7-GK7)*(1-Inputs!$B$19)</f>
        <v>0.00351162424593665</v>
      </c>
      <c r="GM7" s="15" t="n">
        <f aca="false">(GF7+GG7+GH7+GJ7+GK7+GL7)*(1+Inputs!$B$27)</f>
        <v>0.302090335383784</v>
      </c>
      <c r="GN7" s="15" t="n">
        <f aca="false">Inputs!$B$52/(1-GM7-G7)</f>
        <v>194300.90623175</v>
      </c>
      <c r="GO7" s="15" t="n">
        <f aca="false">GN7/Inputs!$B$34</f>
        <v>323.834843719583</v>
      </c>
      <c r="GP7" s="15" t="n">
        <f aca="false">B7^2/GO7</f>
        <v>12.6484227359636</v>
      </c>
      <c r="GQ7" s="15" t="n">
        <f aca="false">Inputs!$B$54*H7/(Inputs!$B$35*F7+E7*H7^2/(PI()*GP7*Inputs!$B$36))</f>
        <v>20.1779940621663</v>
      </c>
      <c r="GR7" s="15" t="n">
        <f aca="false">EXP(-Inputs!$B$11*Inputs!$B$14*Inputs!$B$17/(Inputs!$B$51*GQ7*Inputs!$B$16))</f>
        <v>0.762610318983801</v>
      </c>
      <c r="GS7" s="15" t="n">
        <f aca="false">Inputs!$B$50*Inputs!$B$18*GR7*Inputs!$B$19</f>
        <v>0.745165020264196</v>
      </c>
      <c r="GT7" s="15" t="n">
        <f aca="false">1-GS7</f>
        <v>0.254834979735804</v>
      </c>
      <c r="GU7" s="15" t="n">
        <f aca="false">Inputs!$B$20*GT7</f>
        <v>0.00764504939207412</v>
      </c>
      <c r="GV7" s="15" t="n">
        <f aca="false">0.8*(1-Inputs!$B$50)*(GS7-GU7)</f>
        <v>0.00177639650200236</v>
      </c>
      <c r="GW7" s="15" t="n">
        <f aca="false">GS7-GU7-GV7</f>
        <v>0.73574357437012</v>
      </c>
      <c r="GX7" s="15" t="n">
        <f aca="false">GW7*(1-Inputs!$B$18*EXP(-Inputs!$B$21*Inputs!$B$14*Inputs!$B$17/(Inputs!$B$22*Inputs!$B$23*Inputs!$B$24*GQ7*Inputs!$B$16))*Inputs!$B$19)</f>
        <v>0.0261128323145576</v>
      </c>
      <c r="GY7" s="15" t="n">
        <f aca="false">(GW7-GX7)*(1-EXP(-Inputs!$B$25*Inputs!$B$14*Inputs!$B$17*Inputs!$B$26/(GQ7*Inputs!$B$16/0.866)))</f>
        <v>0.00730588345786621</v>
      </c>
      <c r="GZ7" s="15" t="n">
        <f aca="false">(GW7-GX7-GY7)*(1-Inputs!$B$19)</f>
        <v>0.00351162429298848</v>
      </c>
      <c r="HA7" s="15" t="n">
        <f aca="false">(GT7+GU7+GV7+GX7+GY7+GZ7)*(1+Inputs!$B$27)</f>
        <v>0.302090325992379</v>
      </c>
      <c r="HB7" s="15" t="n">
        <f aca="false">Inputs!$B$52/(1-HA7-G7)</f>
        <v>194300.895364249</v>
      </c>
      <c r="HC7" s="15" t="n">
        <f aca="false">HB7/Inputs!$B$34</f>
        <v>323.834825607082</v>
      </c>
      <c r="HD7" s="15" t="n">
        <f aca="false">B7^2/HC7</f>
        <v>12.6484234434063</v>
      </c>
      <c r="HE7" s="15" t="n">
        <f aca="false">Inputs!$B$54*H7/(Inputs!$B$35*F7+E7*H7^2/(PI()*HD7*Inputs!$B$36))</f>
        <v>20.1779943373267</v>
      </c>
      <c r="HF7" s="15" t="n">
        <f aca="false">EXP(-Inputs!$B$11*Inputs!$B$14*Inputs!$B$17/(Inputs!$B$51*HE7*Inputs!$B$16))</f>
        <v>0.762610321802137</v>
      </c>
      <c r="HG7" s="15" t="n">
        <f aca="false">Inputs!$B$50*Inputs!$B$18*HF7*Inputs!$B$19</f>
        <v>0.745165023018061</v>
      </c>
      <c r="HH7" s="15" t="n">
        <f aca="false">1-HG7</f>
        <v>0.254834976981939</v>
      </c>
      <c r="HI7" s="15" t="n">
        <f aca="false">Inputs!$B$20*HH7</f>
        <v>0.00764504930945817</v>
      </c>
      <c r="HJ7" s="15" t="n">
        <f aca="false">0.8*(1-Inputs!$B$50)*(HG7-HI7)</f>
        <v>0.00177639650883433</v>
      </c>
      <c r="HK7" s="15" t="n">
        <f aca="false">HG7-HI7-HJ7</f>
        <v>0.735743577199769</v>
      </c>
      <c r="HL7" s="15" t="n">
        <f aca="false">HK7*(1-Inputs!$B$18*EXP(-Inputs!$B$21*Inputs!$B$14*Inputs!$B$17/(Inputs!$B$22*Inputs!$B$23*Inputs!$B$24*HE7*Inputs!$B$16))*Inputs!$B$19)</f>
        <v>0.0261128322600512</v>
      </c>
      <c r="HM7" s="15" t="n">
        <f aca="false">(HK7-HL7)*(1-EXP(-Inputs!$B$25*Inputs!$B$14*Inputs!$B$17*Inputs!$B$26/(HE7*Inputs!$B$16/0.866)))</f>
        <v>0.00730588338844632</v>
      </c>
      <c r="HN7" s="15" t="n">
        <f aca="false">(HK7-HL7-HM7)*(1-Inputs!$B$19)</f>
        <v>0.00351162430775636</v>
      </c>
      <c r="HO7" s="15" t="n">
        <f aca="false">(HH7+HI7+HJ7+HL7+HM7+HN7)*(1+Inputs!$B$27)</f>
        <v>0.302090323044755</v>
      </c>
      <c r="HP7" s="15" t="n">
        <f aca="false">Inputs!$B$52/(1-HO7-G7)</f>
        <v>194300.891953332</v>
      </c>
      <c r="HQ7" s="15" t="n">
        <f aca="false">HP7/Inputs!$B$34</f>
        <v>323.834819922221</v>
      </c>
      <c r="HR7" s="15" t="n">
        <f aca="false">B7^2/HQ7</f>
        <v>12.6484236654471</v>
      </c>
      <c r="HS7" s="15" t="n">
        <f aca="false">Inputs!$B$54*H7/(Inputs!$B$35*F7+E7*H7^2/(PI()*HR7*Inputs!$B$36))</f>
        <v>20.1779944236896</v>
      </c>
      <c r="HT7" s="15" t="n">
        <f aca="false">EXP(-Inputs!$B$11*Inputs!$B$14*Inputs!$B$17/(Inputs!$B$51*HS7*Inputs!$B$16))</f>
        <v>0.762610322686711</v>
      </c>
      <c r="HU7" s="15" t="n">
        <f aca="false">Inputs!$B$50*Inputs!$B$18*HT7*Inputs!$B$19</f>
        <v>0.7451650238824</v>
      </c>
      <c r="HV7" s="15" t="n">
        <f aca="false">1-HU7</f>
        <v>0.2548349761176</v>
      </c>
      <c r="HW7" s="15" t="n">
        <f aca="false">Inputs!$B$20*HV7</f>
        <v>0.007645049283528</v>
      </c>
      <c r="HX7" s="15" t="n">
        <f aca="false">0.8*(1-Inputs!$B$50)*(HU7-HW7)</f>
        <v>0.00177639651097864</v>
      </c>
      <c r="HY7" s="15" t="n">
        <f aca="false">HU7-HW7-HX7</f>
        <v>0.735743578087893</v>
      </c>
      <c r="HZ7" s="15" t="n">
        <f aca="false">HY7*(1-Inputs!$B$18*EXP(-Inputs!$B$21*Inputs!$B$14*Inputs!$B$17/(Inputs!$B$22*Inputs!$B$23*Inputs!$B$24*HS7*Inputs!$B$16))*Inputs!$B$19)</f>
        <v>0.0261128322429435</v>
      </c>
      <c r="IA7" s="15" t="n">
        <f aca="false">(HY7-HZ7)*(1-EXP(-Inputs!$B$25*Inputs!$B$14*Inputs!$B$17*Inputs!$B$26/(HS7*Inputs!$B$16/0.866)))</f>
        <v>0.00730588336665795</v>
      </c>
      <c r="IB7" s="15" t="n">
        <f aca="false">(HY7-HZ7-IA7)*(1-Inputs!$B$19)</f>
        <v>0.00351162431239146</v>
      </c>
      <c r="IC7" s="15" t="n">
        <f aca="false">(HV7+HW7+HX7+HZ7+IA7+IB7)*(1+Inputs!$B$27)</f>
        <v>0.302090322119602</v>
      </c>
      <c r="ID7" s="15" t="n">
        <f aca="false">Inputs!$B$52/(1-IC7-G7)</f>
        <v>194300.890882768</v>
      </c>
      <c r="IE7" s="15" t="n">
        <f aca="false">ID7/Inputs!$B$34</f>
        <v>323.834818137947</v>
      </c>
      <c r="IF7" s="15" t="n">
        <f aca="false">B7^2/IE7</f>
        <v>12.6484237351377</v>
      </c>
      <c r="IG7" s="15" t="n">
        <f aca="false">Inputs!$B$54*H7/(Inputs!$B$35*F7+E7*H7^2/(PI()*IF7*Inputs!$B$36))</f>
        <v>20.1779944507958</v>
      </c>
      <c r="IH7" s="15" t="n">
        <f aca="false">EXP(-Inputs!$B$11*Inputs!$B$14*Inputs!$B$17/(Inputs!$B$51*IG7*Inputs!$B$16))</f>
        <v>0.762610322964347</v>
      </c>
      <c r="II7" s="15" t="n">
        <f aca="false">Inputs!$B$50*Inputs!$B$18*IH7*Inputs!$B$19</f>
        <v>0.745165024153685</v>
      </c>
      <c r="IJ7" s="15" t="n">
        <f aca="false">1-II7</f>
        <v>0.254834975846315</v>
      </c>
      <c r="IK7" s="15" t="n">
        <f aca="false">Inputs!$B$20*IJ7</f>
        <v>0.00764504927538946</v>
      </c>
      <c r="IL7" s="15" t="n">
        <f aca="false">0.8*(1-Inputs!$B$50)*(II7-IK7)</f>
        <v>0.00177639651165166</v>
      </c>
      <c r="IM7" s="15" t="n">
        <f aca="false">II7-IK7-IL7</f>
        <v>0.735743578366644</v>
      </c>
      <c r="IN7" s="15" t="n">
        <f aca="false">IM7*(1-Inputs!$B$18*EXP(-Inputs!$B$21*Inputs!$B$14*Inputs!$B$17/(Inputs!$B$22*Inputs!$B$23*Inputs!$B$24*IG7*Inputs!$B$16))*Inputs!$B$19)</f>
        <v>0.0261128322375742</v>
      </c>
      <c r="IO7" s="15" t="n">
        <f aca="false">(IM7-IN7)*(1-EXP(-Inputs!$B$25*Inputs!$B$14*Inputs!$B$17*Inputs!$B$26/(IG7*Inputs!$B$16/0.866)))</f>
        <v>0.00730588335981933</v>
      </c>
      <c r="IP7" s="15" t="n">
        <f aca="false">(IM7-IN7-IO7)*(1-Inputs!$B$19)</f>
        <v>0.00351162431384625</v>
      </c>
      <c r="IQ7" s="15" t="n">
        <f aca="false">(IJ7+IK7+IL7+IN7+IO7+IP7)*(1+Inputs!$B$27)</f>
        <v>0.30209032182923</v>
      </c>
      <c r="IR7" s="15" t="n">
        <f aca="false">Inputs!$B$52/(1-IQ7-G7)</f>
        <v>194300.890546757</v>
      </c>
      <c r="IS7" s="15" t="n">
        <f aca="false">IR7/Inputs!$B$34</f>
        <v>323.834817577928</v>
      </c>
      <c r="IT7" s="15" t="n">
        <f aca="false">B7^2/IS7</f>
        <v>12.648423757011</v>
      </c>
      <c r="IU7" s="15" t="n">
        <f aca="false">Inputs!$B$54*H7/(Inputs!$B$35*F7+E7*H7^2/(PI()*IT7*Inputs!$B$36))</f>
        <v>20.1779944593035</v>
      </c>
      <c r="IV7" s="15" t="n">
        <f aca="false">EXP(-Inputs!$B$11*Inputs!$B$14*Inputs!$B$17/(Inputs!$B$51*IU7*Inputs!$B$16))</f>
        <v>0.762610323051487</v>
      </c>
      <c r="IW7" s="15" t="n">
        <f aca="false">Inputs!$B$50*Inputs!$B$18*IV7*Inputs!$B$19</f>
        <v>0.745165024238831</v>
      </c>
      <c r="IX7" s="15" t="n">
        <f aca="false">1-IW7</f>
        <v>0.254834975761169</v>
      </c>
      <c r="IY7" s="15" t="n">
        <f aca="false">Inputs!$B$20*IX7</f>
        <v>0.00764504927283506</v>
      </c>
      <c r="IZ7" s="15" t="n">
        <f aca="false">0.8*(1-Inputs!$B$50)*(IW7-IY7)</f>
        <v>0.0017763965118629</v>
      </c>
      <c r="JA7" s="15" t="n">
        <f aca="false">IW7-IY7-IZ7</f>
        <v>0.735743578454133</v>
      </c>
      <c r="JB7" s="15" t="n">
        <f aca="false">JA7*(1-Inputs!$B$18*EXP(-Inputs!$B$21*Inputs!$B$14*Inputs!$B$17/(Inputs!$B$22*Inputs!$B$23*Inputs!$B$24*IU7*Inputs!$B$16))*Inputs!$B$19)</f>
        <v>0.0261128322358887</v>
      </c>
      <c r="JC7" s="15" t="n">
        <f aca="false">(JA7-JB7)*(1-EXP(-Inputs!$B$25*Inputs!$B$14*Inputs!$B$17*Inputs!$B$26/(IU7*Inputs!$B$16/0.866)))</f>
        <v>0.00730588335767301</v>
      </c>
      <c r="JD7" s="15" t="n">
        <f aca="false">(JA7-JB7-JC7)*(1-Inputs!$B$19)</f>
        <v>0.00351162431430286</v>
      </c>
      <c r="JE7" s="15" t="n">
        <f aca="false">(IX7+IY7+IZ7+JB7+JC7+JD7)*(1+Inputs!$B$27)</f>
        <v>0.302090321738092</v>
      </c>
      <c r="JF7" s="15" t="n">
        <f aca="false">Inputs!$B$52/(1-JE7-G7)</f>
        <v>194300.890441295</v>
      </c>
      <c r="JG7" s="15" t="n">
        <f aca="false">JF7/Inputs!$B$34</f>
        <v>323.834817402158</v>
      </c>
      <c r="JH7" s="15" t="n">
        <f aca="false">B7^2/JG7</f>
        <v>12.6484237638763</v>
      </c>
      <c r="JI7" s="15" t="n">
        <f aca="false">Inputs!$B$54*H7/(Inputs!$B$35*F7+E7*H7^2/(PI()*JH7*Inputs!$B$36))</f>
        <v>20.1779944619737</v>
      </c>
      <c r="JJ7" s="15" t="n">
        <f aca="false">EXP(-Inputs!$B$11*Inputs!$B$14*Inputs!$B$17/(Inputs!$B$51*JI7*Inputs!$B$16))</f>
        <v>0.762610323078838</v>
      </c>
      <c r="JK7" s="15" t="n">
        <f aca="false">Inputs!$B$50*Inputs!$B$18*JJ7*Inputs!$B$19</f>
        <v>0.745165024265556</v>
      </c>
      <c r="JL7" s="15" t="n">
        <f aca="false">1-JK7</f>
        <v>0.254834975734444</v>
      </c>
      <c r="JM7" s="15" t="n">
        <f aca="false">Inputs!$B$20*JL7</f>
        <v>0.00764504927203333</v>
      </c>
      <c r="JN7" s="15" t="n">
        <f aca="false">0.8*(1-Inputs!$B$50)*(JK7-JM7)</f>
        <v>0.0017763965119292</v>
      </c>
      <c r="JO7" s="15" t="n">
        <f aca="false">JK7-JM7-JN7</f>
        <v>0.735743578481593</v>
      </c>
      <c r="JP7" s="15" t="n">
        <f aca="false">JO7*(1-Inputs!$B$18*EXP(-Inputs!$B$21*Inputs!$B$14*Inputs!$B$17/(Inputs!$B$22*Inputs!$B$23*Inputs!$B$24*JI7*Inputs!$B$16))*Inputs!$B$19)</f>
        <v>0.0261128322353598</v>
      </c>
      <c r="JQ7" s="15" t="n">
        <f aca="false">(JO7-JP7)*(1-EXP(-Inputs!$B$25*Inputs!$B$14*Inputs!$B$17*Inputs!$B$26/(JI7*Inputs!$B$16/0.866)))</f>
        <v>0.00730588335699928</v>
      </c>
      <c r="JR7" s="15" t="n">
        <f aca="false">(JO7-JP7-JQ7)*(1-Inputs!$B$19)</f>
        <v>0.00351162431444617</v>
      </c>
      <c r="JS7" s="15" t="n">
        <f aca="false">(JL7+JM7+JN7+JP7+JQ7+JR7)*(1+Inputs!$B$27)</f>
        <v>0.302090321709488</v>
      </c>
      <c r="JT7" s="15" t="n">
        <f aca="false">Inputs!$B$52/(1-JS7-G7)</f>
        <v>194300.890408194</v>
      </c>
      <c r="JU7" s="15" t="n">
        <f aca="false">JT7/Inputs!$B$34</f>
        <v>323.834817346991</v>
      </c>
      <c r="JV7" s="15" t="n">
        <f aca="false">B7^2/JU7</f>
        <v>12.6484237660311</v>
      </c>
      <c r="JW7" s="15" t="n">
        <f aca="false">Inputs!$B$54*H7/(Inputs!$B$35*F7+E7*H7^2/(PI()*JV7*Inputs!$B$36))</f>
        <v>20.1779944628118</v>
      </c>
      <c r="JX7" s="15" t="n">
        <f aca="false">EXP(-Inputs!$B$11*Inputs!$B$14*Inputs!$B$17/(Inputs!$B$51*JW7*Inputs!$B$16))</f>
        <v>0.762610323087422</v>
      </c>
      <c r="JY7" s="15" t="n">
        <f aca="false">Inputs!$B$50*Inputs!$B$18*JX7*Inputs!$B$19</f>
        <v>0.745165024273944</v>
      </c>
      <c r="JZ7" s="15" t="n">
        <f aca="false">1-JY7</f>
        <v>0.254834975726057</v>
      </c>
      <c r="KA7" s="15" t="n">
        <f aca="false">Inputs!$B$20*JZ7</f>
        <v>0.0076450492717817</v>
      </c>
      <c r="KB7" s="15" t="n">
        <f aca="false">0.8*(1-Inputs!$B$50)*(JY7-KA7)</f>
        <v>0.00177639651195001</v>
      </c>
      <c r="KC7" s="15" t="n">
        <f aca="false">JY7-KA7-KB7</f>
        <v>0.735743578490212</v>
      </c>
      <c r="KD7" s="15" t="n">
        <f aca="false">KC7*(1-Inputs!$B$18*EXP(-Inputs!$B$21*Inputs!$B$14*Inputs!$B$17/(Inputs!$B$22*Inputs!$B$23*Inputs!$B$24*JW7*Inputs!$B$16))*Inputs!$B$19)</f>
        <v>0.0261128322351939</v>
      </c>
      <c r="KE7" s="15" t="n">
        <f aca="false">(KC7-KD7)*(1-EXP(-Inputs!$B$25*Inputs!$B$14*Inputs!$B$17*Inputs!$B$26/(JW7*Inputs!$B$16/0.866)))</f>
        <v>0.00730588335678789</v>
      </c>
      <c r="KF7" s="15" t="n">
        <f aca="false">(KC7-KD7-KE7)*(1-Inputs!$B$19)</f>
        <v>0.00351162431449115</v>
      </c>
      <c r="KG7" s="15" t="n">
        <f aca="false">(JZ7+KA7+KB7+KD7+KE7+KF7)*(1+Inputs!$B$27)</f>
        <v>0.30209032170051</v>
      </c>
      <c r="KH7" s="15" t="n">
        <f aca="false">Inputs!$B$52/(1-KG7-G7)</f>
        <v>194300.890397806</v>
      </c>
      <c r="KI7" s="15" t="n">
        <f aca="false">KH7/Inputs!$B$34</f>
        <v>323.834817329676</v>
      </c>
      <c r="KJ7" s="15" t="n">
        <f aca="false">B7^2/KI7</f>
        <v>12.6484237667073</v>
      </c>
      <c r="KK7" s="15" t="n">
        <f aca="false">Inputs!$B$54*H7/(Inputs!$B$35*F7+E7*H7^2/(PI()*KJ7*Inputs!$B$36))</f>
        <v>20.1779944630748</v>
      </c>
      <c r="KL7" s="15" t="n">
        <f aca="false">EXP(-Inputs!$B$11*Inputs!$B$14*Inputs!$B$17/(Inputs!$B$51*KK7*Inputs!$B$16))</f>
        <v>0.762610323090116</v>
      </c>
      <c r="KM7" s="15" t="n">
        <f aca="false">Inputs!$B$50*Inputs!$B$18*KL7*Inputs!$B$19</f>
        <v>0.745165024276576</v>
      </c>
      <c r="KN7" s="15" t="n">
        <f aca="false">1-KM7</f>
        <v>0.254834975723424</v>
      </c>
      <c r="KO7" s="15" t="n">
        <f aca="false">Inputs!$B$20*KN7</f>
        <v>0.00764504927170272</v>
      </c>
      <c r="KP7" s="15" t="n">
        <f aca="false">0.8*(1-Inputs!$B$50)*(KM7-KO7)</f>
        <v>0.00177639651195654</v>
      </c>
      <c r="KQ7" s="15" t="n">
        <f aca="false">KM7-KO7-KP7</f>
        <v>0.735743578492917</v>
      </c>
      <c r="KR7" s="15" t="n">
        <f aca="false">KQ7*(1-Inputs!$B$18*EXP(-Inputs!$B$21*Inputs!$B$14*Inputs!$B$17/(Inputs!$B$22*Inputs!$B$23*Inputs!$B$24*KK7*Inputs!$B$16))*Inputs!$B$19)</f>
        <v>0.0261128322351418</v>
      </c>
      <c r="KS7" s="15" t="n">
        <f aca="false">(KQ7-KR7)*(1-EXP(-Inputs!$B$25*Inputs!$B$14*Inputs!$B$17*Inputs!$B$26/(KK7*Inputs!$B$16/0.866)))</f>
        <v>0.0073058833567215</v>
      </c>
      <c r="KT7" s="15" t="n">
        <f aca="false">(KQ7-KR7-KS7)*(1-Inputs!$B$19)</f>
        <v>0.00351162431450527</v>
      </c>
      <c r="KU7" s="15" t="n">
        <f aca="false">(KN7+KO7+KP7+KR7+KS7+KT7)*(1+Inputs!$B$27)</f>
        <v>0.302090321697692</v>
      </c>
      <c r="KV7" s="15" t="n">
        <f aca="false">Inputs!$B$52/(1-KU7-G7)</f>
        <v>194300.890394545</v>
      </c>
      <c r="KW7" s="15" t="n">
        <f aca="false">KV7/Inputs!$B$34</f>
        <v>323.834817324241</v>
      </c>
      <c r="KX7" s="15" t="n">
        <f aca="false">B7^2/KW7</f>
        <v>12.6484237669196</v>
      </c>
      <c r="KY7" s="15" t="n">
        <f aca="false">Inputs!$B$54*H7/(Inputs!$B$35*F7+E7*H7^2/(PI()*KX7*Inputs!$B$36))</f>
        <v>20.1779944631574</v>
      </c>
      <c r="KZ7" s="15" t="n">
        <f aca="false">EXP(-Inputs!$B$11*Inputs!$B$14*Inputs!$B$17/(Inputs!$B$51*KY7*Inputs!$B$16))</f>
        <v>0.762610323090961</v>
      </c>
      <c r="LA7" s="15" t="n">
        <f aca="false">Inputs!$B$50*Inputs!$B$18*KZ7*Inputs!$B$19</f>
        <v>0.745165024277403</v>
      </c>
      <c r="LB7" s="15" t="n">
        <f aca="false">1-LA7</f>
        <v>0.254834975722598</v>
      </c>
      <c r="LC7" s="15" t="n">
        <f aca="false">Inputs!$B$20*LB7</f>
        <v>0.00764504927167793</v>
      </c>
      <c r="LD7" s="15" t="n">
        <f aca="false">0.8*(1-Inputs!$B$50)*(LA7-LC7)</f>
        <v>0.00177639651195859</v>
      </c>
      <c r="LE7" s="15" t="n">
        <f aca="false">LA7-LC7-LD7</f>
        <v>0.735743578493766</v>
      </c>
      <c r="LF7" s="15" t="n">
        <f aca="false">LE7*(1-Inputs!$B$18*EXP(-Inputs!$B$21*Inputs!$B$14*Inputs!$B$17/(Inputs!$B$22*Inputs!$B$23*Inputs!$B$24*KY7*Inputs!$B$16))*Inputs!$B$19)</f>
        <v>0.0261128322351254</v>
      </c>
      <c r="LG7" s="15" t="n">
        <f aca="false">(LE7-LF7)*(1-EXP(-Inputs!$B$25*Inputs!$B$14*Inputs!$B$17*Inputs!$B$26/(KY7*Inputs!$B$16/0.866)))</f>
        <v>0.00730588335670071</v>
      </c>
      <c r="LH7" s="15" t="n">
        <f aca="false">(LE7-LF7-LG7)*(1-Inputs!$B$19)</f>
        <v>0.0035116243145097</v>
      </c>
      <c r="LI7" s="15" t="n">
        <f aca="false">(LB7+LC7+LD7+LF7+LG7+LH7)*(1+Inputs!$B$27)</f>
        <v>0.302090321696807</v>
      </c>
      <c r="LJ7" s="15" t="n">
        <f aca="false">Inputs!$B$52/(1-LI7-G7)</f>
        <v>194300.890393521</v>
      </c>
      <c r="LK7" s="15" t="n">
        <f aca="false">LJ7/Inputs!$B$34</f>
        <v>323.834817322535</v>
      </c>
      <c r="LL7" s="15" t="n">
        <f aca="false">B7^2/LK7</f>
        <v>12.6484237669862</v>
      </c>
      <c r="LM7" s="15" t="n">
        <f aca="false">Inputs!$B$54*H7/(Inputs!$B$35*F7+E7*H7^2/(PI()*LL7*Inputs!$B$36))</f>
        <v>20.1779944631833</v>
      </c>
      <c r="LN7" s="15" t="n">
        <f aca="false">EXP(-Inputs!$B$11*Inputs!$B$14*Inputs!$B$17/(Inputs!$B$51*LM7*Inputs!$B$16))</f>
        <v>0.762610323091227</v>
      </c>
      <c r="LO7" s="15" t="n">
        <f aca="false">Inputs!$B$50*Inputs!$B$18*LN7*Inputs!$B$19</f>
        <v>0.745165024277662</v>
      </c>
      <c r="LP7" s="15" t="n">
        <f aca="false">1-LO7</f>
        <v>0.254834975722338</v>
      </c>
      <c r="LQ7" s="15" t="n">
        <f aca="false">Inputs!$B$20*LP7</f>
        <v>0.00764504927167014</v>
      </c>
      <c r="LR7" s="15" t="n">
        <f aca="false">0.8*(1-Inputs!$B$50)*(LO7-LQ7)</f>
        <v>0.00177639651195923</v>
      </c>
      <c r="LS7" s="15" t="n">
        <f aca="false">LO7-LQ7-LR7</f>
        <v>0.735743578494033</v>
      </c>
      <c r="LT7" s="15" t="n">
        <f aca="false">LS7*(1-Inputs!$B$18*EXP(-Inputs!$B$21*Inputs!$B$14*Inputs!$B$17/(Inputs!$B$22*Inputs!$B$23*Inputs!$B$24*LM7*Inputs!$B$16))*Inputs!$B$19)</f>
        <v>0.0261128322351203</v>
      </c>
      <c r="LU7" s="15" t="n">
        <f aca="false">(LS7-LT7)*(1-EXP(-Inputs!$B$25*Inputs!$B$14*Inputs!$B$17*Inputs!$B$26/(LM7*Inputs!$B$16/0.866)))</f>
        <v>0.00730588335669413</v>
      </c>
      <c r="LV7" s="15" t="n">
        <f aca="false">(LS7-LT7-LU7)*(1-Inputs!$B$19)</f>
        <v>0.00351162431451109</v>
      </c>
      <c r="LW7" s="15" t="n">
        <f aca="false">(LP7+LQ7+LR7+LT7+LU7+LV7)*(1+Inputs!$B$27)</f>
        <v>0.30209032169653</v>
      </c>
      <c r="LX7" s="15" t="n">
        <f aca="false">Inputs!$B$52/(1-LW7-G7)</f>
        <v>194300.8903932</v>
      </c>
      <c r="LY7" s="15" t="n">
        <f aca="false">LX7/Inputs!$B$34</f>
        <v>323.834817322</v>
      </c>
      <c r="LZ7" s="15" t="n">
        <f aca="false">B7^2/LY7</f>
        <v>12.6484237670071</v>
      </c>
      <c r="MA7" s="15" t="n">
        <f aca="false">Inputs!$B$54*H7/(Inputs!$B$35*F7+E7*H7^2/(PI()*LZ7*Inputs!$B$36))</f>
        <v>20.1779944631915</v>
      </c>
      <c r="MB7" s="15" t="n">
        <f aca="false">EXP(-Inputs!$B$11*Inputs!$B$14*Inputs!$B$17/(Inputs!$B$51*MA7*Inputs!$B$16))</f>
        <v>0.76261032309131</v>
      </c>
      <c r="MC7" s="15" t="n">
        <f aca="false">Inputs!$B$50*Inputs!$B$18*MB7*Inputs!$B$19</f>
        <v>0.745165024277743</v>
      </c>
      <c r="MD7" s="15" t="n">
        <f aca="false">1-MC7</f>
        <v>0.254834975722257</v>
      </c>
      <c r="ME7" s="15" t="n">
        <f aca="false">Inputs!$B$20*MD7</f>
        <v>0.0076450492716677</v>
      </c>
      <c r="MF7" s="15" t="n">
        <f aca="false">0.8*(1-Inputs!$B$50)*(MC7-ME7)</f>
        <v>0.00177639651195943</v>
      </c>
      <c r="MG7" s="15" t="n">
        <f aca="false">MC7-ME7-MF7</f>
        <v>0.735743578494116</v>
      </c>
      <c r="MH7" s="15" t="n">
        <f aca="false">MG7*(1-Inputs!$B$18*EXP(-Inputs!$B$21*Inputs!$B$14*Inputs!$B$17/(Inputs!$B$22*Inputs!$B$23*Inputs!$B$24*MA7*Inputs!$B$16))*Inputs!$B$19)</f>
        <v>0.0261128322351186</v>
      </c>
      <c r="MI7" s="15" t="n">
        <f aca="false">(MG7-MH7)*(1-EXP(-Inputs!$B$25*Inputs!$B$14*Inputs!$B$17*Inputs!$B$26/(MA7*Inputs!$B$16/0.866)))</f>
        <v>0.00730588335669209</v>
      </c>
      <c r="MJ7" s="15" t="n">
        <f aca="false">(MG7-MH7-MI7)*(1-Inputs!$B$19)</f>
        <v>0.00351162431451153</v>
      </c>
      <c r="MK7" s="15" t="n">
        <f aca="false">(MD7+ME7+MF7+MH7+MI7+MJ7)*(1+Inputs!$B$27)</f>
        <v>0.302090321696443</v>
      </c>
      <c r="ML7" s="15" t="n">
        <f aca="false">Inputs!$B$52/(1-MK7-G7)</f>
        <v>194300.890393099</v>
      </c>
      <c r="MM7" s="15" t="n">
        <f aca="false">ML7/Inputs!$B$34</f>
        <v>323.834817321832</v>
      </c>
      <c r="MN7" s="15" t="n">
        <f aca="false">B7^2/MM7</f>
        <v>12.6484237670137</v>
      </c>
      <c r="MO7" s="15" t="n">
        <f aca="false">Inputs!$B$54*H7/(Inputs!$B$35*F7+E7*H7^2/(PI()*MN7*Inputs!$B$36))</f>
        <v>20.177994463194</v>
      </c>
      <c r="MP7" s="15" t="n">
        <f aca="false">EXP(-Inputs!$B$11*Inputs!$B$14*Inputs!$B$17/(Inputs!$B$51*MO7*Inputs!$B$16))</f>
        <v>0.762610323091336</v>
      </c>
      <c r="MQ7" s="15" t="n">
        <f aca="false">Inputs!$B$50*Inputs!$B$18*MP7*Inputs!$B$19</f>
        <v>0.745165024277769</v>
      </c>
      <c r="MR7" s="15" t="n">
        <f aca="false">1-MQ7</f>
        <v>0.254834975722231</v>
      </c>
      <c r="MS7" s="15" t="n">
        <f aca="false">Inputs!$B$20*MR7</f>
        <v>0.00764504927166694</v>
      </c>
      <c r="MT7" s="15" t="n">
        <f aca="false">0.8*(1-Inputs!$B$50)*(MQ7-MS7)</f>
        <v>0.0017763965119595</v>
      </c>
      <c r="MU7" s="15" t="n">
        <f aca="false">MQ7-MS7-MT7</f>
        <v>0.735743578494142</v>
      </c>
      <c r="MV7" s="15" t="n">
        <f aca="false">MU7*(1-Inputs!$B$18*EXP(-Inputs!$B$21*Inputs!$B$14*Inputs!$B$17/(Inputs!$B$22*Inputs!$B$23*Inputs!$B$24*MO7*Inputs!$B$16))*Inputs!$B$19)</f>
        <v>0.0261128322351181</v>
      </c>
      <c r="MW7" s="15" t="n">
        <f aca="false">(MU7-MV7)*(1-EXP(-Inputs!$B$25*Inputs!$B$14*Inputs!$B$17*Inputs!$B$26/(MO7*Inputs!$B$16/0.866)))</f>
        <v>0.00730588335669142</v>
      </c>
      <c r="MX7" s="15" t="n">
        <f aca="false">(MU7-MV7-MW7)*(1-Inputs!$B$19)</f>
        <v>0.00351162431451167</v>
      </c>
      <c r="MY7" s="15" t="n">
        <f aca="false">(MR7+MS7+MT7+MV7+MW7+MX7)*(1+Inputs!$B$27)</f>
        <v>0.302090321696415</v>
      </c>
      <c r="MZ7" s="15" t="n">
        <f aca="false">Inputs!$B$52/(1-MY7-G7)</f>
        <v>194300.890393067</v>
      </c>
      <c r="NA7" s="15" t="n">
        <f aca="false">MZ7/Inputs!$B$34</f>
        <v>323.834817321779</v>
      </c>
      <c r="NB7" s="15" t="n">
        <f aca="false">B7^2/NA7</f>
        <v>12.6484237670158</v>
      </c>
      <c r="NC7" s="15" t="n">
        <f aca="false">Inputs!$B$54*H7/(Inputs!$B$35*F7+E7*H7^2/(PI()*NB7*Inputs!$B$36))</f>
        <v>20.1779944631948</v>
      </c>
      <c r="ND7" s="15" t="n">
        <f aca="false">EXP(-Inputs!$B$11*Inputs!$B$14*Inputs!$B$17/(Inputs!$B$51*NC7*Inputs!$B$16))</f>
        <v>0.762610323091345</v>
      </c>
      <c r="NE7" s="15" t="n">
        <f aca="false">Inputs!$B$50*Inputs!$B$18*ND7*Inputs!$B$19</f>
        <v>0.745165024277777</v>
      </c>
      <c r="NF7" s="15" t="n">
        <f aca="false">1-NE7</f>
        <v>0.254834975722223</v>
      </c>
      <c r="NG7" s="15" t="n">
        <f aca="false">Inputs!$B$20*NF7</f>
        <v>0.00764504927166669</v>
      </c>
      <c r="NH7" s="15" t="n">
        <f aca="false">0.8*(1-Inputs!$B$50)*(NE7-NG7)</f>
        <v>0.00177639651195952</v>
      </c>
      <c r="NI7" s="15" t="n">
        <f aca="false">NE7-NG7-NH7</f>
        <v>0.735743578494151</v>
      </c>
      <c r="NJ7" s="15" t="n">
        <f aca="false">NI7*(1-Inputs!$B$18*EXP(-Inputs!$B$21*Inputs!$B$14*Inputs!$B$17/(Inputs!$B$22*Inputs!$B$23*Inputs!$B$24*NC7*Inputs!$B$16))*Inputs!$B$19)</f>
        <v>0.026112832235118</v>
      </c>
      <c r="NK7" s="15" t="n">
        <f aca="false">(NI7-NJ7)*(1-EXP(-Inputs!$B$25*Inputs!$B$14*Inputs!$B$17*Inputs!$B$26/(NC7*Inputs!$B$16/0.866)))</f>
        <v>0.00730588335669127</v>
      </c>
      <c r="NL7" s="15" t="n">
        <f aca="false">(NI7-NJ7-NK7)*(1-Inputs!$B$19)</f>
        <v>0.00351162431451171</v>
      </c>
      <c r="NM7" s="15" t="n">
        <f aca="false">(NF7+NG7+NH7+NJ7+NK7+NL7)*(1+Inputs!$B$27)</f>
        <v>0.302090321696407</v>
      </c>
      <c r="NN7" s="15" t="n">
        <f aca="false">Inputs!$B$52/(1-NM7-G7)</f>
        <v>194300.890393058</v>
      </c>
    </row>
    <row r="8" customFormat="false" ht="15" hidden="false" customHeight="false" outlineLevel="0" collapsed="false">
      <c r="A8" s="34" t="n">
        <v>0.015</v>
      </c>
      <c r="B8" s="21" t="n">
        <f aca="false">$B$3</f>
        <v>64</v>
      </c>
      <c r="C8" s="22" t="n">
        <f aca="false">$D$3</f>
        <v>0.15</v>
      </c>
      <c r="D8" s="23" t="n">
        <f aca="false">B8*C8</f>
        <v>9.6</v>
      </c>
      <c r="E8" s="24" t="n">
        <f aca="false">IF(C8=0,1,(1+0.45*C8)/(1.04+2.81*C8))</f>
        <v>0.73041395826206</v>
      </c>
      <c r="F8" s="24" t="n">
        <f aca="false">1+Inputs!$B$42*D8</f>
        <v>1.048</v>
      </c>
      <c r="G8" s="25" t="n">
        <f aca="false">Inputs!$B$31+Inputs!$B$43*($B$3/Inputs!$B$32-1)+0.015</f>
        <v>0.535</v>
      </c>
      <c r="H8" s="22" t="n">
        <f aca="false">Inputs!$B$38</f>
        <v>0.5</v>
      </c>
      <c r="I8" s="23" t="n">
        <f aca="false">Inputs!$B$40</f>
        <v>2.4</v>
      </c>
      <c r="J8" s="26" t="n">
        <f aca="false">NN8/Inputs!$B$34</f>
        <v>338.846811797582</v>
      </c>
      <c r="K8" s="23" t="n">
        <f aca="false">B8^2/J8</f>
        <v>12.0880582534353</v>
      </c>
      <c r="L8" s="23" t="n">
        <f aca="false">2*K8</f>
        <v>24.1761165068706</v>
      </c>
      <c r="M8" s="22" t="n">
        <f aca="false">NC8</f>
        <v>19.9524849399777</v>
      </c>
      <c r="N8" s="23" t="n">
        <f aca="false">B8/SQRT(E8)</f>
        <v>74.8851048120828</v>
      </c>
      <c r="O8" s="24" t="n">
        <f aca="false">NM8</f>
        <v>0.304529255973988</v>
      </c>
      <c r="P8" s="23" t="n">
        <f aca="false">NN8/1000</f>
        <v>203.308087078549</v>
      </c>
      <c r="Q8" s="23" t="n">
        <f aca="false">G8*NN8/1000</f>
        <v>108.769826587024</v>
      </c>
      <c r="R8" s="23" t="n">
        <f aca="false">NM8*NN8/1000</f>
        <v>61.9132604915255</v>
      </c>
      <c r="S8" s="23" t="n">
        <f aca="false">NM8*NN8/Inputs!$B$28/1000</f>
        <v>82.5510139887006</v>
      </c>
      <c r="T8" s="27" t="n">
        <f aca="false">R8/Sweep!$R$5-1</f>
        <v>-0.00933428116785906</v>
      </c>
      <c r="U8" s="27" t="n">
        <f aca="false">R8/SUMIFS(Sweep!$R:$R,Sweep!$A:$A,"Conventional",Sweep!$B:$B,B8)-1</f>
        <v>-0.00933428116818658</v>
      </c>
      <c r="V8" s="26" t="n">
        <f aca="false">2*0.54*(J8/2)^1.5/SQRT(L8)*Inputs!$B$46*Inputs!$B$47</f>
        <v>45.2899883014324</v>
      </c>
      <c r="W8" s="28" t="n">
        <f aca="false">MIN(1,V8/S8)</f>
        <v>0.548630308861277</v>
      </c>
      <c r="X8" s="26" t="n">
        <f aca="false">1.23*SQRT(2*Inputs!$B$41*NN8*Inputs!$B$49/(1.225*J8*I8))/0.5144</f>
        <v>133.62967568068</v>
      </c>
      <c r="Y8" s="29" t="n">
        <f aca="false">(11000+6341.6*LN(0.36392/(2*Inputs!$B$50*Inputs!$B$18*(1+ND8)/2*Inputs!$B$34*Inputs!$B$49/((Inputs!$B$12*295.07)^2*H8))))/0.3048</f>
        <v>38538.998804336</v>
      </c>
      <c r="Z8" s="26" t="n">
        <f aca="false">NN8-MZ8</f>
        <v>-6.80738594383001E-008</v>
      </c>
      <c r="AA8" s="30" t="str">
        <f aca="false">IF(ABS(NN8-MZ8)&lt;10,"Yes","No")</f>
        <v>Yes</v>
      </c>
      <c r="AC8" s="15" t="n">
        <f aca="false">Inputs!$B$52/(1-0.3154-G8)/Inputs!$B$34</f>
        <v>363.469251336899</v>
      </c>
      <c r="AD8" s="15" t="n">
        <f aca="false">B8^2/AC8</f>
        <v>11.2691788505747</v>
      </c>
      <c r="AE8" s="15" t="n">
        <f aca="false">Inputs!$B$54*H8/(Inputs!$B$35*F8+E8*H8^2/(PI()*AD8*Inputs!$B$36))</f>
        <v>19.5933251429287</v>
      </c>
      <c r="AF8" s="15" t="n">
        <f aca="false">EXP(-Inputs!$B$11*Inputs!$B$14*Inputs!$B$17/(Inputs!$B$51*AE8*Inputs!$B$16))</f>
        <v>0.756468006052794</v>
      </c>
      <c r="AG8" s="15" t="n">
        <f aca="false">Inputs!$B$50*Inputs!$B$18*AF8*Inputs!$B$19</f>
        <v>0.739163217474795</v>
      </c>
      <c r="AH8" s="15" t="n">
        <f aca="false">1-AG8</f>
        <v>0.260836782525205</v>
      </c>
      <c r="AI8" s="15" t="n">
        <f aca="false">Inputs!$B$20*AH8</f>
        <v>0.00782510347575615</v>
      </c>
      <c r="AJ8" s="15" t="n">
        <f aca="false">0.8*(1-Inputs!$B$50)*(AG8-AI8)</f>
        <v>0.001761506832083</v>
      </c>
      <c r="AK8" s="15" t="n">
        <f aca="false">AG8-AI8-AJ8</f>
        <v>0.729576607166956</v>
      </c>
      <c r="AL8" s="15" t="n">
        <f aca="false">AK8*(1-Inputs!$B$18*EXP(-Inputs!$B$21*Inputs!$B$14*Inputs!$B$17/(Inputs!$B$22*Inputs!$B$23*Inputs!$B$24*AE8*Inputs!$B$16))*Inputs!$B$19)</f>
        <v>0.0262300692305618</v>
      </c>
      <c r="AM8" s="15" t="n">
        <f aca="false">(AK8-AL8)*(1-EXP(-Inputs!$B$25*Inputs!$B$14*Inputs!$B$17*Inputs!$B$26/(AE8*Inputs!$B$16/0.866)))</f>
        <v>0.00745611466071993</v>
      </c>
      <c r="AN8" s="15" t="n">
        <f aca="false">(AK8-AL8-AM8)*(1-Inputs!$B$19)</f>
        <v>0.00347945211637837</v>
      </c>
      <c r="AO8" s="15" t="n">
        <f aca="false">(AH8+AI8+AJ8+AL8+AM8+AN8)*(1+Inputs!$B$27)</f>
        <v>0.308511795927226</v>
      </c>
      <c r="AP8" s="15" t="n">
        <f aca="false">Inputs!$B$52/(1-AO8-G8)</f>
        <v>208482.167670785</v>
      </c>
      <c r="AQ8" s="15" t="n">
        <f aca="false">AP8/Inputs!$B$34</f>
        <v>347.470279451308</v>
      </c>
      <c r="AR8" s="15" t="n">
        <f aca="false">B8^2/AQ8</f>
        <v>11.7880585541532</v>
      </c>
      <c r="AS8" s="15" t="n">
        <f aca="false">Inputs!$B$54*H8/(Inputs!$B$35*F8+E8*H8^2/(PI()*AR8*Inputs!$B$36))</f>
        <v>19.8252084489879</v>
      </c>
      <c r="AT8" s="15" t="n">
        <f aca="false">EXP(-Inputs!$B$11*Inputs!$B$14*Inputs!$B$17/(Inputs!$B$51*AS8*Inputs!$B$16))</f>
        <v>0.758941457851778</v>
      </c>
      <c r="AU8" s="15" t="n">
        <f aca="false">Inputs!$B$50*Inputs!$B$18*AT8*Inputs!$B$19</f>
        <v>0.741580087157818</v>
      </c>
      <c r="AV8" s="15" t="n">
        <f aca="false">1-AU8</f>
        <v>0.258419912842182</v>
      </c>
      <c r="AW8" s="15" t="n">
        <f aca="false">Inputs!$B$20*AV8</f>
        <v>0.00775259738526545</v>
      </c>
      <c r="AX8" s="15" t="n">
        <f aca="false">0.8*(1-Inputs!$B$50)*(AU8-AW8)</f>
        <v>0.00176750276248609</v>
      </c>
      <c r="AY8" s="15" t="n">
        <f aca="false">AU8-AW8-AX8</f>
        <v>0.732059987010067</v>
      </c>
      <c r="AZ8" s="15" t="n">
        <f aca="false">AY8*(1-Inputs!$B$18*EXP(-Inputs!$B$21*Inputs!$B$14*Inputs!$B$17/(Inputs!$B$22*Inputs!$B$23*Inputs!$B$24*AS8*Inputs!$B$16))*Inputs!$B$19)</f>
        <v>0.0261832336088751</v>
      </c>
      <c r="BA8" s="15" t="n">
        <f aca="false">(AY8-AZ8)*(1-EXP(-Inputs!$B$25*Inputs!$B$14*Inputs!$B$17*Inputs!$B$26/(AS8*Inputs!$B$16/0.866)))</f>
        <v>0.00739587405880733</v>
      </c>
      <c r="BB8" s="15" t="n">
        <f aca="false">(AY8-AZ8-BA8)*(1-Inputs!$B$19)</f>
        <v>0.00349240439671193</v>
      </c>
      <c r="BC8" s="15" t="n">
        <f aca="false">(AV8+AW8+AX8+AZ8+BA8+BB8)*(1+Inputs!$B$27)</f>
        <v>0.30592655962949</v>
      </c>
      <c r="BD8" s="15" t="n">
        <f aca="false">Inputs!$B$52/(1-BC8-G8)</f>
        <v>205093.948581301</v>
      </c>
      <c r="BE8" s="15" t="n">
        <f aca="false">BD8/Inputs!$B$34</f>
        <v>341.823247635502</v>
      </c>
      <c r="BF8" s="15" t="n">
        <f aca="false">B8^2/BE8</f>
        <v>11.9828011357721</v>
      </c>
      <c r="BG8" s="15" t="n">
        <f aca="false">Inputs!$B$54*H8/(Inputs!$B$35*F8+E8*H8^2/(PI()*BF8*Inputs!$B$36))</f>
        <v>19.9083705039046</v>
      </c>
      <c r="BH8" s="15" t="n">
        <f aca="false">EXP(-Inputs!$B$11*Inputs!$B$14*Inputs!$B$17/(Inputs!$B$51*BG8*Inputs!$B$16))</f>
        <v>0.759816422482759</v>
      </c>
      <c r="BI8" s="15" t="n">
        <f aca="false">Inputs!$B$50*Inputs!$B$18*BH8*Inputs!$B$19</f>
        <v>0.742435036298612</v>
      </c>
      <c r="BJ8" s="15" t="n">
        <f aca="false">1-BI8</f>
        <v>0.257564963701388</v>
      </c>
      <c r="BK8" s="15" t="n">
        <f aca="false">Inputs!$B$20*BJ8</f>
        <v>0.00772694891104164</v>
      </c>
      <c r="BL8" s="15" t="n">
        <f aca="false">0.8*(1-Inputs!$B$50)*(BI8-BK8)</f>
        <v>0.0017696237769464</v>
      </c>
      <c r="BM8" s="15" t="n">
        <f aca="false">BI8-BK8-BL8</f>
        <v>0.732938463610624</v>
      </c>
      <c r="BN8" s="15" t="n">
        <f aca="false">BM8*(1-Inputs!$B$18*EXP(-Inputs!$B$21*Inputs!$B$14*Inputs!$B$17/(Inputs!$B$22*Inputs!$B$23*Inputs!$B$24*BG8*Inputs!$B$16))*Inputs!$B$19)</f>
        <v>0.026166544788779</v>
      </c>
      <c r="BO8" s="15" t="n">
        <f aca="false">(BM8-BN8)*(1-EXP(-Inputs!$B$25*Inputs!$B$14*Inputs!$B$17*Inputs!$B$26/(BG8*Inputs!$B$16/0.866)))</f>
        <v>0.00737448163960626</v>
      </c>
      <c r="BP8" s="15" t="n">
        <f aca="false">(BM8-BN8-BO8)*(1-Inputs!$B$19)</f>
        <v>0.0034969871859112</v>
      </c>
      <c r="BQ8" s="15" t="n">
        <f aca="false">(BJ8+BK8+BL8+BN8+BO8+BP8)*(1+Inputs!$B$27)</f>
        <v>0.305011848653683</v>
      </c>
      <c r="BR8" s="15" t="n">
        <f aca="false">Inputs!$B$52/(1-BQ8-G8)</f>
        <v>203921.351209182</v>
      </c>
      <c r="BS8" s="15" t="n">
        <f aca="false">BR8/Inputs!$B$34</f>
        <v>339.86891868197</v>
      </c>
      <c r="BT8" s="15" t="n">
        <f aca="false">B8^2/BS8</f>
        <v>12.0517051570485</v>
      </c>
      <c r="BU8" s="15" t="n">
        <f aca="false">Inputs!$B$54*H8/(Inputs!$B$35*F8+E8*H8^2/(PI()*BT8*Inputs!$B$36))</f>
        <v>19.9373140361482</v>
      </c>
      <c r="BV8" s="15" t="n">
        <f aca="false">EXP(-Inputs!$B$11*Inputs!$B$14*Inputs!$B$17/(Inputs!$B$51*BU8*Inputs!$B$16))</f>
        <v>0.760119465789869</v>
      </c>
      <c r="BW8" s="15" t="n">
        <f aca="false">Inputs!$B$50*Inputs!$B$18*BV8*Inputs!$B$19</f>
        <v>0.742731147256545</v>
      </c>
      <c r="BX8" s="15" t="n">
        <f aca="false">1-BW8</f>
        <v>0.257268852743455</v>
      </c>
      <c r="BY8" s="15" t="n">
        <f aca="false">Inputs!$B$20*BX8</f>
        <v>0.00771806558230365</v>
      </c>
      <c r="BZ8" s="15" t="n">
        <f aca="false">0.8*(1-Inputs!$B$50)*(BW8-BY8)</f>
        <v>0.00177035838862523</v>
      </c>
      <c r="CA8" s="15" t="n">
        <f aca="false">BW8-BY8-BZ8</f>
        <v>0.733242723285616</v>
      </c>
      <c r="CB8" s="15" t="n">
        <f aca="false">CA8*(1-Inputs!$B$18*EXP(-Inputs!$B$21*Inputs!$B$14*Inputs!$B$17/(Inputs!$B$22*Inputs!$B$23*Inputs!$B$24*BU8*Inputs!$B$16))*Inputs!$B$19)</f>
        <v>0.0261607498989849</v>
      </c>
      <c r="CC8" s="15" t="n">
        <f aca="false">(CA8-CB8)*(1-EXP(-Inputs!$B$25*Inputs!$B$14*Inputs!$B$17*Inputs!$B$26/(BU8*Inputs!$B$16/0.866)))</f>
        <v>0.00736706232112164</v>
      </c>
      <c r="CD8" s="15" t="n">
        <f aca="false">(CA8-CB8-CC8)*(1-Inputs!$B$19)</f>
        <v>0.00349857455532755</v>
      </c>
      <c r="CE8" s="15" t="n">
        <f aca="false">(BX8+BY8+BZ8+CB8+CC8+CD8)*(1+Inputs!$B$27)</f>
        <v>0.304695014480287</v>
      </c>
      <c r="CF8" s="15" t="n">
        <f aca="false">Inputs!$B$52/(1-CE8-G8)</f>
        <v>203518.311637214</v>
      </c>
      <c r="CG8" s="15" t="n">
        <f aca="false">CF8/Inputs!$B$34</f>
        <v>339.197186062024</v>
      </c>
      <c r="CH8" s="15" t="n">
        <f aca="false">B8^2/CG8</f>
        <v>12.0755718747355</v>
      </c>
      <c r="CI8" s="15" t="n">
        <f aca="false">Inputs!$B$54*H8/(Inputs!$B$35*F8+E8*H8^2/(PI()*CH8*Inputs!$B$36))</f>
        <v>19.94728181312</v>
      </c>
      <c r="CJ8" s="15" t="n">
        <f aca="false">EXP(-Inputs!$B$11*Inputs!$B$14*Inputs!$B$17/(Inputs!$B$51*CI8*Inputs!$B$16))</f>
        <v>0.760223654297623</v>
      </c>
      <c r="CK8" s="15" t="n">
        <f aca="false">Inputs!$B$50*Inputs!$B$18*CJ8*Inputs!$B$19</f>
        <v>0.742832952371895</v>
      </c>
      <c r="CL8" s="15" t="n">
        <f aca="false">1-CK8</f>
        <v>0.257167047628105</v>
      </c>
      <c r="CM8" s="15" t="n">
        <f aca="false">Inputs!$B$20*CL8</f>
        <v>0.00771501142884315</v>
      </c>
      <c r="CN8" s="15" t="n">
        <f aca="false">0.8*(1-Inputs!$B$50)*(CK8-CM8)</f>
        <v>0.00177061095349896</v>
      </c>
      <c r="CO8" s="15" t="n">
        <f aca="false">CK8-CM8-CN8</f>
        <v>0.733347329989553</v>
      </c>
      <c r="CP8" s="15" t="n">
        <f aca="false">CO8*(1-Inputs!$B$18*EXP(-Inputs!$B$21*Inputs!$B$14*Inputs!$B$17/(Inputs!$B$22*Inputs!$B$23*Inputs!$B$24*CI8*Inputs!$B$16))*Inputs!$B$19)</f>
        <v>0.0261587558236869</v>
      </c>
      <c r="CQ8" s="15" t="n">
        <f aca="false">(CO8-CP8)*(1-EXP(-Inputs!$B$25*Inputs!$B$14*Inputs!$B$17*Inputs!$B$26/(CI8*Inputs!$B$16/0.866)))</f>
        <v>0.00736451030872566</v>
      </c>
      <c r="CR8" s="15" t="n">
        <f aca="false">(CO8-CP8-CQ8)*(1-Inputs!$B$19)</f>
        <v>0.0034991203192857</v>
      </c>
      <c r="CS8" s="15" t="n">
        <f aca="false">(CL8+CM8+CN8+CP8+CQ8+CR8)*(1+Inputs!$B$27)</f>
        <v>0.304586081631532</v>
      </c>
      <c r="CT8" s="15" t="n">
        <f aca="false">Inputs!$B$52/(1-CS8-G8)</f>
        <v>203380.107735171</v>
      </c>
      <c r="CU8" s="15" t="n">
        <f aca="false">CT8/Inputs!$B$34</f>
        <v>338.966846225286</v>
      </c>
      <c r="CV8" s="15" t="n">
        <f aca="false">B8^2/CU8</f>
        <v>12.0837776485011</v>
      </c>
      <c r="CW8" s="15" t="n">
        <f aca="false">Inputs!$B$54*H8/(Inputs!$B$35*F8+E8*H8^2/(PI()*CV8*Inputs!$B$36))</f>
        <v>19.9507020994336</v>
      </c>
      <c r="CX8" s="15" t="n">
        <f aca="false">EXP(-Inputs!$B$11*Inputs!$B$14*Inputs!$B$17/(Inputs!$B$51*CW8*Inputs!$B$16))</f>
        <v>0.760259384247029</v>
      </c>
      <c r="CY8" s="15" t="n">
        <f aca="false">Inputs!$B$50*Inputs!$B$18*CX8*Inputs!$B$19</f>
        <v>0.742867864971175</v>
      </c>
      <c r="CZ8" s="15" t="n">
        <f aca="false">1-CY8</f>
        <v>0.257132135028825</v>
      </c>
      <c r="DA8" s="15" t="n">
        <f aca="false">Inputs!$B$20*CZ8</f>
        <v>0.00771396405086475</v>
      </c>
      <c r="DB8" s="15" t="n">
        <f aca="false">0.8*(1-Inputs!$B$50)*(CY8-DA8)</f>
        <v>0.00177069756698787</v>
      </c>
      <c r="DC8" s="15" t="n">
        <f aca="false">CY8-DA8-DB8</f>
        <v>0.733383203353322</v>
      </c>
      <c r="DD8" s="15" t="n">
        <f aca="false">DC8*(1-Inputs!$B$18*EXP(-Inputs!$B$21*Inputs!$B$14*Inputs!$B$17/(Inputs!$B$22*Inputs!$B$23*Inputs!$B$24*CW8*Inputs!$B$16))*Inputs!$B$19)</f>
        <v>0.0261580717781289</v>
      </c>
      <c r="DE8" s="15" t="n">
        <f aca="false">(DC8-DD8)*(1-EXP(-Inputs!$B$25*Inputs!$B$14*Inputs!$B$17*Inputs!$B$26/(CW8*Inputs!$B$16/0.866)))</f>
        <v>0.00736363499185702</v>
      </c>
      <c r="DF8" s="15" t="n">
        <f aca="false">(DC8-DD8-DE8)*(1-Inputs!$B$19)</f>
        <v>0.00349930748291669</v>
      </c>
      <c r="DG8" s="15" t="n">
        <f aca="false">(CZ8+DA8+DB8+DD8+DE8+DF8)*(1+Inputs!$B$27)</f>
        <v>0.304548724332279</v>
      </c>
      <c r="DH8" s="15" t="n">
        <f aca="false">Inputs!$B$52/(1-DG8-G8)</f>
        <v>203332.755468789</v>
      </c>
      <c r="DI8" s="15" t="n">
        <f aca="false">DH8/Inputs!$B$34</f>
        <v>338.887925781315</v>
      </c>
      <c r="DJ8" s="15" t="n">
        <f aca="false">B8^2/DI8</f>
        <v>12.0865917266204</v>
      </c>
      <c r="DK8" s="15" t="n">
        <f aca="false">Inputs!$B$54*H8/(Inputs!$B$35*F8+E8*H8^2/(PI()*DJ8*Inputs!$B$36))</f>
        <v>19.9518742486542</v>
      </c>
      <c r="DL8" s="15" t="n">
        <f aca="false">EXP(-Inputs!$B$11*Inputs!$B$14*Inputs!$B$17/(Inputs!$B$51*DK8*Inputs!$B$16))</f>
        <v>0.76027162664712</v>
      </c>
      <c r="DM8" s="15" t="n">
        <f aca="false">Inputs!$B$50*Inputs!$B$18*DL8*Inputs!$B$19</f>
        <v>0.74287982731693</v>
      </c>
      <c r="DN8" s="15" t="n">
        <f aca="false">1-DM8</f>
        <v>0.25712017268307</v>
      </c>
      <c r="DO8" s="15" t="n">
        <f aca="false">Inputs!$B$20*DN8</f>
        <v>0.00771360518049211</v>
      </c>
      <c r="DP8" s="15" t="n">
        <f aca="false">0.8*(1-Inputs!$B$50)*(DM8-DO8)</f>
        <v>0.0017707272439676</v>
      </c>
      <c r="DQ8" s="15" t="n">
        <f aca="false">DM8-DO8-DP8</f>
        <v>0.73339549489247</v>
      </c>
      <c r="DR8" s="15" t="n">
        <f aca="false">DQ8*(1-Inputs!$B$18*EXP(-Inputs!$B$21*Inputs!$B$14*Inputs!$B$17/(Inputs!$B$22*Inputs!$B$23*Inputs!$B$24*DK8*Inputs!$B$16))*Inputs!$B$19)</f>
        <v>0.0261578373746466</v>
      </c>
      <c r="DS8" s="15" t="n">
        <f aca="false">(DQ8-DR8)*(1-EXP(-Inputs!$B$25*Inputs!$B$14*Inputs!$B$17*Inputs!$B$26/(DK8*Inputs!$B$16/0.866)))</f>
        <v>0.00736333505941803</v>
      </c>
      <c r="DT8" s="15" t="n">
        <f aca="false">(DQ8-DR8-DS8)*(1-Inputs!$B$19)</f>
        <v>0.00349937161229203</v>
      </c>
      <c r="DU8" s="15" t="n">
        <f aca="false">(DN8+DO8+DP8+DR8+DS8+DT8)*(1+Inputs!$B$27)</f>
        <v>0.304535924301348</v>
      </c>
      <c r="DV8" s="15" t="n">
        <f aca="false">Inputs!$B$52/(1-DU8-G8)</f>
        <v>203316.535853602</v>
      </c>
      <c r="DW8" s="15" t="n">
        <f aca="false">DV8/Inputs!$B$34</f>
        <v>338.860893089337</v>
      </c>
      <c r="DX8" s="15" t="n">
        <f aca="false">B8^2/DW8</f>
        <v>12.0875559367665</v>
      </c>
      <c r="DY8" s="15" t="n">
        <f aca="false">Inputs!$B$54*H8/(Inputs!$B$35*F8+E8*H8^2/(PI()*DX8*Inputs!$B$36))</f>
        <v>19.95227577767</v>
      </c>
      <c r="DZ8" s="15" t="n">
        <f aca="false">EXP(-Inputs!$B$11*Inputs!$B$14*Inputs!$B$17/(Inputs!$B$51*DY8*Inputs!$B$16))</f>
        <v>0.760275820092967</v>
      </c>
      <c r="EA8" s="15" t="n">
        <f aca="false">Inputs!$B$50*Inputs!$B$18*DZ8*Inputs!$B$19</f>
        <v>0.742883924834471</v>
      </c>
      <c r="EB8" s="15" t="n">
        <f aca="false">1-EA8</f>
        <v>0.257116075165529</v>
      </c>
      <c r="EC8" s="15" t="n">
        <f aca="false">Inputs!$B$20*EB8</f>
        <v>0.00771348225496586</v>
      </c>
      <c r="ED8" s="15" t="n">
        <f aca="false">0.8*(1-Inputs!$B$50)*(EA8-EC8)</f>
        <v>0.00177073740936054</v>
      </c>
      <c r="EE8" s="15" t="n">
        <f aca="false">EA8-EC8-ED8</f>
        <v>0.733399705170145</v>
      </c>
      <c r="EF8" s="15" t="n">
        <f aca="false">EE8*(1-Inputs!$B$18*EXP(-Inputs!$B$21*Inputs!$B$14*Inputs!$B$17/(Inputs!$B$22*Inputs!$B$23*Inputs!$B$24*DY8*Inputs!$B$16))*Inputs!$B$19)</f>
        <v>0.0261577570804978</v>
      </c>
      <c r="EG8" s="15" t="n">
        <f aca="false">(EE8-EF8)*(1-EXP(-Inputs!$B$25*Inputs!$B$14*Inputs!$B$17*Inputs!$B$26/(DY8*Inputs!$B$16/0.866)))</f>
        <v>0.00736323232023151</v>
      </c>
      <c r="EH8" s="15" t="n">
        <f aca="false">(EE8-EF8-EG8)*(1-Inputs!$B$19)</f>
        <v>0.00349939357884708</v>
      </c>
      <c r="EI8" s="15" t="n">
        <f aca="false">(EB8+EC8+ED8+EF8+EG8+EH8)*(1+Inputs!$B$27)</f>
        <v>0.30453153984286</v>
      </c>
      <c r="EJ8" s="15" t="n">
        <f aca="false">Inputs!$B$52/(1-EI8-G8)</f>
        <v>203310.980662815</v>
      </c>
      <c r="EK8" s="15" t="n">
        <f aca="false">EJ8/Inputs!$B$34</f>
        <v>338.851634438025</v>
      </c>
      <c r="EL8" s="15" t="n">
        <f aca="false">B8^2/EK8</f>
        <v>12.0878862124808</v>
      </c>
      <c r="EM8" s="15" t="n">
        <f aca="false">Inputs!$B$54*H8/(Inputs!$B$35*F8+E8*H8^2/(PI()*EL8*Inputs!$B$36))</f>
        <v>19.9524133043949</v>
      </c>
      <c r="EN8" s="15" t="n">
        <f aca="false">EXP(-Inputs!$B$11*Inputs!$B$14*Inputs!$B$17/(Inputs!$B$51*EM8*Inputs!$B$16))</f>
        <v>0.760277256346399</v>
      </c>
      <c r="EO8" s="15" t="n">
        <f aca="false">Inputs!$B$50*Inputs!$B$18*EN8*Inputs!$B$19</f>
        <v>0.7428853282325</v>
      </c>
      <c r="EP8" s="15" t="n">
        <f aca="false">1-EO8</f>
        <v>0.2571146717675</v>
      </c>
      <c r="EQ8" s="15" t="n">
        <f aca="false">Inputs!$B$20*EP8</f>
        <v>0.00771344015302501</v>
      </c>
      <c r="ER8" s="15" t="n">
        <f aca="false">0.8*(1-Inputs!$B$50)*(EO8-EQ8)</f>
        <v>0.00177074089100333</v>
      </c>
      <c r="ES8" s="15" t="n">
        <f aca="false">EO8-EQ8-ER8</f>
        <v>0.733401147188471</v>
      </c>
      <c r="ET8" s="15" t="n">
        <f aca="false">ES8*(1-Inputs!$B$18*EXP(-Inputs!$B$21*Inputs!$B$14*Inputs!$B$17/(Inputs!$B$22*Inputs!$B$23*Inputs!$B$24*EM8*Inputs!$B$16))*Inputs!$B$19)</f>
        <v>0.0261577295794523</v>
      </c>
      <c r="EU8" s="15" t="n">
        <f aca="false">(ES8-ET8)*(1-EXP(-Inputs!$B$25*Inputs!$B$14*Inputs!$B$17*Inputs!$B$26/(EM8*Inputs!$B$16/0.866)))</f>
        <v>0.00736319713187547</v>
      </c>
      <c r="EV8" s="15" t="n">
        <f aca="false">(ES8-ET8-EU8)*(1-Inputs!$B$19)</f>
        <v>0.00349940110238572</v>
      </c>
      <c r="EW8" s="15" t="n">
        <f aca="false">(EP8+EQ8+ER8+ET8+EU8+EV8)*(1+Inputs!$B$27)</f>
        <v>0.304530038167118</v>
      </c>
      <c r="EX8" s="15" t="n">
        <f aca="false">Inputs!$B$52/(1-EW8-G8)</f>
        <v>203309.078081396</v>
      </c>
      <c r="EY8" s="15" t="n">
        <f aca="false">EX8/Inputs!$B$34</f>
        <v>338.848463468993</v>
      </c>
      <c r="EZ8" s="15" t="n">
        <f aca="false">B8^2/EY8</f>
        <v>12.0879993318158</v>
      </c>
      <c r="FA8" s="15" t="n">
        <f aca="false">Inputs!$B$54*H8/(Inputs!$B$35*F8+E8*H8^2/(PI()*EZ8*Inputs!$B$36))</f>
        <v>19.9524604059658</v>
      </c>
      <c r="FB8" s="15" t="n">
        <f aca="false">EXP(-Inputs!$B$11*Inputs!$B$14*Inputs!$B$17/(Inputs!$B$51*FA8*Inputs!$B$16))</f>
        <v>0.760277748245357</v>
      </c>
      <c r="FC8" s="15" t="n">
        <f aca="false">Inputs!$B$50*Inputs!$B$18*FB8*Inputs!$B$19</f>
        <v>0.74288580887889</v>
      </c>
      <c r="FD8" s="15" t="n">
        <f aca="false">1-FC8</f>
        <v>0.25711419112111</v>
      </c>
      <c r="FE8" s="15" t="n">
        <f aca="false">Inputs!$B$20*FD8</f>
        <v>0.00771342573363331</v>
      </c>
      <c r="FF8" s="15" t="n">
        <f aca="false">0.8*(1-Inputs!$B$50)*(FC8-FE8)</f>
        <v>0.00177074208342273</v>
      </c>
      <c r="FG8" s="15" t="n">
        <f aca="false">FC8-FE8-FF8</f>
        <v>0.733401641061834</v>
      </c>
      <c r="FH8" s="15" t="n">
        <f aca="false">FG8*(1-Inputs!$B$18*EXP(-Inputs!$B$21*Inputs!$B$14*Inputs!$B$17/(Inputs!$B$22*Inputs!$B$23*Inputs!$B$24*FA8*Inputs!$B$16))*Inputs!$B$19)</f>
        <v>0.0261577201606466</v>
      </c>
      <c r="FI8" s="15" t="n">
        <f aca="false">(FG8-FH8)*(1-EXP(-Inputs!$B$25*Inputs!$B$14*Inputs!$B$17*Inputs!$B$26/(FA8*Inputs!$B$16/0.866)))</f>
        <v>0.00736318508027401</v>
      </c>
      <c r="FJ8" s="15" t="n">
        <f aca="false">(FG8-FH8-FI8)*(1-Inputs!$B$19)</f>
        <v>0.00349940367910457</v>
      </c>
      <c r="FK8" s="15" t="n">
        <f aca="false">(FD8+FE8+FF8+FH8+FI8+FJ8)*(1+Inputs!$B$27)</f>
        <v>0.304529523861766</v>
      </c>
      <c r="FL8" s="15" t="n">
        <f aca="false">Inputs!$B$52/(1-FK8-G8)</f>
        <v>203308.426478998</v>
      </c>
      <c r="FM8" s="15" t="n">
        <f aca="false">FL8/Inputs!$B$34</f>
        <v>338.847377464997</v>
      </c>
      <c r="FN8" s="15" t="n">
        <f aca="false">B8^2/FM8</f>
        <v>12.0880380737877</v>
      </c>
      <c r="FO8" s="15" t="n">
        <f aca="false">Inputs!$B$54*H8/(Inputs!$B$35*F8+E8*H8^2/(PI()*FN8*Inputs!$B$36))</f>
        <v>19.9524765375192</v>
      </c>
      <c r="FP8" s="15" t="n">
        <f aca="false">EXP(-Inputs!$B$11*Inputs!$B$14*Inputs!$B$17/(Inputs!$B$51*FO8*Inputs!$B$16))</f>
        <v>0.760277916712618</v>
      </c>
      <c r="FQ8" s="15" t="n">
        <f aca="false">Inputs!$B$50*Inputs!$B$18*FP8*Inputs!$B$19</f>
        <v>0.742885973492332</v>
      </c>
      <c r="FR8" s="15" t="n">
        <f aca="false">1-FQ8</f>
        <v>0.257114026507668</v>
      </c>
      <c r="FS8" s="15" t="n">
        <f aca="false">Inputs!$B$20*FR8</f>
        <v>0.00771342079523005</v>
      </c>
      <c r="FT8" s="15" t="n">
        <f aca="false">0.8*(1-Inputs!$B$50)*(FQ8-FS8)</f>
        <v>0.00177074249180666</v>
      </c>
      <c r="FU8" s="15" t="n">
        <f aca="false">FQ8-FS8-FT8</f>
        <v>0.733401810205295</v>
      </c>
      <c r="FV8" s="15" t="n">
        <f aca="false">FU8*(1-Inputs!$B$18*EXP(-Inputs!$B$21*Inputs!$B$14*Inputs!$B$17/(Inputs!$B$22*Inputs!$B$23*Inputs!$B$24*FO8*Inputs!$B$16))*Inputs!$B$19)</f>
        <v>0.0261577169348569</v>
      </c>
      <c r="FW8" s="15" t="n">
        <f aca="false">(FU8-FV8)*(1-EXP(-Inputs!$B$25*Inputs!$B$14*Inputs!$B$17*Inputs!$B$26/(FO8*Inputs!$B$16/0.866)))</f>
        <v>0.00736318095279656</v>
      </c>
      <c r="FX8" s="15" t="n">
        <f aca="false">(FU8-FV8-FW8)*(1-Inputs!$B$19)</f>
        <v>0.00349940456158821</v>
      </c>
      <c r="FY8" s="15" t="n">
        <f aca="false">(FR8+FS8+FT8+FV8+FW8+FX8)*(1+Inputs!$B$27)</f>
        <v>0.304529347720678</v>
      </c>
      <c r="FZ8" s="15" t="n">
        <f aca="false">Inputs!$B$52/(1-FY8-G8)</f>
        <v>203308.203316901</v>
      </c>
      <c r="GA8" s="15" t="n">
        <f aca="false">FZ8/Inputs!$B$34</f>
        <v>338.847005528168</v>
      </c>
      <c r="GB8" s="15" t="n">
        <f aca="false">B8^2/GA8</f>
        <v>12.0880513422731</v>
      </c>
      <c r="GC8" s="15" t="n">
        <f aca="false">Inputs!$B$54*H8/(Inputs!$B$35*F8+E8*H8^2/(PI()*GB8*Inputs!$B$36))</f>
        <v>19.952482062292</v>
      </c>
      <c r="GD8" s="15" t="n">
        <f aca="false">EXP(-Inputs!$B$11*Inputs!$B$14*Inputs!$B$17/(Inputs!$B$51*GC8*Inputs!$B$16))</f>
        <v>0.760277974409632</v>
      </c>
      <c r="GE8" s="15" t="n">
        <f aca="false">Inputs!$B$50*Inputs!$B$18*GD8*Inputs!$B$19</f>
        <v>0.742886029869482</v>
      </c>
      <c r="GF8" s="15" t="n">
        <f aca="false">1-GE8</f>
        <v>0.257113970130518</v>
      </c>
      <c r="GG8" s="15" t="n">
        <f aca="false">Inputs!$B$20*GF8</f>
        <v>0.00771341910391553</v>
      </c>
      <c r="GH8" s="15" t="n">
        <f aca="false">0.8*(1-Inputs!$B$50)*(GE8-GG8)</f>
        <v>0.00177074263167083</v>
      </c>
      <c r="GI8" s="15" t="n">
        <f aca="false">GE8-GG8-GH8</f>
        <v>0.733401868133896</v>
      </c>
      <c r="GJ8" s="15" t="n">
        <f aca="false">GI8*(1-Inputs!$B$18*EXP(-Inputs!$B$21*Inputs!$B$14*Inputs!$B$17/(Inputs!$B$22*Inputs!$B$23*Inputs!$B$24*GC8*Inputs!$B$16))*Inputs!$B$19)</f>
        <v>0.0261577158300813</v>
      </c>
      <c r="GK8" s="15" t="n">
        <f aca="false">(GI8-GJ8)*(1-EXP(-Inputs!$B$25*Inputs!$B$14*Inputs!$B$17*Inputs!$B$26/(GC8*Inputs!$B$16/0.866)))</f>
        <v>0.00736317953920927</v>
      </c>
      <c r="GL8" s="15" t="n">
        <f aca="false">(GI8-GJ8-GK8)*(1-Inputs!$B$19)</f>
        <v>0.00349940486382303</v>
      </c>
      <c r="GM8" s="15" t="n">
        <f aca="false">(GF8+GG8+GH8+GJ8+GK8+GL8)*(1+Inputs!$B$27)</f>
        <v>0.304529287395515</v>
      </c>
      <c r="GN8" s="15" t="n">
        <f aca="false">Inputs!$B$52/(1-GM8-G8)</f>
        <v>203308.126887998</v>
      </c>
      <c r="GO8" s="15" t="n">
        <f aca="false">GN8/Inputs!$B$34</f>
        <v>338.846878146663</v>
      </c>
      <c r="GP8" s="15" t="n">
        <f aca="false">B8^2/GO8</f>
        <v>12.0880558864914</v>
      </c>
      <c r="GQ8" s="15" t="n">
        <f aca="false">Inputs!$B$54*H8/(Inputs!$B$35*F8+E8*H8^2/(PI()*GP8*Inputs!$B$36))</f>
        <v>19.9524839544255</v>
      </c>
      <c r="GR8" s="15" t="n">
        <f aca="false">EXP(-Inputs!$B$11*Inputs!$B$14*Inputs!$B$17/(Inputs!$B$51*GQ8*Inputs!$B$16))</f>
        <v>0.760277994169796</v>
      </c>
      <c r="GS8" s="15" t="n">
        <f aca="false">Inputs!$B$50*Inputs!$B$18*GR8*Inputs!$B$19</f>
        <v>0.742886049177618</v>
      </c>
      <c r="GT8" s="15" t="n">
        <f aca="false">1-GS8</f>
        <v>0.257113950822382</v>
      </c>
      <c r="GU8" s="15" t="n">
        <f aca="false">Inputs!$B$20*GT8</f>
        <v>0.00771341852467147</v>
      </c>
      <c r="GV8" s="15" t="n">
        <f aca="false">0.8*(1-Inputs!$B$50)*(GS8-GU8)</f>
        <v>0.00177074267957173</v>
      </c>
      <c r="GW8" s="15" t="n">
        <f aca="false">GS8-GU8-GV8</f>
        <v>0.733401887973375</v>
      </c>
      <c r="GX8" s="15" t="n">
        <f aca="false">GW8*(1-Inputs!$B$18*EXP(-Inputs!$B$21*Inputs!$B$14*Inputs!$B$17/(Inputs!$B$22*Inputs!$B$23*Inputs!$B$24*GQ8*Inputs!$B$16))*Inputs!$B$19)</f>
        <v>0.026157715451716</v>
      </c>
      <c r="GY8" s="15" t="n">
        <f aca="false">(GW8-GX8)*(1-EXP(-Inputs!$B$25*Inputs!$B$14*Inputs!$B$17*Inputs!$B$26/(GQ8*Inputs!$B$16/0.866)))</f>
        <v>0.00736317905508161</v>
      </c>
      <c r="GZ8" s="15" t="n">
        <f aca="false">(GW8-GX8-GY8)*(1-Inputs!$B$19)</f>
        <v>0.00349940496733289</v>
      </c>
      <c r="HA8" s="15" t="n">
        <f aca="false">(GT8+GU8+GV8+GX8+GY8+GZ8)*(1+Inputs!$B$27)</f>
        <v>0.304529266735258</v>
      </c>
      <c r="HB8" s="15" t="n">
        <f aca="false">Inputs!$B$52/(1-HA8-G8)</f>
        <v>203308.10071252</v>
      </c>
      <c r="HC8" s="15" t="n">
        <f aca="false">HB8/Inputs!$B$34</f>
        <v>338.846834520866</v>
      </c>
      <c r="HD8" s="15" t="n">
        <f aca="false">B8^2/HC8</f>
        <v>12.0880574428024</v>
      </c>
      <c r="HE8" s="15" t="n">
        <f aca="false">Inputs!$B$54*H8/(Inputs!$B$35*F8+E8*H8^2/(PI()*HD8*Inputs!$B$36))</f>
        <v>19.9524846024461</v>
      </c>
      <c r="HF8" s="15" t="n">
        <f aca="false">EXP(-Inputs!$B$11*Inputs!$B$14*Inputs!$B$17/(Inputs!$B$51*HE8*Inputs!$B$16))</f>
        <v>0.760278000937285</v>
      </c>
      <c r="HG8" s="15" t="n">
        <f aca="false">Inputs!$B$50*Inputs!$B$18*HF8*Inputs!$B$19</f>
        <v>0.742886055790295</v>
      </c>
      <c r="HH8" s="15" t="n">
        <f aca="false">1-HG8</f>
        <v>0.257113944209705</v>
      </c>
      <c r="HI8" s="15" t="n">
        <f aca="false">Inputs!$B$20*HH8</f>
        <v>0.00771341832629114</v>
      </c>
      <c r="HJ8" s="15" t="n">
        <f aca="false">0.8*(1-Inputs!$B$50)*(HG8-HI8)</f>
        <v>0.0017707426959769</v>
      </c>
      <c r="HK8" s="15" t="n">
        <f aca="false">HG8-HI8-HJ8</f>
        <v>0.733401894768027</v>
      </c>
      <c r="HL8" s="15" t="n">
        <f aca="false">HK8*(1-Inputs!$B$18*EXP(-Inputs!$B$21*Inputs!$B$14*Inputs!$B$17/(Inputs!$B$22*Inputs!$B$23*Inputs!$B$24*HE8*Inputs!$B$16))*Inputs!$B$19)</f>
        <v>0.0261577153221328</v>
      </c>
      <c r="HM8" s="15" t="n">
        <f aca="false">(HK8-HL8)*(1-EXP(-Inputs!$B$25*Inputs!$B$14*Inputs!$B$17*Inputs!$B$26/(HE8*Inputs!$B$16/0.866)))</f>
        <v>0.00736317888927686</v>
      </c>
      <c r="HN8" s="15" t="n">
        <f aca="false">(HK8-HL8-HM8)*(1-Inputs!$B$19)</f>
        <v>0.00349940500278309</v>
      </c>
      <c r="HO8" s="15" t="n">
        <f aca="false">(HH8+HI8+HJ8+HL8+HM8+HN8)*(1+Inputs!$B$27)</f>
        <v>0.304529259659504</v>
      </c>
      <c r="HP8" s="15" t="n">
        <f aca="false">Inputs!$B$52/(1-HO8-G8)</f>
        <v>203308.091747906</v>
      </c>
      <c r="HQ8" s="15" t="n">
        <f aca="false">HP8/Inputs!$B$34</f>
        <v>338.846819579844</v>
      </c>
      <c r="HR8" s="15" t="n">
        <f aca="false">B8^2/HQ8</f>
        <v>12.08805797581</v>
      </c>
      <c r="HS8" s="15" t="n">
        <f aca="false">Inputs!$B$54*H8/(Inputs!$B$35*F8+E8*H8^2/(PI()*HR8*Inputs!$B$36))</f>
        <v>19.9524848243811</v>
      </c>
      <c r="HT8" s="15" t="n">
        <f aca="false">EXP(-Inputs!$B$11*Inputs!$B$14*Inputs!$B$17/(Inputs!$B$51*HS8*Inputs!$B$16))</f>
        <v>0.760278003255024</v>
      </c>
      <c r="HU8" s="15" t="n">
        <f aca="false">Inputs!$B$50*Inputs!$B$18*HT8*Inputs!$B$19</f>
        <v>0.742886058055014</v>
      </c>
      <c r="HV8" s="15" t="n">
        <f aca="false">1-HU8</f>
        <v>0.257113941944986</v>
      </c>
      <c r="HW8" s="15" t="n">
        <f aca="false">Inputs!$B$20*HV8</f>
        <v>0.00771341825834958</v>
      </c>
      <c r="HX8" s="15" t="n">
        <f aca="false">0.8*(1-Inputs!$B$50)*(HU8-HW8)</f>
        <v>0.00177074270159536</v>
      </c>
      <c r="HY8" s="15" t="n">
        <f aca="false">HU8-HW8-HX8</f>
        <v>0.733401897095069</v>
      </c>
      <c r="HZ8" s="15" t="n">
        <f aca="false">HY8*(1-Inputs!$B$18*EXP(-Inputs!$B$21*Inputs!$B$14*Inputs!$B$17/(Inputs!$B$22*Inputs!$B$23*Inputs!$B$24*HS8*Inputs!$B$16))*Inputs!$B$19)</f>
        <v>0.0261577152777529</v>
      </c>
      <c r="IA8" s="15" t="n">
        <f aca="false">(HY8-HZ8)*(1-EXP(-Inputs!$B$25*Inputs!$B$14*Inputs!$B$17*Inputs!$B$26/(HS8*Inputs!$B$16/0.866)))</f>
        <v>0.00736317883249182</v>
      </c>
      <c r="IB8" s="15" t="n">
        <f aca="false">(HY8-HZ8-IA8)*(1-Inputs!$B$19)</f>
        <v>0.00349940501492412</v>
      </c>
      <c r="IC8" s="15" t="n">
        <f aca="false">(HV8+HW8+HX8+HZ8+IA8+IB8)*(1+Inputs!$B$27)</f>
        <v>0.30452925723619</v>
      </c>
      <c r="ID8" s="15" t="n">
        <f aca="false">Inputs!$B$52/(1-IC8-G8)</f>
        <v>203308.088677694</v>
      </c>
      <c r="IE8" s="15" t="n">
        <f aca="false">ID8/Inputs!$B$34</f>
        <v>338.846814462823</v>
      </c>
      <c r="IF8" s="15" t="n">
        <f aca="false">B8^2/IE8</f>
        <v>12.0880581583552</v>
      </c>
      <c r="IG8" s="15" t="n">
        <f aca="false">Inputs!$B$54*H8/(Inputs!$B$35*F8+E8*H8^2/(PI()*IF8*Inputs!$B$36))</f>
        <v>19.9524849003897</v>
      </c>
      <c r="IH8" s="15" t="n">
        <f aca="false">EXP(-Inputs!$B$11*Inputs!$B$14*Inputs!$B$17/(Inputs!$B$51*IG8*Inputs!$B$16))</f>
        <v>0.760278004048806</v>
      </c>
      <c r="II8" s="15" t="n">
        <f aca="false">Inputs!$B$50*Inputs!$B$18*IH8*Inputs!$B$19</f>
        <v>0.742886058830638</v>
      </c>
      <c r="IJ8" s="15" t="n">
        <f aca="false">1-II8</f>
        <v>0.257113941169362</v>
      </c>
      <c r="IK8" s="15" t="n">
        <f aca="false">Inputs!$B$20*IJ8</f>
        <v>0.00771341823508086</v>
      </c>
      <c r="IL8" s="15" t="n">
        <f aca="false">0.8*(1-Inputs!$B$50)*(II8-IK8)</f>
        <v>0.00177074270351958</v>
      </c>
      <c r="IM8" s="15" t="n">
        <f aca="false">II8-IK8-IL8</f>
        <v>0.733401897892037</v>
      </c>
      <c r="IN8" s="15" t="n">
        <f aca="false">IM8*(1-Inputs!$B$18*EXP(-Inputs!$B$21*Inputs!$B$14*Inputs!$B$17/(Inputs!$B$22*Inputs!$B$23*Inputs!$B$24*IG8*Inputs!$B$16))*Inputs!$B$19)</f>
        <v>0.0261577152625536</v>
      </c>
      <c r="IO8" s="15" t="n">
        <f aca="false">(IM8-IN8)*(1-EXP(-Inputs!$B$25*Inputs!$B$14*Inputs!$B$17*Inputs!$B$26/(IG8*Inputs!$B$16/0.866)))</f>
        <v>0.00736317881304407</v>
      </c>
      <c r="IP8" s="15" t="n">
        <f aca="false">(IM8-IN8-IO8)*(1-Inputs!$B$19)</f>
        <v>0.0034994050190822</v>
      </c>
      <c r="IQ8" s="15" t="n">
        <f aca="false">(IJ8+IK8+IL8+IN8+IO8+IP8)*(1+Inputs!$B$27)</f>
        <v>0.30452925640625</v>
      </c>
      <c r="IR8" s="15" t="n">
        <f aca="false">Inputs!$B$52/(1-IQ8-G8)</f>
        <v>203308.087626203</v>
      </c>
      <c r="IS8" s="15" t="n">
        <f aca="false">IR8/Inputs!$B$34</f>
        <v>338.846812710338</v>
      </c>
      <c r="IT8" s="15" t="n">
        <f aca="false">B8^2/IS8</f>
        <v>12.0880582208735</v>
      </c>
      <c r="IU8" s="15" t="n">
        <f aca="false">Inputs!$B$54*H8/(Inputs!$B$35*F8+E8*H8^2/(PI()*IT8*Inputs!$B$36))</f>
        <v>19.9524849264212</v>
      </c>
      <c r="IV8" s="15" t="n">
        <f aca="false">EXP(-Inputs!$B$11*Inputs!$B$14*Inputs!$B$17/(Inputs!$B$51*IU8*Inputs!$B$16))</f>
        <v>0.760278004320662</v>
      </c>
      <c r="IW8" s="15" t="n">
        <f aca="false">Inputs!$B$50*Inputs!$B$18*IV8*Inputs!$B$19</f>
        <v>0.742886059096275</v>
      </c>
      <c r="IX8" s="15" t="n">
        <f aca="false">1-IW8</f>
        <v>0.257113940903725</v>
      </c>
      <c r="IY8" s="15" t="n">
        <f aca="false">Inputs!$B$20*IX8</f>
        <v>0.00771341822711176</v>
      </c>
      <c r="IZ8" s="15" t="n">
        <f aca="false">0.8*(1-Inputs!$B$50)*(IW8-IY8)</f>
        <v>0.00177074270417859</v>
      </c>
      <c r="JA8" s="15" t="n">
        <f aca="false">IW8-IY8-IZ8</f>
        <v>0.733401898164984</v>
      </c>
      <c r="JB8" s="15" t="n">
        <f aca="false">JA8*(1-Inputs!$B$18*EXP(-Inputs!$B$21*Inputs!$B$14*Inputs!$B$17/(Inputs!$B$22*Inputs!$B$23*Inputs!$B$24*IU8*Inputs!$B$16))*Inputs!$B$19)</f>
        <v>0.0261577152573482</v>
      </c>
      <c r="JC8" s="15" t="n">
        <f aca="false">(JA8-JB8)*(1-EXP(-Inputs!$B$25*Inputs!$B$14*Inputs!$B$17*Inputs!$B$26/(IU8*Inputs!$B$16/0.866)))</f>
        <v>0.00736317880638352</v>
      </c>
      <c r="JD8" s="15" t="n">
        <f aca="false">(JA8-JB8-JC8)*(1-Inputs!$B$19)</f>
        <v>0.00349940502050627</v>
      </c>
      <c r="JE8" s="15" t="n">
        <f aca="false">(IX8+IY8+IZ8+JB8+JC8+JD8)*(1+Inputs!$B$27)</f>
        <v>0.304529256122012</v>
      </c>
      <c r="JF8" s="15" t="n">
        <f aca="false">Inputs!$B$52/(1-JE8-G8)</f>
        <v>203308.087266087</v>
      </c>
      <c r="JG8" s="15" t="n">
        <f aca="false">JF8/Inputs!$B$34</f>
        <v>338.846812110145</v>
      </c>
      <c r="JH8" s="15" t="n">
        <f aca="false">B8^2/JG8</f>
        <v>12.0880582422849</v>
      </c>
      <c r="JI8" s="15" t="n">
        <f aca="false">Inputs!$B$54*H8/(Inputs!$B$35*F8+E8*H8^2/(PI()*JH8*Inputs!$B$36))</f>
        <v>19.9524849353365</v>
      </c>
      <c r="JJ8" s="15" t="n">
        <f aca="false">EXP(-Inputs!$B$11*Inputs!$B$14*Inputs!$B$17/(Inputs!$B$51*JI8*Inputs!$B$16))</f>
        <v>0.760278004413767</v>
      </c>
      <c r="JK8" s="15" t="n">
        <f aca="false">Inputs!$B$50*Inputs!$B$18*JJ8*Inputs!$B$19</f>
        <v>0.74288605918725</v>
      </c>
      <c r="JL8" s="15" t="n">
        <f aca="false">1-JK8</f>
        <v>0.25711394081275</v>
      </c>
      <c r="JM8" s="15" t="n">
        <f aca="false">Inputs!$B$20*JL8</f>
        <v>0.0077134182243825</v>
      </c>
      <c r="JN8" s="15" t="n">
        <f aca="false">0.8*(1-Inputs!$B$50)*(JK8-JM8)</f>
        <v>0.00177074270440429</v>
      </c>
      <c r="JO8" s="15" t="n">
        <f aca="false">JK8-JM8-JN8</f>
        <v>0.733401898258463</v>
      </c>
      <c r="JP8" s="15" t="n">
        <f aca="false">JO8*(1-Inputs!$B$18*EXP(-Inputs!$B$21*Inputs!$B$14*Inputs!$B$17/(Inputs!$B$22*Inputs!$B$23*Inputs!$B$24*JI8*Inputs!$B$16))*Inputs!$B$19)</f>
        <v>0.0261577152555655</v>
      </c>
      <c r="JQ8" s="15" t="n">
        <f aca="false">(JO8-JP8)*(1-EXP(-Inputs!$B$25*Inputs!$B$14*Inputs!$B$17*Inputs!$B$26/(JI8*Inputs!$B$16/0.866)))</f>
        <v>0.00736317880410244</v>
      </c>
      <c r="JR8" s="15" t="n">
        <f aca="false">(JO8-JP8-JQ8)*(1-Inputs!$B$19)</f>
        <v>0.00349940502099398</v>
      </c>
      <c r="JS8" s="15" t="n">
        <f aca="false">(JL8+JM8+JN8+JP8+JQ8+JR8)*(1+Inputs!$B$27)</f>
        <v>0.304529256024665</v>
      </c>
      <c r="JT8" s="15" t="n">
        <f aca="false">Inputs!$B$52/(1-JS8-G8)</f>
        <v>203308.087142754</v>
      </c>
      <c r="JU8" s="15" t="n">
        <f aca="false">JT8/Inputs!$B$34</f>
        <v>338.846811904591</v>
      </c>
      <c r="JV8" s="15" t="n">
        <f aca="false">B8^2/JU8</f>
        <v>12.0880582496179</v>
      </c>
      <c r="JW8" s="15" t="n">
        <f aca="false">Inputs!$B$54*H8/(Inputs!$B$35*F8+E8*H8^2/(PI()*JV8*Inputs!$B$36))</f>
        <v>19.9524849383898</v>
      </c>
      <c r="JX8" s="15" t="n">
        <f aca="false">EXP(-Inputs!$B$11*Inputs!$B$14*Inputs!$B$17/(Inputs!$B$51*JW8*Inputs!$B$16))</f>
        <v>0.760278004445654</v>
      </c>
      <c r="JY8" s="15" t="n">
        <f aca="false">Inputs!$B$50*Inputs!$B$18*JX8*Inputs!$B$19</f>
        <v>0.742886059218408</v>
      </c>
      <c r="JZ8" s="15" t="n">
        <f aca="false">1-JY8</f>
        <v>0.257113940781592</v>
      </c>
      <c r="KA8" s="15" t="n">
        <f aca="false">Inputs!$B$20*JZ8</f>
        <v>0.00771341822344777</v>
      </c>
      <c r="KB8" s="15" t="n">
        <f aca="false">0.8*(1-Inputs!$B$50)*(JY8-KA8)</f>
        <v>0.00177074270448159</v>
      </c>
      <c r="KC8" s="15" t="n">
        <f aca="false">JY8-KA8-KB8</f>
        <v>0.733401898290478</v>
      </c>
      <c r="KD8" s="15" t="n">
        <f aca="false">KC8*(1-Inputs!$B$18*EXP(-Inputs!$B$21*Inputs!$B$14*Inputs!$B$17/(Inputs!$B$22*Inputs!$B$23*Inputs!$B$24*JW8*Inputs!$B$16))*Inputs!$B$19)</f>
        <v>0.0261577152549549</v>
      </c>
      <c r="KE8" s="15" t="n">
        <f aca="false">(KC8-KD8)*(1-EXP(-Inputs!$B$25*Inputs!$B$14*Inputs!$B$17*Inputs!$B$26/(JW8*Inputs!$B$16/0.866)))</f>
        <v>0.00736317880332115</v>
      </c>
      <c r="KF8" s="15" t="n">
        <f aca="false">(KC8-KD8-KE8)*(1-Inputs!$B$19)</f>
        <v>0.00349940502116101</v>
      </c>
      <c r="KG8" s="15" t="n">
        <f aca="false">(JZ8+KA8+KB8+KD8+KE8+KF8)*(1+Inputs!$B$27)</f>
        <v>0.304529255991326</v>
      </c>
      <c r="KH8" s="15" t="n">
        <f aca="false">Inputs!$B$52/(1-KG8-G8)</f>
        <v>203308.087100515</v>
      </c>
      <c r="KI8" s="15" t="n">
        <f aca="false">KH8/Inputs!$B$34</f>
        <v>338.846811834192</v>
      </c>
      <c r="KJ8" s="15" t="n">
        <f aca="false">B8^2/KI8</f>
        <v>12.0880582521293</v>
      </c>
      <c r="KK8" s="15" t="n">
        <f aca="false">Inputs!$B$54*H8/(Inputs!$B$35*F8+E8*H8^2/(PI()*KJ8*Inputs!$B$36))</f>
        <v>19.9524849394355</v>
      </c>
      <c r="KL8" s="15" t="n">
        <f aca="false">EXP(-Inputs!$B$11*Inputs!$B$14*Inputs!$B$17/(Inputs!$B$51*KK8*Inputs!$B$16))</f>
        <v>0.760278004456575</v>
      </c>
      <c r="KM8" s="15" t="n">
        <f aca="false">Inputs!$B$50*Inputs!$B$18*KL8*Inputs!$B$19</f>
        <v>0.742886059229079</v>
      </c>
      <c r="KN8" s="15" t="n">
        <f aca="false">1-KM8</f>
        <v>0.257113940770922</v>
      </c>
      <c r="KO8" s="15" t="n">
        <f aca="false">Inputs!$B$20*KN8</f>
        <v>0.00771341822312765</v>
      </c>
      <c r="KP8" s="15" t="n">
        <f aca="false">0.8*(1-Inputs!$B$50)*(KM8-KO8)</f>
        <v>0.00177074270450806</v>
      </c>
      <c r="KQ8" s="15" t="n">
        <f aca="false">KM8-KO8-KP8</f>
        <v>0.733401898301443</v>
      </c>
      <c r="KR8" s="15" t="n">
        <f aca="false">KQ8*(1-Inputs!$B$18*EXP(-Inputs!$B$21*Inputs!$B$14*Inputs!$B$17/(Inputs!$B$22*Inputs!$B$23*Inputs!$B$24*KK8*Inputs!$B$16))*Inputs!$B$19)</f>
        <v>0.0261577152547458</v>
      </c>
      <c r="KS8" s="15" t="n">
        <f aca="false">(KQ8-KR8)*(1-EXP(-Inputs!$B$25*Inputs!$B$14*Inputs!$B$17*Inputs!$B$26/(KK8*Inputs!$B$16/0.866)))</f>
        <v>0.0073631788030536</v>
      </c>
      <c r="KT8" s="15" t="n">
        <f aca="false">(KQ8-KR8-KS8)*(1-Inputs!$B$19)</f>
        <v>0.00349940502121822</v>
      </c>
      <c r="KU8" s="15" t="n">
        <f aca="false">(KN8+KO8+KP8+KR8+KS8+KT8)*(1+Inputs!$B$27)</f>
        <v>0.304529255979908</v>
      </c>
      <c r="KV8" s="15" t="n">
        <f aca="false">Inputs!$B$52/(1-KU8-G8)</f>
        <v>203308.087086049</v>
      </c>
      <c r="KW8" s="15" t="n">
        <f aca="false">KV8/Inputs!$B$34</f>
        <v>338.846811810081</v>
      </c>
      <c r="KX8" s="15" t="n">
        <f aca="false">B8^2/KW8</f>
        <v>12.0880582529894</v>
      </c>
      <c r="KY8" s="15" t="n">
        <f aca="false">Inputs!$B$54*H8/(Inputs!$B$35*F8+E8*H8^2/(PI()*KX8*Inputs!$B$36))</f>
        <v>19.9524849397937</v>
      </c>
      <c r="KZ8" s="15" t="n">
        <f aca="false">EXP(-Inputs!$B$11*Inputs!$B$14*Inputs!$B$17/(Inputs!$B$51*KY8*Inputs!$B$16))</f>
        <v>0.760278004460315</v>
      </c>
      <c r="LA8" s="15" t="n">
        <f aca="false">Inputs!$B$50*Inputs!$B$18*KZ8*Inputs!$B$19</f>
        <v>0.742886059232733</v>
      </c>
      <c r="LB8" s="15" t="n">
        <f aca="false">1-LA8</f>
        <v>0.257113940767267</v>
      </c>
      <c r="LC8" s="15" t="n">
        <f aca="false">Inputs!$B$20*LB8</f>
        <v>0.00771341822301801</v>
      </c>
      <c r="LD8" s="15" t="n">
        <f aca="false">0.8*(1-Inputs!$B$50)*(LA8-LC8)</f>
        <v>0.00177074270451713</v>
      </c>
      <c r="LE8" s="15" t="n">
        <f aca="false">LA8-LC8-LD8</f>
        <v>0.733401898305198</v>
      </c>
      <c r="LF8" s="15" t="n">
        <f aca="false">LE8*(1-Inputs!$B$18*EXP(-Inputs!$B$21*Inputs!$B$14*Inputs!$B$17/(Inputs!$B$22*Inputs!$B$23*Inputs!$B$24*KY8*Inputs!$B$16))*Inputs!$B$19)</f>
        <v>0.0261577152546742</v>
      </c>
      <c r="LG8" s="15" t="n">
        <f aca="false">(LE8-LF8)*(1-EXP(-Inputs!$B$25*Inputs!$B$14*Inputs!$B$17*Inputs!$B$26/(KY8*Inputs!$B$16/0.866)))</f>
        <v>0.007363178802962</v>
      </c>
      <c r="LH8" s="15" t="n">
        <f aca="false">(LE8-LF8-LG8)*(1-Inputs!$B$19)</f>
        <v>0.00349940502123781</v>
      </c>
      <c r="LI8" s="15" t="n">
        <f aca="false">(LB8+LC8+LD8+LF8+LG8+LH8)*(1+Inputs!$B$27)</f>
        <v>0.304529255975997</v>
      </c>
      <c r="LJ8" s="15" t="n">
        <f aca="false">Inputs!$B$52/(1-LI8-G8)</f>
        <v>203308.087081095</v>
      </c>
      <c r="LK8" s="15" t="n">
        <f aca="false">LJ8/Inputs!$B$34</f>
        <v>338.846811801824</v>
      </c>
      <c r="LL8" s="15" t="n">
        <f aca="false">B8^2/LK8</f>
        <v>12.088058253284</v>
      </c>
      <c r="LM8" s="15" t="n">
        <f aca="false">Inputs!$B$54*H8/(Inputs!$B$35*F8+E8*H8^2/(PI()*LL8*Inputs!$B$36))</f>
        <v>19.9524849399163</v>
      </c>
      <c r="LN8" s="15" t="n">
        <f aca="false">EXP(-Inputs!$B$11*Inputs!$B$14*Inputs!$B$17/(Inputs!$B$51*LM8*Inputs!$B$16))</f>
        <v>0.760278004461596</v>
      </c>
      <c r="LO8" s="15" t="n">
        <f aca="false">Inputs!$B$50*Inputs!$B$18*LN8*Inputs!$B$19</f>
        <v>0.742886059233985</v>
      </c>
      <c r="LP8" s="15" t="n">
        <f aca="false">1-LO8</f>
        <v>0.257113940766015</v>
      </c>
      <c r="LQ8" s="15" t="n">
        <f aca="false">Inputs!$B$20*LP8</f>
        <v>0.00771341822298046</v>
      </c>
      <c r="LR8" s="15" t="n">
        <f aca="false">0.8*(1-Inputs!$B$50)*(LO8-LQ8)</f>
        <v>0.00177074270452023</v>
      </c>
      <c r="LS8" s="15" t="n">
        <f aca="false">LO8-LQ8-LR8</f>
        <v>0.733401898306484</v>
      </c>
      <c r="LT8" s="15" t="n">
        <f aca="false">LS8*(1-Inputs!$B$18*EXP(-Inputs!$B$21*Inputs!$B$14*Inputs!$B$17/(Inputs!$B$22*Inputs!$B$23*Inputs!$B$24*LM8*Inputs!$B$16))*Inputs!$B$19)</f>
        <v>0.0261577152546496</v>
      </c>
      <c r="LU8" s="15" t="n">
        <f aca="false">(LS8-LT8)*(1-EXP(-Inputs!$B$25*Inputs!$B$14*Inputs!$B$17*Inputs!$B$26/(LM8*Inputs!$B$16/0.866)))</f>
        <v>0.00736317880293065</v>
      </c>
      <c r="LV8" s="15" t="n">
        <f aca="false">(LS8-LT8-LU8)*(1-Inputs!$B$19)</f>
        <v>0.00349940502124452</v>
      </c>
      <c r="LW8" s="15" t="n">
        <f aca="false">(LP8+LQ8+LR8+LT8+LU8+LV8)*(1+Inputs!$B$27)</f>
        <v>0.304529255974658</v>
      </c>
      <c r="LX8" s="15" t="n">
        <f aca="false">Inputs!$B$52/(1-LW8-G8)</f>
        <v>203308.087079398</v>
      </c>
      <c r="LY8" s="15" t="n">
        <f aca="false">LX8/Inputs!$B$34</f>
        <v>338.846811798996</v>
      </c>
      <c r="LZ8" s="15" t="n">
        <f aca="false">B8^2/LY8</f>
        <v>12.0880582533849</v>
      </c>
      <c r="MA8" s="15" t="n">
        <f aca="false">Inputs!$B$54*H8/(Inputs!$B$35*F8+E8*H8^2/(PI()*LZ8*Inputs!$B$36))</f>
        <v>19.9524849399583</v>
      </c>
      <c r="MB8" s="15" t="n">
        <f aca="false">EXP(-Inputs!$B$11*Inputs!$B$14*Inputs!$B$17/(Inputs!$B$51*MA8*Inputs!$B$16))</f>
        <v>0.760278004462035</v>
      </c>
      <c r="MC8" s="15" t="n">
        <f aca="false">Inputs!$B$50*Inputs!$B$18*MB8*Inputs!$B$19</f>
        <v>0.742886059234413</v>
      </c>
      <c r="MD8" s="15" t="n">
        <f aca="false">1-MC8</f>
        <v>0.257113940765587</v>
      </c>
      <c r="ME8" s="15" t="n">
        <f aca="false">Inputs!$B$20*MD8</f>
        <v>0.0077134182229676</v>
      </c>
      <c r="MF8" s="15" t="n">
        <f aca="false">0.8*(1-Inputs!$B$50)*(MC8-ME8)</f>
        <v>0.0017707427045213</v>
      </c>
      <c r="MG8" s="15" t="n">
        <f aca="false">MC8-ME8-MF8</f>
        <v>0.733401898306925</v>
      </c>
      <c r="MH8" s="15" t="n">
        <f aca="false">MG8*(1-Inputs!$B$18*EXP(-Inputs!$B$21*Inputs!$B$14*Inputs!$B$17/(Inputs!$B$22*Inputs!$B$23*Inputs!$B$24*MA8*Inputs!$B$16))*Inputs!$B$19)</f>
        <v>0.0261577152546413</v>
      </c>
      <c r="MI8" s="15" t="n">
        <f aca="false">(MG8-MH8)*(1-EXP(-Inputs!$B$25*Inputs!$B$14*Inputs!$B$17*Inputs!$B$26/(MA8*Inputs!$B$16/0.866)))</f>
        <v>0.00736317880291985</v>
      </c>
      <c r="MJ8" s="15" t="n">
        <f aca="false">(MG8-MH8-MI8)*(1-Inputs!$B$19)</f>
        <v>0.00349940502124682</v>
      </c>
      <c r="MK8" s="15" t="n">
        <f aca="false">(MD8+ME8+MF8+MH8+MI8+MJ8)*(1+Inputs!$B$27)</f>
        <v>0.304529255974199</v>
      </c>
      <c r="ML8" s="15" t="n">
        <f aca="false">Inputs!$B$52/(1-MK8-G8)</f>
        <v>203308.087078817</v>
      </c>
      <c r="MM8" s="15" t="n">
        <f aca="false">ML8/Inputs!$B$34</f>
        <v>338.846811798028</v>
      </c>
      <c r="MN8" s="15" t="n">
        <f aca="false">B8^2/MM8</f>
        <v>12.0880582534194</v>
      </c>
      <c r="MO8" s="15" t="n">
        <f aca="false">Inputs!$B$54*H8/(Inputs!$B$35*F8+E8*H8^2/(PI()*MN8*Inputs!$B$36))</f>
        <v>19.9524849399727</v>
      </c>
      <c r="MP8" s="15" t="n">
        <f aca="false">EXP(-Inputs!$B$11*Inputs!$B$14*Inputs!$B$17/(Inputs!$B$51*MO8*Inputs!$B$16))</f>
        <v>0.760278004462185</v>
      </c>
      <c r="MQ8" s="15" t="n">
        <f aca="false">Inputs!$B$50*Inputs!$B$18*MP8*Inputs!$B$19</f>
        <v>0.74288605923456</v>
      </c>
      <c r="MR8" s="15" t="n">
        <f aca="false">1-MQ8</f>
        <v>0.25711394076544</v>
      </c>
      <c r="MS8" s="15" t="n">
        <f aca="false">Inputs!$B$20*MR8</f>
        <v>0.0077134182229632</v>
      </c>
      <c r="MT8" s="15" t="n">
        <f aca="false">0.8*(1-Inputs!$B$50)*(MQ8-MS8)</f>
        <v>0.00177074270452166</v>
      </c>
      <c r="MU8" s="15" t="n">
        <f aca="false">MQ8-MS8-MT8</f>
        <v>0.733401898307075</v>
      </c>
      <c r="MV8" s="15" t="n">
        <f aca="false">MU8*(1-Inputs!$B$18*EXP(-Inputs!$B$21*Inputs!$B$14*Inputs!$B$17/(Inputs!$B$22*Inputs!$B$23*Inputs!$B$24*MO8*Inputs!$B$16))*Inputs!$B$19)</f>
        <v>0.0261577152546383</v>
      </c>
      <c r="MW8" s="15" t="n">
        <f aca="false">(MU8-MV8)*(1-EXP(-Inputs!$B$25*Inputs!$B$14*Inputs!$B$17*Inputs!$B$26/(MO8*Inputs!$B$16/0.866)))</f>
        <v>0.00736317880291619</v>
      </c>
      <c r="MX8" s="15" t="n">
        <f aca="false">(MU8-MV8-MW8)*(1-Inputs!$B$19)</f>
        <v>0.00349940502124761</v>
      </c>
      <c r="MY8" s="15" t="n">
        <f aca="false">(MR8+MS8+MT8+MV8+MW8+MX8)*(1+Inputs!$B$27)</f>
        <v>0.304529255974042</v>
      </c>
      <c r="MZ8" s="15" t="n">
        <f aca="false">Inputs!$B$52/(1-MY8-G8)</f>
        <v>203308.087078618</v>
      </c>
      <c r="NA8" s="15" t="n">
        <f aca="false">MZ8/Inputs!$B$34</f>
        <v>338.846811797696</v>
      </c>
      <c r="NB8" s="15" t="n">
        <f aca="false">B8^2/NA8</f>
        <v>12.0880582534312</v>
      </c>
      <c r="NC8" s="15" t="n">
        <f aca="false">Inputs!$B$54*H8/(Inputs!$B$35*F8+E8*H8^2/(PI()*NB8*Inputs!$B$36))</f>
        <v>19.9524849399777</v>
      </c>
      <c r="ND8" s="15" t="n">
        <f aca="false">EXP(-Inputs!$B$11*Inputs!$B$14*Inputs!$B$17/(Inputs!$B$51*NC8*Inputs!$B$16))</f>
        <v>0.760278004462236</v>
      </c>
      <c r="NE8" s="15" t="n">
        <f aca="false">Inputs!$B$50*Inputs!$B$18*ND8*Inputs!$B$19</f>
        <v>0.74288605923461</v>
      </c>
      <c r="NF8" s="15" t="n">
        <f aca="false">1-NE8</f>
        <v>0.25711394076539</v>
      </c>
      <c r="NG8" s="15" t="n">
        <f aca="false">Inputs!$B$20*NF8</f>
        <v>0.00771341822296169</v>
      </c>
      <c r="NH8" s="15" t="n">
        <f aca="false">0.8*(1-Inputs!$B$50)*(NE8-NG8)</f>
        <v>0.00177074270452179</v>
      </c>
      <c r="NI8" s="15" t="n">
        <f aca="false">NE8-NG8-NH8</f>
        <v>0.733401898307127</v>
      </c>
      <c r="NJ8" s="15" t="n">
        <f aca="false">NI8*(1-Inputs!$B$18*EXP(-Inputs!$B$21*Inputs!$B$14*Inputs!$B$17/(Inputs!$B$22*Inputs!$B$23*Inputs!$B$24*NC8*Inputs!$B$16))*Inputs!$B$19)</f>
        <v>0.0261577152546375</v>
      </c>
      <c r="NK8" s="15" t="n">
        <f aca="false">(NI8-NJ8)*(1-EXP(-Inputs!$B$25*Inputs!$B$14*Inputs!$B$17*Inputs!$B$26/(NC8*Inputs!$B$16/0.866)))</f>
        <v>0.00736317880291493</v>
      </c>
      <c r="NL8" s="15" t="n">
        <f aca="false">(NI8-NJ8-NK8)*(1-Inputs!$B$19)</f>
        <v>0.00349940502124788</v>
      </c>
      <c r="NM8" s="15" t="n">
        <f aca="false">(NF8+NG8+NH8+NJ8+NK8+NL8)*(1+Inputs!$B$27)</f>
        <v>0.304529255973988</v>
      </c>
      <c r="NN8" s="15" t="n">
        <f aca="false">Inputs!$B$52/(1-NM8-G8)</f>
        <v>203308.087078549</v>
      </c>
    </row>
    <row r="9" customFormat="false" ht="15" hidden="false" customHeight="false" outlineLevel="0" collapsed="false">
      <c r="A9" s="34" t="n">
        <v>0.02</v>
      </c>
      <c r="B9" s="21" t="n">
        <f aca="false">$B$3</f>
        <v>64</v>
      </c>
      <c r="C9" s="22" t="n">
        <f aca="false">$D$3</f>
        <v>0.15</v>
      </c>
      <c r="D9" s="23" t="n">
        <f aca="false">B9*C9</f>
        <v>9.6</v>
      </c>
      <c r="E9" s="24" t="n">
        <f aca="false">IF(C9=0,1,(1+0.45*C9)/(1.04+2.81*C9))</f>
        <v>0.73041395826206</v>
      </c>
      <c r="F9" s="24" t="n">
        <f aca="false">1+Inputs!$B$42*D9</f>
        <v>1.048</v>
      </c>
      <c r="G9" s="25" t="n">
        <f aca="false">Inputs!$B$31+Inputs!$B$43*($B$3/Inputs!$B$32-1)+0.02</f>
        <v>0.54</v>
      </c>
      <c r="H9" s="22" t="n">
        <f aca="false">Inputs!$B$38</f>
        <v>0.5</v>
      </c>
      <c r="I9" s="23" t="n">
        <f aca="false">Inputs!$B$40</f>
        <v>2.4</v>
      </c>
      <c r="J9" s="26" t="n">
        <f aca="false">NN9/Inputs!$B$34</f>
        <v>356.16753287003</v>
      </c>
      <c r="K9" s="23" t="n">
        <f aca="false">B9^2/J9</f>
        <v>11.5002060041635</v>
      </c>
      <c r="L9" s="23" t="n">
        <f aca="false">2*K9</f>
        <v>23.0004120083269</v>
      </c>
      <c r="M9" s="22" t="n">
        <f aca="false">NC9</f>
        <v>19.6984771052687</v>
      </c>
      <c r="N9" s="23" t="n">
        <f aca="false">B9/SQRT(E9)</f>
        <v>74.8851048120828</v>
      </c>
      <c r="O9" s="24" t="n">
        <f aca="false">NM9</f>
        <v>0.307333080694241</v>
      </c>
      <c r="P9" s="23" t="n">
        <f aca="false">NN9/1000</f>
        <v>213.700519722018</v>
      </c>
      <c r="Q9" s="23" t="n">
        <f aca="false">G9*NN9/1000</f>
        <v>115.39828064989</v>
      </c>
      <c r="R9" s="23" t="n">
        <f aca="false">NM9*NN9/1000</f>
        <v>65.6772390721282</v>
      </c>
      <c r="S9" s="23" t="n">
        <f aca="false">NM9*NN9/Inputs!$B$28/1000</f>
        <v>87.5696520961709</v>
      </c>
      <c r="T9" s="27" t="n">
        <f aca="false">R9/Sweep!$R$5-1</f>
        <v>0.050892631719921</v>
      </c>
      <c r="U9" s="27" t="n">
        <f aca="false">R9/SUMIFS(Sweep!$R:$R,Sweep!$A:$A,"Conventional",Sweep!$B:$B,B9)-1</f>
        <v>0.0508926317195737</v>
      </c>
      <c r="V9" s="26" t="n">
        <f aca="false">2*0.54*(J9/2)^1.5/SQRT(L9)*Inputs!$B$46*Inputs!$B$47</f>
        <v>50.0384740324753</v>
      </c>
      <c r="W9" s="28" t="n">
        <f aca="false">MIN(1,V9/S9)</f>
        <v>0.571413415888897</v>
      </c>
      <c r="X9" s="26" t="n">
        <f aca="false">1.23*SQRT(2*Inputs!$B$41*NN9*Inputs!$B$49/(1.225*J9*I9))/0.5144</f>
        <v>133.62967568068</v>
      </c>
      <c r="Y9" s="29" t="n">
        <f aca="false">(11000+6341.6*LN(0.36392/(2*Inputs!$B$50*Inputs!$B$18*(1+ND9)/2*Inputs!$B$34*Inputs!$B$49/((Inputs!$B$12*295.07)^2*H9))))/0.3048</f>
        <v>38570.7249025243</v>
      </c>
      <c r="Z9" s="26" t="n">
        <f aca="false">NN9-MZ9</f>
        <v>-5.17815351486206E-007</v>
      </c>
      <c r="AA9" s="30" t="str">
        <f aca="false">IF(ABS(NN9-MZ9)&lt;10,"Yes","No")</f>
        <v>Yes</v>
      </c>
      <c r="AC9" s="15" t="n">
        <f aca="false">Inputs!$B$52/(1-0.3154-G9)/Inputs!$B$34</f>
        <v>376.03734439834</v>
      </c>
      <c r="AD9" s="15" t="n">
        <f aca="false">B9^2/AC9</f>
        <v>10.8925351724138</v>
      </c>
      <c r="AE9" s="15" t="n">
        <f aca="false">Inputs!$B$54*H9/(Inputs!$B$35*F9+E9*H9^2/(PI()*AD9*Inputs!$B$36))</f>
        <v>19.4149373927073</v>
      </c>
      <c r="AF9" s="15" t="n">
        <f aca="false">EXP(-Inputs!$B$11*Inputs!$B$14*Inputs!$B$17/(Inputs!$B$51*AE9*Inputs!$B$16))</f>
        <v>0.754530625269939</v>
      </c>
      <c r="AG9" s="15" t="n">
        <f aca="false">Inputs!$B$50*Inputs!$B$18*AF9*Inputs!$B$19</f>
        <v>0.737270155770307</v>
      </c>
      <c r="AH9" s="15" t="n">
        <f aca="false">1-AG9</f>
        <v>0.262729844229693</v>
      </c>
      <c r="AI9" s="15" t="n">
        <f aca="false">Inputs!$B$20*AH9</f>
        <v>0.00788189532689079</v>
      </c>
      <c r="AJ9" s="15" t="n">
        <f aca="false">0.8*(1-Inputs!$B$50)*(AG9-AI9)</f>
        <v>0.0017568103992101</v>
      </c>
      <c r="AK9" s="15" t="n">
        <f aca="false">AG9-AI9-AJ9</f>
        <v>0.727631450044206</v>
      </c>
      <c r="AL9" s="15" t="n">
        <f aca="false">AK9*(1-Inputs!$B$18*EXP(-Inputs!$B$21*Inputs!$B$14*Inputs!$B$17/(Inputs!$B$22*Inputs!$B$23*Inputs!$B$24*AE9*Inputs!$B$16))*Inputs!$B$19)</f>
        <v>0.0262664002115421</v>
      </c>
      <c r="AM9" s="15" t="n">
        <f aca="false">(AK9-AL9)*(1-EXP(-Inputs!$B$25*Inputs!$B$14*Inputs!$B$17*Inputs!$B$26/(AE9*Inputs!$B$16/0.866)))</f>
        <v>0.00750305741387975</v>
      </c>
      <c r="AN9" s="15" t="n">
        <f aca="false">(AK9-AL9-AM9)*(1-Inputs!$B$19)</f>
        <v>0.00346930996209392</v>
      </c>
      <c r="AO9" s="15" t="n">
        <f aca="false">(AH9+AI9+AJ9+AL9+AM9+AN9)*(1+Inputs!$B$27)</f>
        <v>0.310536139495939</v>
      </c>
      <c r="AP9" s="15" t="n">
        <f aca="false">Inputs!$B$52/(1-AO9-G9)</f>
        <v>218280.190876735</v>
      </c>
      <c r="AQ9" s="15" t="n">
        <f aca="false">AP9/Inputs!$B$34</f>
        <v>363.800318127891</v>
      </c>
      <c r="AR9" s="15" t="n">
        <f aca="false">B9^2/AQ9</f>
        <v>11.258923634476</v>
      </c>
      <c r="AS9" s="15" t="n">
        <f aca="false">Inputs!$B$54*H9/(Inputs!$B$35*F9+E9*H9^2/(PI()*AR9*Inputs!$B$36))</f>
        <v>19.5885840517259</v>
      </c>
      <c r="AT9" s="15" t="n">
        <f aca="false">EXP(-Inputs!$B$11*Inputs!$B$14*Inputs!$B$17/(Inputs!$B$51*AS9*Inputs!$B$16))</f>
        <v>0.756416908126183</v>
      </c>
      <c r="AU9" s="15" t="n">
        <f aca="false">Inputs!$B$50*Inputs!$B$18*AT9*Inputs!$B$19</f>
        <v>0.739113288452632</v>
      </c>
      <c r="AV9" s="15" t="n">
        <f aca="false">1-AU9</f>
        <v>0.260886711547368</v>
      </c>
      <c r="AW9" s="15" t="n">
        <f aca="false">Inputs!$B$20*AV9</f>
        <v>0.00782660134642105</v>
      </c>
      <c r="AX9" s="15" t="n">
        <f aca="false">0.8*(1-Inputs!$B$50)*(AU9-AW9)</f>
        <v>0.00176138296485752</v>
      </c>
      <c r="AY9" s="15" t="n">
        <f aca="false">AU9-AW9-AX9</f>
        <v>0.729525304141353</v>
      </c>
      <c r="AZ9" s="15" t="n">
        <f aca="false">AY9*(1-Inputs!$B$18*EXP(-Inputs!$B$21*Inputs!$B$14*Inputs!$B$17/(Inputs!$B$22*Inputs!$B$23*Inputs!$B$24*AS9*Inputs!$B$16))*Inputs!$B$19)</f>
        <v>0.0262310314476478</v>
      </c>
      <c r="BA9" s="15" t="n">
        <f aca="false">(AY9-AZ9)*(1-EXP(-Inputs!$B$25*Inputs!$B$14*Inputs!$B$17*Inputs!$B$26/(AS9*Inputs!$B$16/0.866)))</f>
        <v>0.00745735549508193</v>
      </c>
      <c r="BB9" s="15" t="n">
        <f aca="false">(AY9-AZ9-BA9)*(1-Inputs!$B$19)</f>
        <v>0.00347918458599312</v>
      </c>
      <c r="BC9" s="15" t="n">
        <f aca="false">(AV9+AW9+AX9+AZ9+BA9+BB9)*(1+Inputs!$B$27)</f>
        <v>0.308565194189532</v>
      </c>
      <c r="BD9" s="15" t="n">
        <f aca="false">Inputs!$B$52/(1-BC9-G9)</f>
        <v>215439.243477702</v>
      </c>
      <c r="BE9" s="15" t="n">
        <f aca="false">BD9/Inputs!$B$34</f>
        <v>359.06540579617</v>
      </c>
      <c r="BF9" s="15" t="n">
        <f aca="false">B9^2/BE9</f>
        <v>11.4073924524079</v>
      </c>
      <c r="BG9" s="15" t="n">
        <f aca="false">Inputs!$B$54*H9/(Inputs!$B$35*F9+E9*H9^2/(PI()*BF9*Inputs!$B$36))</f>
        <v>19.6566100792078</v>
      </c>
      <c r="BH9" s="15" t="n">
        <f aca="false">EXP(-Inputs!$B$11*Inputs!$B$14*Inputs!$B$17/(Inputs!$B$51*BG9*Inputs!$B$16))</f>
        <v>0.757148038348514</v>
      </c>
      <c r="BI9" s="15" t="n">
        <f aca="false">Inputs!$B$50*Inputs!$B$18*BH9*Inputs!$B$19</f>
        <v>0.739827693507713</v>
      </c>
      <c r="BJ9" s="15" t="n">
        <f aca="false">1-BI9</f>
        <v>0.260172306492287</v>
      </c>
      <c r="BK9" s="15" t="n">
        <f aca="false">Inputs!$B$20*BJ9</f>
        <v>0.0078051691947686</v>
      </c>
      <c r="BL9" s="15" t="n">
        <f aca="false">0.8*(1-Inputs!$B$50)*(BI9-BK9)</f>
        <v>0.00176315530824035</v>
      </c>
      <c r="BM9" s="15" t="n">
        <f aca="false">BI9-BK9-BL9</f>
        <v>0.730259369004704</v>
      </c>
      <c r="BN9" s="15" t="n">
        <f aca="false">BM9*(1-Inputs!$B$18*EXP(-Inputs!$B$21*Inputs!$B$14*Inputs!$B$17/(Inputs!$B$22*Inputs!$B$23*Inputs!$B$24*BG9*Inputs!$B$16))*Inputs!$B$19)</f>
        <v>0.0262172430552094</v>
      </c>
      <c r="BO9" s="15" t="n">
        <f aca="false">(BM9-BN9)*(1-EXP(-Inputs!$B$25*Inputs!$B$14*Inputs!$B$17*Inputs!$B$26/(BG9*Inputs!$B$16/0.866)))</f>
        <v>0.00743958705077043</v>
      </c>
      <c r="BP9" s="15" t="n">
        <f aca="false">(BM9-BN9-BO9)*(1-Inputs!$B$19)</f>
        <v>0.00348301269449363</v>
      </c>
      <c r="BQ9" s="15" t="n">
        <f aca="false">(BJ9+BK9+BL9+BN9+BO9+BP9)*(1+Inputs!$B$27)</f>
        <v>0.307801115217156</v>
      </c>
      <c r="BR9" s="15" t="n">
        <f aca="false">Inputs!$B$52/(1-BQ9-G9)</f>
        <v>214357.681047067</v>
      </c>
      <c r="BS9" s="15" t="n">
        <f aca="false">BR9/Inputs!$B$34</f>
        <v>357.262801745111</v>
      </c>
      <c r="BT9" s="15" t="n">
        <f aca="false">B9^2/BS9</f>
        <v>11.46494955532</v>
      </c>
      <c r="BU9" s="15" t="n">
        <f aca="false">Inputs!$B$54*H9/(Inputs!$B$35*F9+E9*H9^2/(PI()*BT9*Inputs!$B$36))</f>
        <v>19.6826322572846</v>
      </c>
      <c r="BV9" s="15" t="n">
        <f aca="false">EXP(-Inputs!$B$11*Inputs!$B$14*Inputs!$B$17/(Inputs!$B$51*BU9*Inputs!$B$16))</f>
        <v>0.757426568859558</v>
      </c>
      <c r="BW9" s="15" t="n">
        <f aca="false">Inputs!$B$50*Inputs!$B$18*BV9*Inputs!$B$19</f>
        <v>0.74009985241868</v>
      </c>
      <c r="BX9" s="15" t="n">
        <f aca="false">1-BW9</f>
        <v>0.25990014758132</v>
      </c>
      <c r="BY9" s="15" t="n">
        <f aca="false">Inputs!$B$20*BX9</f>
        <v>0.00779700442743961</v>
      </c>
      <c r="BZ9" s="15" t="n">
        <f aca="false">0.8*(1-Inputs!$B$50)*(BW9-BY9)</f>
        <v>0.00176383049809449</v>
      </c>
      <c r="CA9" s="15" t="n">
        <f aca="false">BW9-BY9-BZ9</f>
        <v>0.730539017493146</v>
      </c>
      <c r="CB9" s="15" t="n">
        <f aca="false">CA9*(1-Inputs!$B$18*EXP(-Inputs!$B$21*Inputs!$B$14*Inputs!$B$17/(Inputs!$B$22*Inputs!$B$23*Inputs!$B$24*BU9*Inputs!$B$16))*Inputs!$B$19)</f>
        <v>0.02621197860227</v>
      </c>
      <c r="CC9" s="15" t="n">
        <f aca="false">(CA9-CB9)*(1-EXP(-Inputs!$B$25*Inputs!$B$14*Inputs!$B$17*Inputs!$B$26/(BU9*Inputs!$B$16/0.866)))</f>
        <v>0.00743281004741473</v>
      </c>
      <c r="CD9" s="15" t="n">
        <f aca="false">(CA9-CB9-CC9)*(1-Inputs!$B$19)</f>
        <v>0.00348447114421731</v>
      </c>
      <c r="CE9" s="15" t="n">
        <f aca="false">(BX9+BY9+BZ9+CB9+CC9+CD9)*(1+Inputs!$B$27)</f>
        <v>0.307510013027659</v>
      </c>
      <c r="CF9" s="15" t="n">
        <f aca="false">Inputs!$B$52/(1-CE9-G9)</f>
        <v>213948.473914668</v>
      </c>
      <c r="CG9" s="15" t="n">
        <f aca="false">CF9/Inputs!$B$34</f>
        <v>356.58078985778</v>
      </c>
      <c r="CH9" s="15" t="n">
        <f aca="false">B9^2/CG9</f>
        <v>11.4868779151947</v>
      </c>
      <c r="CI9" s="15" t="n">
        <f aca="false">Inputs!$B$54*H9/(Inputs!$B$35*F9+E9*H9^2/(PI()*CH9*Inputs!$B$36))</f>
        <v>19.6924956740062</v>
      </c>
      <c r="CJ9" s="15" t="n">
        <f aca="false">EXP(-Inputs!$B$11*Inputs!$B$14*Inputs!$B$17/(Inputs!$B$51*CI9*Inputs!$B$16))</f>
        <v>0.757531977074767</v>
      </c>
      <c r="CK9" s="15" t="n">
        <f aca="false">Inputs!$B$50*Inputs!$B$18*CJ9*Inputs!$B$19</f>
        <v>0.740202849339738</v>
      </c>
      <c r="CL9" s="15" t="n">
        <f aca="false">1-CK9</f>
        <v>0.259797150660262</v>
      </c>
      <c r="CM9" s="15" t="n">
        <f aca="false">Inputs!$B$20*CL9</f>
        <v>0.00779391451980787</v>
      </c>
      <c r="CN9" s="15" t="n">
        <f aca="false">0.8*(1-Inputs!$B$50)*(CK9-CM9)</f>
        <v>0.00176408601967876</v>
      </c>
      <c r="CO9" s="15" t="n">
        <f aca="false">CK9-CM9-CN9</f>
        <v>0.730644848800251</v>
      </c>
      <c r="CP9" s="15" t="n">
        <f aca="false">CO9*(1-Inputs!$B$18*EXP(-Inputs!$B$21*Inputs!$B$14*Inputs!$B$17/(Inputs!$B$22*Inputs!$B$23*Inputs!$B$24*CI9*Inputs!$B$16))*Inputs!$B$19)</f>
        <v>0.0262099846266154</v>
      </c>
      <c r="CQ9" s="15" t="n">
        <f aca="false">(CO9-CP9)*(1-EXP(-Inputs!$B$25*Inputs!$B$14*Inputs!$B$17*Inputs!$B$26/(CI9*Inputs!$B$16/0.866)))</f>
        <v>0.00743024418611465</v>
      </c>
      <c r="CR9" s="15" t="n">
        <f aca="false">(CO9-CP9-CQ9)*(1-Inputs!$B$19)</f>
        <v>0.00348502309993761</v>
      </c>
      <c r="CS9" s="15" t="n">
        <f aca="false">(CL9+CM9+CN9+CP9+CQ9+CR9)*(1+Inputs!$B$27)</f>
        <v>0.307399844321754</v>
      </c>
      <c r="CT9" s="15" t="n">
        <f aca="false">Inputs!$B$52/(1-CS9-G9)</f>
        <v>213794.01518298</v>
      </c>
      <c r="CU9" s="15" t="n">
        <f aca="false">CT9/Inputs!$B$34</f>
        <v>356.323358638299</v>
      </c>
      <c r="CV9" s="15" t="n">
        <f aca="false">B9^2/CU9</f>
        <v>11.4951767845167</v>
      </c>
      <c r="CW9" s="15" t="n">
        <f aca="false">Inputs!$B$54*H9/(Inputs!$B$35*F9+E9*H9^2/(PI()*CV9*Inputs!$B$36))</f>
        <v>19.6962212754053</v>
      </c>
      <c r="CX9" s="15" t="n">
        <f aca="false">EXP(-Inputs!$B$11*Inputs!$B$14*Inputs!$B$17/(Inputs!$B$51*CW9*Inputs!$B$16))</f>
        <v>0.757571768120467</v>
      </c>
      <c r="CY9" s="15" t="n">
        <f aca="false">Inputs!$B$50*Inputs!$B$18*CX9*Inputs!$B$19</f>
        <v>0.740241730134604</v>
      </c>
      <c r="CZ9" s="15" t="n">
        <f aca="false">1-CY9</f>
        <v>0.259758269865396</v>
      </c>
      <c r="DA9" s="15" t="n">
        <f aca="false">Inputs!$B$20*CZ9</f>
        <v>0.00779274809596189</v>
      </c>
      <c r="DB9" s="15" t="n">
        <f aca="false">0.8*(1-Inputs!$B$50)*(CY9-DA9)</f>
        <v>0.00176418247773013</v>
      </c>
      <c r="DC9" s="15" t="n">
        <f aca="false">CY9-DA9-DB9</f>
        <v>0.730684799560912</v>
      </c>
      <c r="DD9" s="15" t="n">
        <f aca="false">DC9*(1-Inputs!$B$18*EXP(-Inputs!$B$21*Inputs!$B$14*Inputs!$B$17/(Inputs!$B$22*Inputs!$B$23*Inputs!$B$24*CW9*Inputs!$B$16))*Inputs!$B$19)</f>
        <v>0.0262092316722668</v>
      </c>
      <c r="DE9" s="15" t="n">
        <f aca="false">(DC9-DD9)*(1-EXP(-Inputs!$B$25*Inputs!$B$14*Inputs!$B$17*Inputs!$B$26/(CW9*Inputs!$B$16/0.866)))</f>
        <v>0.00742927542360514</v>
      </c>
      <c r="DF9" s="15" t="n">
        <f aca="false">(DC9-DD9-DE9)*(1-Inputs!$B$19)</f>
        <v>0.0034852314623252</v>
      </c>
      <c r="DG9" s="15" t="n">
        <f aca="false">(CZ9+DA9+DB9+DD9+DE9+DF9)*(1+Inputs!$B$27)</f>
        <v>0.307358255814277</v>
      </c>
      <c r="DH9" s="15" t="n">
        <f aca="false">Inputs!$B$52/(1-DG9-G9)</f>
        <v>213735.765232769</v>
      </c>
      <c r="DI9" s="15" t="n">
        <f aca="false">DH9/Inputs!$B$34</f>
        <v>356.226275387948</v>
      </c>
      <c r="DJ9" s="15" t="n">
        <f aca="false">B9^2/DI9</f>
        <v>11.4983095942017</v>
      </c>
      <c r="DK9" s="15" t="n">
        <f aca="false">Inputs!$B$54*H9/(Inputs!$B$35*F9+E9*H9^2/(PI()*DJ9*Inputs!$B$36))</f>
        <v>19.6976266517039</v>
      </c>
      <c r="DL9" s="15" t="n">
        <f aca="false">EXP(-Inputs!$B$11*Inputs!$B$14*Inputs!$B$17/(Inputs!$B$51*DK9*Inputs!$B$16))</f>
        <v>0.757586774784294</v>
      </c>
      <c r="DM9" s="15" t="n">
        <f aca="false">Inputs!$B$50*Inputs!$B$18*DL9*Inputs!$B$19</f>
        <v>0.740256393509431</v>
      </c>
      <c r="DN9" s="15" t="n">
        <f aca="false">1-DM9</f>
        <v>0.259743606490569</v>
      </c>
      <c r="DO9" s="15" t="n">
        <f aca="false">Inputs!$B$20*DN9</f>
        <v>0.00779230819471707</v>
      </c>
      <c r="DP9" s="15" t="n">
        <f aca="false">0.8*(1-Inputs!$B$50)*(DM9-DO9)</f>
        <v>0.0017642188556017</v>
      </c>
      <c r="DQ9" s="15" t="n">
        <f aca="false">DM9-DO9-DP9</f>
        <v>0.730699866459112</v>
      </c>
      <c r="DR9" s="15" t="n">
        <f aca="false">DQ9*(1-Inputs!$B$18*EXP(-Inputs!$B$21*Inputs!$B$14*Inputs!$B$17/(Inputs!$B$22*Inputs!$B$23*Inputs!$B$24*DK9*Inputs!$B$16))*Inputs!$B$19)</f>
        <v>0.0262089476715241</v>
      </c>
      <c r="DS9" s="15" t="n">
        <f aca="false">(DQ9-DR9)*(1-EXP(-Inputs!$B$25*Inputs!$B$14*Inputs!$B$17*Inputs!$B$26/(DK9*Inputs!$B$16/0.866)))</f>
        <v>0.00742891004445114</v>
      </c>
      <c r="DT9" s="15" t="n">
        <f aca="false">(DQ9-DR9-DS9)*(1-Inputs!$B$19)</f>
        <v>0.00348531004371569</v>
      </c>
      <c r="DU9" s="15" t="n">
        <f aca="false">(DN9+DO9+DP9+DR9+DS9+DT9)*(1+Inputs!$B$27)</f>
        <v>0.30734257120448</v>
      </c>
      <c r="DV9" s="15" t="n">
        <f aca="false">Inputs!$B$52/(1-DU9-G9)</f>
        <v>213713.805200402</v>
      </c>
      <c r="DW9" s="15" t="n">
        <f aca="false">DV9/Inputs!$B$34</f>
        <v>356.189675334004</v>
      </c>
      <c r="DX9" s="15" t="n">
        <f aca="false">B9^2/DW9</f>
        <v>11.4994910960267</v>
      </c>
      <c r="DY9" s="15" t="n">
        <f aca="false">Inputs!$B$54*H9/(Inputs!$B$35*F9+E9*H9^2/(PI()*DX9*Inputs!$B$36))</f>
        <v>19.6981565258282</v>
      </c>
      <c r="DZ9" s="15" t="n">
        <f aca="false">EXP(-Inputs!$B$11*Inputs!$B$14*Inputs!$B$17/(Inputs!$B$51*DY9*Inputs!$B$16))</f>
        <v>0.757592432322483</v>
      </c>
      <c r="EA9" s="15" t="n">
        <f aca="false">Inputs!$B$50*Inputs!$B$18*DZ9*Inputs!$B$19</f>
        <v>0.740261921627074</v>
      </c>
      <c r="EB9" s="15" t="n">
        <f aca="false">1-EA9</f>
        <v>0.259738078372926</v>
      </c>
      <c r="EC9" s="15" t="n">
        <f aca="false">Inputs!$B$20*EB9</f>
        <v>0.00779214235118777</v>
      </c>
      <c r="ED9" s="15" t="n">
        <f aca="false">0.8*(1-Inputs!$B$50)*(EA9-EC9)</f>
        <v>0.00176423257012214</v>
      </c>
      <c r="EE9" s="15" t="n">
        <f aca="false">EA9-EC9-ED9</f>
        <v>0.730705546705765</v>
      </c>
      <c r="EF9" s="15" t="n">
        <f aca="false">EE9*(1-Inputs!$B$18*EXP(-Inputs!$B$21*Inputs!$B$14*Inputs!$B$17/(Inputs!$B$22*Inputs!$B$23*Inputs!$B$24*DY9*Inputs!$B$16))*Inputs!$B$19)</f>
        <v>0.0262088405979168</v>
      </c>
      <c r="EG9" s="15" t="n">
        <f aca="false">(EE9-EF9)*(1-EXP(-Inputs!$B$25*Inputs!$B$14*Inputs!$B$17*Inputs!$B$26/(DY9*Inputs!$B$16/0.866)))</f>
        <v>0.00742877229257294</v>
      </c>
      <c r="EH9" s="15" t="n">
        <f aca="false">(EE9-EF9-EG9)*(1-Inputs!$B$19)</f>
        <v>0.00348533966907638</v>
      </c>
      <c r="EI9" s="15" t="n">
        <f aca="false">(EB9+EC9+ED9+EF9+EG9+EH9)*(1+Inputs!$B$27)</f>
        <v>0.307336658071363</v>
      </c>
      <c r="EJ9" s="15" t="n">
        <f aca="false">Inputs!$B$52/(1-EI9-G9)</f>
        <v>213705.527390136</v>
      </c>
      <c r="EK9" s="15" t="n">
        <f aca="false">EJ9/Inputs!$B$34</f>
        <v>356.17587898356</v>
      </c>
      <c r="EL9" s="15" t="n">
        <f aca="false">B9^2/EK9</f>
        <v>11.499936524868</v>
      </c>
      <c r="EM9" s="15" t="n">
        <f aca="false">Inputs!$B$54*H9/(Inputs!$B$35*F9+E9*H9^2/(PI()*EL9*Inputs!$B$36))</f>
        <v>19.6983562687002</v>
      </c>
      <c r="EN9" s="15" t="n">
        <f aca="false">EXP(-Inputs!$B$11*Inputs!$B$14*Inputs!$B$17/(Inputs!$B$51*EM9*Inputs!$B$16))</f>
        <v>0.757594564936301</v>
      </c>
      <c r="EO9" s="15" t="n">
        <f aca="false">Inputs!$B$50*Inputs!$B$18*EN9*Inputs!$B$19</f>
        <v>0.740264005455709</v>
      </c>
      <c r="EP9" s="15" t="n">
        <f aca="false">1-EO9</f>
        <v>0.259735994544291</v>
      </c>
      <c r="EQ9" s="15" t="n">
        <f aca="false">Inputs!$B$20*EP9</f>
        <v>0.00779207983632874</v>
      </c>
      <c r="ER9" s="15" t="n">
        <f aca="false">0.8*(1-Inputs!$B$50)*(EO9-EQ9)</f>
        <v>0.00176423773982224</v>
      </c>
      <c r="ES9" s="15" t="n">
        <f aca="false">EO9-EQ9-ER9</f>
        <v>0.730707687879558</v>
      </c>
      <c r="ET9" s="15" t="n">
        <f aca="false">ES9*(1-Inputs!$B$18*EXP(-Inputs!$B$21*Inputs!$B$14*Inputs!$B$17/(Inputs!$B$22*Inputs!$B$23*Inputs!$B$24*EM9*Inputs!$B$16))*Inputs!$B$19)</f>
        <v>0.0262088002357424</v>
      </c>
      <c r="EU9" s="15" t="n">
        <f aca="false">(ES9-ET9)*(1-EXP(-Inputs!$B$25*Inputs!$B$14*Inputs!$B$17*Inputs!$B$26/(EM9*Inputs!$B$16/0.866)))</f>
        <v>0.00742872036641584</v>
      </c>
      <c r="EV9" s="15" t="n">
        <f aca="false">(ES9-ET9-EU9)*(1-Inputs!$B$19)</f>
        <v>0.003485350836387</v>
      </c>
      <c r="EW9" s="15" t="n">
        <f aca="false">(EP9+EQ9+ER9+ET9+EU9+EV9)*(1+Inputs!$B$27)</f>
        <v>0.307334429109665</v>
      </c>
      <c r="EX9" s="15" t="n">
        <f aca="false">Inputs!$B$52/(1-EW9-G9)</f>
        <v>213702.407227335</v>
      </c>
      <c r="EY9" s="15" t="n">
        <f aca="false">EX9/Inputs!$B$34</f>
        <v>356.170678712225</v>
      </c>
      <c r="EZ9" s="15" t="n">
        <f aca="false">B9^2/EY9</f>
        <v>11.5001044297345</v>
      </c>
      <c r="FA9" s="15" t="n">
        <f aca="false">Inputs!$B$54*H9/(Inputs!$B$35*F9+E9*H9^2/(PI()*EZ9*Inputs!$B$36))</f>
        <v>19.6984315590198</v>
      </c>
      <c r="FB9" s="15" t="n">
        <f aca="false">EXP(-Inputs!$B$11*Inputs!$B$14*Inputs!$B$17/(Inputs!$B$51*FA9*Inputs!$B$16))</f>
        <v>0.75759536878599</v>
      </c>
      <c r="FC9" s="15" t="n">
        <f aca="false">Inputs!$B$50*Inputs!$B$18*FB9*Inputs!$B$19</f>
        <v>0.740264790916716</v>
      </c>
      <c r="FD9" s="15" t="n">
        <f aca="false">1-FC9</f>
        <v>0.259735209083284</v>
      </c>
      <c r="FE9" s="15" t="n">
        <f aca="false">Inputs!$B$20*FD9</f>
        <v>0.00779205627249853</v>
      </c>
      <c r="FF9" s="15" t="n">
        <f aca="false">0.8*(1-Inputs!$B$50)*(FC9-FE9)</f>
        <v>0.00176423968844594</v>
      </c>
      <c r="FG9" s="15" t="n">
        <f aca="false">FC9-FE9-FF9</f>
        <v>0.730708494955771</v>
      </c>
      <c r="FH9" s="15" t="n">
        <f aca="false">FG9*(1-Inputs!$B$18*EXP(-Inputs!$B$21*Inputs!$B$14*Inputs!$B$17/(Inputs!$B$22*Inputs!$B$23*Inputs!$B$24*FA9*Inputs!$B$16))*Inputs!$B$19)</f>
        <v>0.026208785021863</v>
      </c>
      <c r="FI9" s="15" t="n">
        <f aca="false">(FG9-FH9)*(1-EXP(-Inputs!$B$25*Inputs!$B$14*Inputs!$B$17*Inputs!$B$26/(FA9*Inputs!$B$16/0.866)))</f>
        <v>0.00742870079373596</v>
      </c>
      <c r="FJ9" s="15" t="n">
        <f aca="false">(FG9-FH9-FI9)*(1-Inputs!$B$19)</f>
        <v>0.00348535504570087</v>
      </c>
      <c r="FK9" s="15" t="n">
        <f aca="false">(FD9+FE9+FF9+FH9+FI9+FJ9)*(1+Inputs!$B$27)</f>
        <v>0.307333588943245</v>
      </c>
      <c r="FL9" s="15" t="n">
        <f aca="false">Inputs!$B$52/(1-FK9-G9)</f>
        <v>213701.231162573</v>
      </c>
      <c r="FM9" s="15" t="n">
        <f aca="false">FL9/Inputs!$B$34</f>
        <v>356.168718604288</v>
      </c>
      <c r="FN9" s="15" t="n">
        <f aca="false">B9^2/FM9</f>
        <v>11.5001677184086</v>
      </c>
      <c r="FO9" s="15" t="n">
        <f aca="false">Inputs!$B$54*H9/(Inputs!$B$35*F9+E9*H9^2/(PI()*FN9*Inputs!$B$36))</f>
        <v>19.6984599379101</v>
      </c>
      <c r="FP9" s="15" t="n">
        <f aca="false">EXP(-Inputs!$B$11*Inputs!$B$14*Inputs!$B$17/(Inputs!$B$51*FO9*Inputs!$B$16))</f>
        <v>0.757595671776584</v>
      </c>
      <c r="FQ9" s="15" t="n">
        <f aca="false">Inputs!$B$50*Inputs!$B$18*FP9*Inputs!$B$19</f>
        <v>0.740265086976167</v>
      </c>
      <c r="FR9" s="15" t="n">
        <f aca="false">1-FQ9</f>
        <v>0.259734913023833</v>
      </c>
      <c r="FS9" s="15" t="n">
        <f aca="false">Inputs!$B$20*FR9</f>
        <v>0.00779204739071498</v>
      </c>
      <c r="FT9" s="15" t="n">
        <f aca="false">0.8*(1-Inputs!$B$50)*(FQ9-FS9)</f>
        <v>0.00176424042292984</v>
      </c>
      <c r="FU9" s="15" t="n">
        <f aca="false">FQ9-FS9-FT9</f>
        <v>0.730708799162522</v>
      </c>
      <c r="FV9" s="15" t="n">
        <f aca="false">FU9*(1-Inputs!$B$18*EXP(-Inputs!$B$21*Inputs!$B$14*Inputs!$B$17/(Inputs!$B$22*Inputs!$B$23*Inputs!$B$24*FO9*Inputs!$B$16))*Inputs!$B$19)</f>
        <v>0.0262087792873661</v>
      </c>
      <c r="FW9" s="15" t="n">
        <f aca="false">(FU9-FV9)*(1-EXP(-Inputs!$B$25*Inputs!$B$14*Inputs!$B$17*Inputs!$B$26/(FO9*Inputs!$B$16/0.866)))</f>
        <v>0.00742869341630502</v>
      </c>
      <c r="FX9" s="15" t="n">
        <f aca="false">(FU9-FV9-FW9)*(1-Inputs!$B$19)</f>
        <v>0.00348535663229426</v>
      </c>
      <c r="FY9" s="15" t="n">
        <f aca="false">(FR9+FS9+FT9+FV9+FW9+FX9)*(1+Inputs!$B$27)</f>
        <v>0.307333272263963</v>
      </c>
      <c r="FZ9" s="15" t="n">
        <f aca="false">Inputs!$B$52/(1-FY9-G9)</f>
        <v>213700.787878346</v>
      </c>
      <c r="GA9" s="15" t="n">
        <f aca="false">FZ9/Inputs!$B$34</f>
        <v>356.167979797243</v>
      </c>
      <c r="GB9" s="15" t="n">
        <f aca="false">B9^2/GA9</f>
        <v>11.5001915734585</v>
      </c>
      <c r="GC9" s="15" t="n">
        <f aca="false">Inputs!$B$54*H9/(Inputs!$B$35*F9+E9*H9^2/(PI()*GB9*Inputs!$B$36))</f>
        <v>19.6984706345484</v>
      </c>
      <c r="GD9" s="15" t="n">
        <f aca="false">EXP(-Inputs!$B$11*Inputs!$B$14*Inputs!$B$17/(Inputs!$B$51*GC9*Inputs!$B$16))</f>
        <v>0.75759578598032</v>
      </c>
      <c r="GE9" s="15" t="n">
        <f aca="false">Inputs!$B$50*Inputs!$B$18*GD9*Inputs!$B$19</f>
        <v>0.740265198567404</v>
      </c>
      <c r="GF9" s="15" t="n">
        <f aca="false">1-GE9</f>
        <v>0.259734801432596</v>
      </c>
      <c r="GG9" s="15" t="n">
        <f aca="false">Inputs!$B$20*GF9</f>
        <v>0.00779204404297788</v>
      </c>
      <c r="GH9" s="15" t="n">
        <f aca="false">0.8*(1-Inputs!$B$50)*(GE9-GG9)</f>
        <v>0.00176424069977277</v>
      </c>
      <c r="GI9" s="15" t="n">
        <f aca="false">GE9-GG9-GH9</f>
        <v>0.730708913824653</v>
      </c>
      <c r="GJ9" s="15" t="n">
        <f aca="false">GI9*(1-Inputs!$B$18*EXP(-Inputs!$B$21*Inputs!$B$14*Inputs!$B$17/(Inputs!$B$22*Inputs!$B$23*Inputs!$B$24*GC9*Inputs!$B$16))*Inputs!$B$19)</f>
        <v>0.0262087771259077</v>
      </c>
      <c r="GK9" s="15" t="n">
        <f aca="false">(GI9-GJ9)*(1-EXP(-Inputs!$B$25*Inputs!$B$14*Inputs!$B$17*Inputs!$B$26/(GC9*Inputs!$B$16/0.866)))</f>
        <v>0.00742869063558975</v>
      </c>
      <c r="GL9" s="15" t="n">
        <f aca="false">(GI9-GJ9-GK9)*(1-Inputs!$B$19)</f>
        <v>0.00348535723031578</v>
      </c>
      <c r="GM9" s="15" t="n">
        <f aca="false">(GF9+GG9+GH9+GJ9+GK9+GL9)*(1+Inputs!$B$27)</f>
        <v>0.307333152900661</v>
      </c>
      <c r="GN9" s="15" t="n">
        <f aca="false">Inputs!$B$52/(1-GM9-G9)</f>
        <v>213700.620795367</v>
      </c>
      <c r="GO9" s="15" t="n">
        <f aca="false">GN9/Inputs!$B$34</f>
        <v>356.167701325611</v>
      </c>
      <c r="GP9" s="15" t="n">
        <f aca="false">B9^2/GO9</f>
        <v>11.5002005649451</v>
      </c>
      <c r="GQ9" s="15" t="n">
        <f aca="false">Inputs!$B$54*H9/(Inputs!$B$35*F9+E9*H9^2/(PI()*GP9*Inputs!$B$36))</f>
        <v>19.6984746663353</v>
      </c>
      <c r="GR9" s="15" t="n">
        <f aca="false">EXP(-Inputs!$B$11*Inputs!$B$14*Inputs!$B$17/(Inputs!$B$51*GQ9*Inputs!$B$16))</f>
        <v>0.75759582902607</v>
      </c>
      <c r="GS9" s="15" t="n">
        <f aca="false">Inputs!$B$50*Inputs!$B$18*GR9*Inputs!$B$19</f>
        <v>0.74026524062845</v>
      </c>
      <c r="GT9" s="15" t="n">
        <f aca="false">1-GS9</f>
        <v>0.25973475937155</v>
      </c>
      <c r="GU9" s="15" t="n">
        <f aca="false">Inputs!$B$20*GT9</f>
        <v>0.00779204278114651</v>
      </c>
      <c r="GV9" s="15" t="n">
        <f aca="false">0.8*(1-Inputs!$B$50)*(GS9-GU9)</f>
        <v>0.0017642408041206</v>
      </c>
      <c r="GW9" s="15" t="n">
        <f aca="false">GS9-GU9-GV9</f>
        <v>0.730708957043183</v>
      </c>
      <c r="GX9" s="15" t="n">
        <f aca="false">GW9*(1-Inputs!$B$18*EXP(-Inputs!$B$21*Inputs!$B$14*Inputs!$B$17/(Inputs!$B$22*Inputs!$B$23*Inputs!$B$24*GQ9*Inputs!$B$16))*Inputs!$B$19)</f>
        <v>0.0262087763112091</v>
      </c>
      <c r="GY9" s="15" t="n">
        <f aca="false">(GW9-GX9)*(1-EXP(-Inputs!$B$25*Inputs!$B$14*Inputs!$B$17*Inputs!$B$26/(GQ9*Inputs!$B$16/0.866)))</f>
        <v>0.00742868958748045</v>
      </c>
      <c r="GZ9" s="15" t="n">
        <f aca="false">(GW9-GX9-GY9)*(1-Inputs!$B$19)</f>
        <v>0.00348535745572247</v>
      </c>
      <c r="HA9" s="15" t="n">
        <f aca="false">(GT9+GU9+GV9+GX9+GY9+GZ9)*(1+Inputs!$B$27)</f>
        <v>0.307333107910163</v>
      </c>
      <c r="HB9" s="15" t="n">
        <f aca="false">Inputs!$B$52/(1-HA9-G9)</f>
        <v>213700.557818402</v>
      </c>
      <c r="HC9" s="15" t="n">
        <f aca="false">HB9/Inputs!$B$34</f>
        <v>356.167596364004</v>
      </c>
      <c r="HD9" s="15" t="n">
        <f aca="false">B9^2/HC9</f>
        <v>11.5002039540225</v>
      </c>
      <c r="HE9" s="15" t="n">
        <f aca="false">Inputs!$B$54*H9/(Inputs!$B$35*F9+E9*H9^2/(PI()*HD9*Inputs!$B$36))</f>
        <v>19.698476185998</v>
      </c>
      <c r="HF9" s="15" t="n">
        <f aca="false">EXP(-Inputs!$B$11*Inputs!$B$14*Inputs!$B$17/(Inputs!$B$51*HE9*Inputs!$B$16))</f>
        <v>0.757595845250888</v>
      </c>
      <c r="HG9" s="15" t="n">
        <f aca="false">Inputs!$B$50*Inputs!$B$18*HF9*Inputs!$B$19</f>
        <v>0.740265256482112</v>
      </c>
      <c r="HH9" s="15" t="n">
        <f aca="false">1-HG9</f>
        <v>0.259734743517888</v>
      </c>
      <c r="HI9" s="15" t="n">
        <f aca="false">Inputs!$B$20*HH9</f>
        <v>0.00779204230553664</v>
      </c>
      <c r="HJ9" s="15" t="n">
        <f aca="false">0.8*(1-Inputs!$B$50)*(HG9-HI9)</f>
        <v>0.00176424084345141</v>
      </c>
      <c r="HK9" s="15" t="n">
        <f aca="false">HG9-HI9-HJ9</f>
        <v>0.730708973333124</v>
      </c>
      <c r="HL9" s="15" t="n">
        <f aca="false">HK9*(1-Inputs!$B$18*EXP(-Inputs!$B$21*Inputs!$B$14*Inputs!$B$17/(Inputs!$B$22*Inputs!$B$23*Inputs!$B$24*HE9*Inputs!$B$16))*Inputs!$B$19)</f>
        <v>0.0262087760041325</v>
      </c>
      <c r="HM9" s="15" t="n">
        <f aca="false">(HK9-HL9)*(1-EXP(-Inputs!$B$25*Inputs!$B$14*Inputs!$B$17*Inputs!$B$26/(HE9*Inputs!$B$16/0.866)))</f>
        <v>0.00742868919242672</v>
      </c>
      <c r="HN9" s="15" t="n">
        <f aca="false">(HK9-HL9-HM9)*(1-Inputs!$B$19)</f>
        <v>0.00348535754068283</v>
      </c>
      <c r="HO9" s="15" t="n">
        <f aca="false">(HH9+HI9+HJ9+HL9+HM9+HN9)*(1+Inputs!$B$27)</f>
        <v>0.307333090952331</v>
      </c>
      <c r="HP9" s="15" t="n">
        <f aca="false">Inputs!$B$52/(1-HO9-G9)</f>
        <v>213700.534081115</v>
      </c>
      <c r="HQ9" s="15" t="n">
        <f aca="false">HP9/Inputs!$B$34</f>
        <v>356.167556801859</v>
      </c>
      <c r="HR9" s="15" t="n">
        <f aca="false">B9^2/HQ9</f>
        <v>11.5002052314346</v>
      </c>
      <c r="HS9" s="15" t="n">
        <f aca="false">Inputs!$B$54*H9/(Inputs!$B$35*F9+E9*H9^2/(PI()*HR9*Inputs!$B$36))</f>
        <v>19.6984767587896</v>
      </c>
      <c r="HT9" s="15" t="n">
        <f aca="false">EXP(-Inputs!$B$11*Inputs!$B$14*Inputs!$B$17/(Inputs!$B$51*HS9*Inputs!$B$16))</f>
        <v>0.757595851366348</v>
      </c>
      <c r="HU9" s="15" t="n">
        <f aca="false">Inputs!$B$50*Inputs!$B$18*HT9*Inputs!$B$19</f>
        <v>0.740265262457677</v>
      </c>
      <c r="HV9" s="15" t="n">
        <f aca="false">1-HU9</f>
        <v>0.259734737542323</v>
      </c>
      <c r="HW9" s="15" t="n">
        <f aca="false">Inputs!$B$20*HV9</f>
        <v>0.0077920421262697</v>
      </c>
      <c r="HX9" s="15" t="n">
        <f aca="false">0.8*(1-Inputs!$B$50)*(HU9-HW9)</f>
        <v>0.00176424085827599</v>
      </c>
      <c r="HY9" s="15" t="n">
        <f aca="false">HU9-HW9-HX9</f>
        <v>0.730708979473131</v>
      </c>
      <c r="HZ9" s="15" t="n">
        <f aca="false">HY9*(1-Inputs!$B$18*EXP(-Inputs!$B$21*Inputs!$B$14*Inputs!$B$17/(Inputs!$B$22*Inputs!$B$23*Inputs!$B$24*HS9*Inputs!$B$16))*Inputs!$B$19)</f>
        <v>0.0262087758883892</v>
      </c>
      <c r="IA9" s="15" t="n">
        <f aca="false">(HY9-HZ9)*(1-EXP(-Inputs!$B$25*Inputs!$B$14*Inputs!$B$17*Inputs!$B$26/(HS9*Inputs!$B$16/0.866)))</f>
        <v>0.00742868904352305</v>
      </c>
      <c r="IB9" s="15" t="n">
        <f aca="false">(HY9-HZ9-IA9)*(1-Inputs!$B$19)</f>
        <v>0.0034853575727061</v>
      </c>
      <c r="IC9" s="15" t="n">
        <f aca="false">(HV9+HW9+HX9+HZ9+IA9+IB9)*(1+Inputs!$B$27)</f>
        <v>0.307333084560582</v>
      </c>
      <c r="ID9" s="15" t="n">
        <f aca="false">Inputs!$B$52/(1-IC9-G9)</f>
        <v>213700.525134055</v>
      </c>
      <c r="IE9" s="15" t="n">
        <f aca="false">ID9/Inputs!$B$34</f>
        <v>356.167541890091</v>
      </c>
      <c r="IF9" s="15" t="n">
        <f aca="false">B9^2/IE9</f>
        <v>11.5002057129169</v>
      </c>
      <c r="IG9" s="15" t="n">
        <f aca="false">Inputs!$B$54*H9/(Inputs!$B$35*F9+E9*H9^2/(PI()*IF9*Inputs!$B$36))</f>
        <v>19.6984769746862</v>
      </c>
      <c r="IH9" s="15" t="n">
        <f aca="false">EXP(-Inputs!$B$11*Inputs!$B$14*Inputs!$B$17/(Inputs!$B$51*IG9*Inputs!$B$16))</f>
        <v>0.757595853671388</v>
      </c>
      <c r="II9" s="15" t="n">
        <f aca="false">Inputs!$B$50*Inputs!$B$18*IH9*Inputs!$B$19</f>
        <v>0.740265264709987</v>
      </c>
      <c r="IJ9" s="15" t="n">
        <f aca="false">1-II9</f>
        <v>0.259734735290013</v>
      </c>
      <c r="IK9" s="15" t="n">
        <f aca="false">Inputs!$B$20*IJ9</f>
        <v>0.00779204205870038</v>
      </c>
      <c r="IL9" s="15" t="n">
        <f aca="false">0.8*(1-Inputs!$B$50)*(II9-IK9)</f>
        <v>0.00176424086386367</v>
      </c>
      <c r="IM9" s="15" t="n">
        <f aca="false">II9-IK9-IL9</f>
        <v>0.730708981787423</v>
      </c>
      <c r="IN9" s="15" t="n">
        <f aca="false">IM9*(1-Inputs!$B$18*EXP(-Inputs!$B$21*Inputs!$B$14*Inputs!$B$17/(Inputs!$B$22*Inputs!$B$23*Inputs!$B$24*IG9*Inputs!$B$16))*Inputs!$B$19)</f>
        <v>0.0262087758447631</v>
      </c>
      <c r="IO9" s="15" t="n">
        <f aca="false">(IM9-IN9)*(1-EXP(-Inputs!$B$25*Inputs!$B$14*Inputs!$B$17*Inputs!$B$26/(IG9*Inputs!$B$16/0.866)))</f>
        <v>0.00742868898739821</v>
      </c>
      <c r="IP9" s="15" t="n">
        <f aca="false">(IM9-IN9-IO9)*(1-Inputs!$B$19)</f>
        <v>0.00348535758477631</v>
      </c>
      <c r="IQ9" s="15" t="n">
        <f aca="false">(IJ9+IK9+IL9+IN9+IO9+IP9)*(1+Inputs!$B$27)</f>
        <v>0.307333082151403</v>
      </c>
      <c r="IR9" s="15" t="n">
        <f aca="false">Inputs!$B$52/(1-IQ9-G9)</f>
        <v>213700.521761728</v>
      </c>
      <c r="IS9" s="15" t="n">
        <f aca="false">IR9/Inputs!$B$34</f>
        <v>356.167536269546</v>
      </c>
      <c r="IT9" s="15" t="n">
        <f aca="false">B9^2/IS9</f>
        <v>11.5002058943973</v>
      </c>
      <c r="IU9" s="15" t="n">
        <f aca="false">Inputs!$B$54*H9/(Inputs!$B$35*F9+E9*H9^2/(PI()*IT9*Inputs!$B$36))</f>
        <v>19.698477056062</v>
      </c>
      <c r="IV9" s="15" t="n">
        <f aca="false">EXP(-Inputs!$B$11*Inputs!$B$14*Inputs!$B$17/(Inputs!$B$51*IU9*Inputs!$B$16))</f>
        <v>0.757595854540204</v>
      </c>
      <c r="IW9" s="15" t="n">
        <f aca="false">Inputs!$B$50*Inputs!$B$18*IV9*Inputs!$B$19</f>
        <v>0.740265265558928</v>
      </c>
      <c r="IX9" s="15" t="n">
        <f aca="false">1-IW9</f>
        <v>0.259734734441072</v>
      </c>
      <c r="IY9" s="15" t="n">
        <f aca="false">Inputs!$B$20*IX9</f>
        <v>0.00779204203323215</v>
      </c>
      <c r="IZ9" s="15" t="n">
        <f aca="false">0.8*(1-Inputs!$B$50)*(IW9-IY9)</f>
        <v>0.00176424086596978</v>
      </c>
      <c r="JA9" s="15" t="n">
        <f aca="false">IW9-IY9-IZ9</f>
        <v>0.730708982659726</v>
      </c>
      <c r="JB9" s="15" t="n">
        <f aca="false">JA9*(1-Inputs!$B$18*EXP(-Inputs!$B$21*Inputs!$B$14*Inputs!$B$17/(Inputs!$B$22*Inputs!$B$23*Inputs!$B$24*IU9*Inputs!$B$16))*Inputs!$B$19)</f>
        <v>0.0262087758283197</v>
      </c>
      <c r="JC9" s="15" t="n">
        <f aca="false">(JA9-JB9)*(1-EXP(-Inputs!$B$25*Inputs!$B$14*Inputs!$B$17*Inputs!$B$26/(IU9*Inputs!$B$16/0.866)))</f>
        <v>0.00742868896624371</v>
      </c>
      <c r="JD9" s="15" t="n">
        <f aca="false">(JA9-JB9-JC9)*(1-Inputs!$B$19)</f>
        <v>0.00348535758932582</v>
      </c>
      <c r="JE9" s="15" t="n">
        <f aca="false">(IX9+IY9+IZ9+JB9+JC9+JD9)*(1+Inputs!$B$27)</f>
        <v>0.307333081243335</v>
      </c>
      <c r="JF9" s="15" t="n">
        <f aca="false">Inputs!$B$52/(1-JE9-G9)</f>
        <v>213700.52049063</v>
      </c>
      <c r="JG9" s="15" t="n">
        <f aca="false">JF9/Inputs!$B$34</f>
        <v>356.16753415105</v>
      </c>
      <c r="JH9" s="15" t="n">
        <f aca="false">B9^2/JG9</f>
        <v>11.5002059628009</v>
      </c>
      <c r="JI9" s="15" t="n">
        <f aca="false">Inputs!$B$54*H9/(Inputs!$B$35*F9+E9*H9^2/(PI()*JH9*Inputs!$B$36))</f>
        <v>19.6984770867342</v>
      </c>
      <c r="JJ9" s="15" t="n">
        <f aca="false">EXP(-Inputs!$B$11*Inputs!$B$14*Inputs!$B$17/(Inputs!$B$51*JI9*Inputs!$B$16))</f>
        <v>0.757595854867678</v>
      </c>
      <c r="JK9" s="15" t="n">
        <f aca="false">Inputs!$B$50*Inputs!$B$18*JJ9*Inputs!$B$19</f>
        <v>0.740265265878911</v>
      </c>
      <c r="JL9" s="15" t="n">
        <f aca="false">1-JK9</f>
        <v>0.259734734121089</v>
      </c>
      <c r="JM9" s="15" t="n">
        <f aca="false">Inputs!$B$20*JL9</f>
        <v>0.00779204202363266</v>
      </c>
      <c r="JN9" s="15" t="n">
        <f aca="false">0.8*(1-Inputs!$B$50)*(JK9-JM9)</f>
        <v>0.00176424086676362</v>
      </c>
      <c r="JO9" s="15" t="n">
        <f aca="false">JK9-JM9-JN9</f>
        <v>0.730708982988515</v>
      </c>
      <c r="JP9" s="15" t="n">
        <f aca="false">JO9*(1-Inputs!$B$18*EXP(-Inputs!$B$21*Inputs!$B$14*Inputs!$B$17/(Inputs!$B$22*Inputs!$B$23*Inputs!$B$24*JI9*Inputs!$B$16))*Inputs!$B$19)</f>
        <v>0.0262087758221218</v>
      </c>
      <c r="JQ9" s="15" t="n">
        <f aca="false">(JO9-JP9)*(1-EXP(-Inputs!$B$25*Inputs!$B$14*Inputs!$B$17*Inputs!$B$26/(JI9*Inputs!$B$16/0.866)))</f>
        <v>0.00742868895827008</v>
      </c>
      <c r="JR9" s="15" t="n">
        <f aca="false">(JO9-JP9-JQ9)*(1-Inputs!$B$19)</f>
        <v>0.00348535759104062</v>
      </c>
      <c r="JS9" s="15" t="n">
        <f aca="false">(JL9+JM9+JN9+JP9+JQ9+JR9)*(1+Inputs!$B$27)</f>
        <v>0.307333080901066</v>
      </c>
      <c r="JT9" s="15" t="n">
        <f aca="false">Inputs!$B$52/(1-JS9-G9)</f>
        <v>213700.520011528</v>
      </c>
      <c r="JU9" s="15" t="n">
        <f aca="false">JT9/Inputs!$B$34</f>
        <v>356.167533352547</v>
      </c>
      <c r="JV9" s="15" t="n">
        <f aca="false">B9^2/JU9</f>
        <v>11.5002059885836</v>
      </c>
      <c r="JW9" s="15" t="n">
        <f aca="false">Inputs!$B$54*H9/(Inputs!$B$35*F9+E9*H9^2/(PI()*JV9*Inputs!$B$36))</f>
        <v>19.6984770982951</v>
      </c>
      <c r="JX9" s="15" t="n">
        <f aca="false">EXP(-Inputs!$B$11*Inputs!$B$14*Inputs!$B$17/(Inputs!$B$51*JW9*Inputs!$B$16))</f>
        <v>0.75759585499111</v>
      </c>
      <c r="JY9" s="15" t="n">
        <f aca="false">Inputs!$B$50*Inputs!$B$18*JX9*Inputs!$B$19</f>
        <v>0.740265265999519</v>
      </c>
      <c r="JZ9" s="15" t="n">
        <f aca="false">1-JY9</f>
        <v>0.259734734000481</v>
      </c>
      <c r="KA9" s="15" t="n">
        <f aca="false">Inputs!$B$20*JZ9</f>
        <v>0.00779204202001443</v>
      </c>
      <c r="KB9" s="15" t="n">
        <f aca="false">0.8*(1-Inputs!$B$50)*(JY9-KA9)</f>
        <v>0.00176424086706283</v>
      </c>
      <c r="KC9" s="15" t="n">
        <f aca="false">JY9-KA9-KB9</f>
        <v>0.730708983112442</v>
      </c>
      <c r="KD9" s="15" t="n">
        <f aca="false">KC9*(1-Inputs!$B$18*EXP(-Inputs!$B$21*Inputs!$B$14*Inputs!$B$17/(Inputs!$B$22*Inputs!$B$23*Inputs!$B$24*JW9*Inputs!$B$16))*Inputs!$B$19)</f>
        <v>0.0262087758197858</v>
      </c>
      <c r="KE9" s="15" t="n">
        <f aca="false">(KC9-KD9)*(1-EXP(-Inputs!$B$25*Inputs!$B$14*Inputs!$B$17*Inputs!$B$26/(JW9*Inputs!$B$16/0.866)))</f>
        <v>0.00742868895526468</v>
      </c>
      <c r="KF9" s="15" t="n">
        <f aca="false">(KC9-KD9-KE9)*(1-Inputs!$B$19)</f>
        <v>0.00348535759168696</v>
      </c>
      <c r="KG9" s="15" t="n">
        <f aca="false">(JZ9+KA9+KB9+KD9+KE9+KF9)*(1+Inputs!$B$27)</f>
        <v>0.307333080772058</v>
      </c>
      <c r="KH9" s="15" t="n">
        <f aca="false">Inputs!$B$52/(1-KG9-G9)</f>
        <v>213700.519830945</v>
      </c>
      <c r="KI9" s="15" t="n">
        <f aca="false">KH9/Inputs!$B$34</f>
        <v>356.167533051575</v>
      </c>
      <c r="KJ9" s="15" t="n">
        <f aca="false">B9^2/KI9</f>
        <v>11.5002059983016</v>
      </c>
      <c r="KK9" s="15" t="n">
        <f aca="false">Inputs!$B$54*H9/(Inputs!$B$35*F9+E9*H9^2/(PI()*KJ9*Inputs!$B$36))</f>
        <v>19.6984771026527</v>
      </c>
      <c r="KL9" s="15" t="n">
        <f aca="false">EXP(-Inputs!$B$11*Inputs!$B$14*Inputs!$B$17/(Inputs!$B$51*KK9*Inputs!$B$16))</f>
        <v>0.757595855037634</v>
      </c>
      <c r="KM9" s="15" t="n">
        <f aca="false">Inputs!$B$50*Inputs!$B$18*KL9*Inputs!$B$19</f>
        <v>0.740265266044979</v>
      </c>
      <c r="KN9" s="15" t="n">
        <f aca="false">1-KM9</f>
        <v>0.259734733955021</v>
      </c>
      <c r="KO9" s="15" t="n">
        <f aca="false">Inputs!$B$20*KN9</f>
        <v>0.00779204201865064</v>
      </c>
      <c r="KP9" s="15" t="n">
        <f aca="false">0.8*(1-Inputs!$B$50)*(KM9-KO9)</f>
        <v>0.00176424086717561</v>
      </c>
      <c r="KQ9" s="15" t="n">
        <f aca="false">KM9-KO9-KP9</f>
        <v>0.730708983159152</v>
      </c>
      <c r="KR9" s="15" t="n">
        <f aca="false">KQ9*(1-Inputs!$B$18*EXP(-Inputs!$B$21*Inputs!$B$14*Inputs!$B$17/(Inputs!$B$22*Inputs!$B$23*Inputs!$B$24*KK9*Inputs!$B$16))*Inputs!$B$19)</f>
        <v>0.0262087758189052</v>
      </c>
      <c r="KS9" s="15" t="n">
        <f aca="false">(KQ9-KR9)*(1-EXP(-Inputs!$B$25*Inputs!$B$14*Inputs!$B$17*Inputs!$B$26/(KK9*Inputs!$B$16/0.866)))</f>
        <v>0.00742868895413189</v>
      </c>
      <c r="KT9" s="15" t="n">
        <f aca="false">(KQ9-KR9-KS9)*(1-Inputs!$B$19)</f>
        <v>0.00348535759193058</v>
      </c>
      <c r="KU9" s="15" t="n">
        <f aca="false">(KN9+KO9+KP9+KR9+KS9+KT9)*(1+Inputs!$B$27)</f>
        <v>0.307333080723433</v>
      </c>
      <c r="KV9" s="15" t="n">
        <f aca="false">Inputs!$B$52/(1-KU9-G9)</f>
        <v>213700.51976288</v>
      </c>
      <c r="KW9" s="15" t="n">
        <f aca="false">KV9/Inputs!$B$34</f>
        <v>356.167532938133</v>
      </c>
      <c r="KX9" s="15" t="n">
        <f aca="false">B9^2/KW9</f>
        <v>11.5002060019645</v>
      </c>
      <c r="KY9" s="15" t="n">
        <f aca="false">Inputs!$B$54*H9/(Inputs!$B$35*F9+E9*H9^2/(PI()*KX9*Inputs!$B$36))</f>
        <v>19.6984771042951</v>
      </c>
      <c r="KZ9" s="15" t="n">
        <f aca="false">EXP(-Inputs!$B$11*Inputs!$B$14*Inputs!$B$17/(Inputs!$B$51*KY9*Inputs!$B$16))</f>
        <v>0.75759585505517</v>
      </c>
      <c r="LA9" s="15" t="n">
        <f aca="false">Inputs!$B$50*Inputs!$B$18*KZ9*Inputs!$B$19</f>
        <v>0.740265266062113</v>
      </c>
      <c r="LB9" s="15" t="n">
        <f aca="false">1-LA9</f>
        <v>0.259734733937887</v>
      </c>
      <c r="LC9" s="15" t="n">
        <f aca="false">Inputs!$B$20*LB9</f>
        <v>0.0077920420181366</v>
      </c>
      <c r="LD9" s="15" t="n">
        <f aca="false">0.8*(1-Inputs!$B$50)*(LA9-LC9)</f>
        <v>0.00176424086721812</v>
      </c>
      <c r="LE9" s="15" t="n">
        <f aca="false">LA9-LC9-LD9</f>
        <v>0.730708983176759</v>
      </c>
      <c r="LF9" s="15" t="n">
        <f aca="false">LE9*(1-Inputs!$B$18*EXP(-Inputs!$B$21*Inputs!$B$14*Inputs!$B$17/(Inputs!$B$22*Inputs!$B$23*Inputs!$B$24*KY9*Inputs!$B$16))*Inputs!$B$19)</f>
        <v>0.0262087758185733</v>
      </c>
      <c r="LG9" s="15" t="n">
        <f aca="false">(LE9-LF9)*(1-EXP(-Inputs!$B$25*Inputs!$B$14*Inputs!$B$17*Inputs!$B$26/(KY9*Inputs!$B$16/0.866)))</f>
        <v>0.00742868895370494</v>
      </c>
      <c r="LH9" s="15" t="n">
        <f aca="false">(LE9-LF9-LG9)*(1-Inputs!$B$19)</f>
        <v>0.0034853575920224</v>
      </c>
      <c r="LI9" s="15" t="n">
        <f aca="false">(LB9+LC9+LD9+LF9+LG9+LH9)*(1+Inputs!$B$27)</f>
        <v>0.307333080705105</v>
      </c>
      <c r="LJ9" s="15" t="n">
        <f aca="false">Inputs!$B$52/(1-LI9-G9)</f>
        <v>213700.519737224</v>
      </c>
      <c r="LK9" s="15" t="n">
        <f aca="false">LJ9/Inputs!$B$34</f>
        <v>356.167532895374</v>
      </c>
      <c r="LL9" s="15" t="n">
        <f aca="false">B9^2/LK9</f>
        <v>11.5002060033451</v>
      </c>
      <c r="LM9" s="15" t="n">
        <f aca="false">Inputs!$B$54*H9/(Inputs!$B$35*F9+E9*H9^2/(PI()*LL9*Inputs!$B$36))</f>
        <v>19.6984771049142</v>
      </c>
      <c r="LN9" s="15" t="n">
        <f aca="false">EXP(-Inputs!$B$11*Inputs!$B$14*Inputs!$B$17/(Inputs!$B$51*LM9*Inputs!$B$16))</f>
        <v>0.757595855061779</v>
      </c>
      <c r="LO9" s="15" t="n">
        <f aca="false">Inputs!$B$50*Inputs!$B$18*LN9*Inputs!$B$19</f>
        <v>0.740265266068572</v>
      </c>
      <c r="LP9" s="15" t="n">
        <f aca="false">1-LO9</f>
        <v>0.259734733931428</v>
      </c>
      <c r="LQ9" s="15" t="n">
        <f aca="false">Inputs!$B$20*LP9</f>
        <v>0.00779204201794285</v>
      </c>
      <c r="LR9" s="15" t="n">
        <f aca="false">0.8*(1-Inputs!$B$50)*(LO9-LQ9)</f>
        <v>0.00176424086723414</v>
      </c>
      <c r="LS9" s="15" t="n">
        <f aca="false">LO9-LQ9-LR9</f>
        <v>0.730708983183395</v>
      </c>
      <c r="LT9" s="15" t="n">
        <f aca="false">LS9*(1-Inputs!$B$18*EXP(-Inputs!$B$21*Inputs!$B$14*Inputs!$B$17/(Inputs!$B$22*Inputs!$B$23*Inputs!$B$24*LM9*Inputs!$B$16))*Inputs!$B$19)</f>
        <v>0.0262087758184482</v>
      </c>
      <c r="LU9" s="15" t="n">
        <f aca="false">(LS9-LT9)*(1-EXP(-Inputs!$B$25*Inputs!$B$14*Inputs!$B$17*Inputs!$B$26/(LM9*Inputs!$B$16/0.866)))</f>
        <v>0.00742868895354401</v>
      </c>
      <c r="LV9" s="15" t="n">
        <f aca="false">(LS9-LT9-LU9)*(1-Inputs!$B$19)</f>
        <v>0.00348535759205702</v>
      </c>
      <c r="LW9" s="15" t="n">
        <f aca="false">(LP9+LQ9+LR9+LT9+LU9+LV9)*(1+Inputs!$B$27)</f>
        <v>0.307333080698197</v>
      </c>
      <c r="LX9" s="15" t="n">
        <f aca="false">Inputs!$B$52/(1-LW9-G9)</f>
        <v>213700.519727554</v>
      </c>
      <c r="LY9" s="15" t="n">
        <f aca="false">LX9/Inputs!$B$34</f>
        <v>356.167532879257</v>
      </c>
      <c r="LZ9" s="15" t="n">
        <f aca="false">B9^2/LY9</f>
        <v>11.5002060038655</v>
      </c>
      <c r="MA9" s="15" t="n">
        <f aca="false">Inputs!$B$54*H9/(Inputs!$B$35*F9+E9*H9^2/(PI()*LZ9*Inputs!$B$36))</f>
        <v>19.6984771051476</v>
      </c>
      <c r="MB9" s="15" t="n">
        <f aca="false">EXP(-Inputs!$B$11*Inputs!$B$14*Inputs!$B$17/(Inputs!$B$51*MA9*Inputs!$B$16))</f>
        <v>0.75759585506427</v>
      </c>
      <c r="MC9" s="15" t="n">
        <f aca="false">Inputs!$B$50*Inputs!$B$18*MB9*Inputs!$B$19</f>
        <v>0.740265266071006</v>
      </c>
      <c r="MD9" s="15" t="n">
        <f aca="false">1-MC9</f>
        <v>0.259734733928994</v>
      </c>
      <c r="ME9" s="15" t="n">
        <f aca="false">Inputs!$B$20*MD9</f>
        <v>0.00779204201786982</v>
      </c>
      <c r="MF9" s="15" t="n">
        <f aca="false">0.8*(1-Inputs!$B$50)*(MC9-ME9)</f>
        <v>0.00176424086724018</v>
      </c>
      <c r="MG9" s="15" t="n">
        <f aca="false">MC9-ME9-MF9</f>
        <v>0.730708983185896</v>
      </c>
      <c r="MH9" s="15" t="n">
        <f aca="false">MG9*(1-Inputs!$B$18*EXP(-Inputs!$B$21*Inputs!$B$14*Inputs!$B$17/(Inputs!$B$22*Inputs!$B$23*Inputs!$B$24*MA9*Inputs!$B$16))*Inputs!$B$19)</f>
        <v>0.026208775818401</v>
      </c>
      <c r="MI9" s="15" t="n">
        <f aca="false">(MG9-MH9)*(1-EXP(-Inputs!$B$25*Inputs!$B$14*Inputs!$B$17*Inputs!$B$26/(MA9*Inputs!$B$16/0.866)))</f>
        <v>0.00742868895348336</v>
      </c>
      <c r="MJ9" s="15" t="n">
        <f aca="false">(MG9-MH9-MI9)*(1-Inputs!$B$19)</f>
        <v>0.00348535759207006</v>
      </c>
      <c r="MK9" s="15" t="n">
        <f aca="false">(MD9+ME9+MF9+MH9+MI9+MJ9)*(1+Inputs!$B$27)</f>
        <v>0.307333080695593</v>
      </c>
      <c r="ML9" s="15" t="n">
        <f aca="false">Inputs!$B$52/(1-MK9-G9)</f>
        <v>213700.519723909</v>
      </c>
      <c r="MM9" s="15" t="n">
        <f aca="false">ML9/Inputs!$B$34</f>
        <v>356.167532873182</v>
      </c>
      <c r="MN9" s="15" t="n">
        <f aca="false">B9^2/MM9</f>
        <v>11.5002060040617</v>
      </c>
      <c r="MO9" s="15" t="n">
        <f aca="false">Inputs!$B$54*H9/(Inputs!$B$35*F9+E9*H9^2/(PI()*MN9*Inputs!$B$36))</f>
        <v>19.6984771052355</v>
      </c>
      <c r="MP9" s="15" t="n">
        <f aca="false">EXP(-Inputs!$B$11*Inputs!$B$14*Inputs!$B$17/(Inputs!$B$51*MO9*Inputs!$B$16))</f>
        <v>0.757595855065209</v>
      </c>
      <c r="MQ9" s="15" t="n">
        <f aca="false">Inputs!$B$50*Inputs!$B$18*MP9*Inputs!$B$19</f>
        <v>0.740265266071924</v>
      </c>
      <c r="MR9" s="15" t="n">
        <f aca="false">1-MQ9</f>
        <v>0.259734733928076</v>
      </c>
      <c r="MS9" s="15" t="n">
        <f aca="false">Inputs!$B$20*MR9</f>
        <v>0.00779204201784229</v>
      </c>
      <c r="MT9" s="15" t="n">
        <f aca="false">0.8*(1-Inputs!$B$50)*(MQ9-MS9)</f>
        <v>0.00176424086724245</v>
      </c>
      <c r="MU9" s="15" t="n">
        <f aca="false">MQ9-MS9-MT9</f>
        <v>0.730708983186839</v>
      </c>
      <c r="MV9" s="15" t="n">
        <f aca="false">MU9*(1-Inputs!$B$18*EXP(-Inputs!$B$21*Inputs!$B$14*Inputs!$B$17/(Inputs!$B$22*Inputs!$B$23*Inputs!$B$24*MO9*Inputs!$B$16))*Inputs!$B$19)</f>
        <v>0.0262087758183833</v>
      </c>
      <c r="MW9" s="15" t="n">
        <f aca="false">(MU9-MV9)*(1-EXP(-Inputs!$B$25*Inputs!$B$14*Inputs!$B$17*Inputs!$B$26/(MO9*Inputs!$B$16/0.866)))</f>
        <v>0.00742868895346048</v>
      </c>
      <c r="MX9" s="15" t="n">
        <f aca="false">(MU9-MV9-MW9)*(1-Inputs!$B$19)</f>
        <v>0.00348535759207498</v>
      </c>
      <c r="MY9" s="15" t="n">
        <f aca="false">(MR9+MS9+MT9+MV9+MW9+MX9)*(1+Inputs!$B$27)</f>
        <v>0.307333080694611</v>
      </c>
      <c r="MZ9" s="15" t="n">
        <f aca="false">Inputs!$B$52/(1-MY9-G9)</f>
        <v>213700.519722536</v>
      </c>
      <c r="NA9" s="15" t="n">
        <f aca="false">MZ9/Inputs!$B$34</f>
        <v>356.167532870893</v>
      </c>
      <c r="NB9" s="15" t="n">
        <f aca="false">B9^2/NA9</f>
        <v>11.5002060041356</v>
      </c>
      <c r="NC9" s="15" t="n">
        <f aca="false">Inputs!$B$54*H9/(Inputs!$B$35*F9+E9*H9^2/(PI()*NB9*Inputs!$B$36))</f>
        <v>19.6984771052687</v>
      </c>
      <c r="ND9" s="15" t="n">
        <f aca="false">EXP(-Inputs!$B$11*Inputs!$B$14*Inputs!$B$17/(Inputs!$B$51*NC9*Inputs!$B$16))</f>
        <v>0.757595855065563</v>
      </c>
      <c r="NE9" s="15" t="n">
        <f aca="false">Inputs!$B$50*Inputs!$B$18*ND9*Inputs!$B$19</f>
        <v>0.740265266072269</v>
      </c>
      <c r="NF9" s="15" t="n">
        <f aca="false">1-NE9</f>
        <v>0.259734733927731</v>
      </c>
      <c r="NG9" s="15" t="n">
        <f aca="false">Inputs!$B$20*NF9</f>
        <v>0.00779204201783192</v>
      </c>
      <c r="NH9" s="15" t="n">
        <f aca="false">0.8*(1-Inputs!$B$50)*(NE9-NG9)</f>
        <v>0.00176424086724331</v>
      </c>
      <c r="NI9" s="15" t="n">
        <f aca="false">NE9-NG9-NH9</f>
        <v>0.730708983187194</v>
      </c>
      <c r="NJ9" s="15" t="n">
        <f aca="false">NI9*(1-Inputs!$B$18*EXP(-Inputs!$B$21*Inputs!$B$14*Inputs!$B$17/(Inputs!$B$22*Inputs!$B$23*Inputs!$B$24*NC9*Inputs!$B$16))*Inputs!$B$19)</f>
        <v>0.0262087758183766</v>
      </c>
      <c r="NK9" s="15" t="n">
        <f aca="false">(NI9-NJ9)*(1-EXP(-Inputs!$B$25*Inputs!$B$14*Inputs!$B$17*Inputs!$B$26/(NC9*Inputs!$B$16/0.866)))</f>
        <v>0.00742868895345186</v>
      </c>
      <c r="NL9" s="15" t="n">
        <f aca="false">(NI9-NJ9-NK9)*(1-Inputs!$B$19)</f>
        <v>0.00348535759207683</v>
      </c>
      <c r="NM9" s="15" t="n">
        <f aca="false">(NF9+NG9+NH9+NJ9+NK9+NL9)*(1+Inputs!$B$27)</f>
        <v>0.307333080694241</v>
      </c>
      <c r="NN9" s="15" t="n">
        <f aca="false">Inputs!$B$52/(1-NM9-G9)</f>
        <v>213700.519722018</v>
      </c>
    </row>
    <row r="10" customFormat="false" ht="15" hidden="false" customHeight="false" outlineLevel="0" collapsed="false">
      <c r="A10" s="34" t="n">
        <v>0.025</v>
      </c>
      <c r="B10" s="21" t="n">
        <f aca="false">$B$3</f>
        <v>64</v>
      </c>
      <c r="C10" s="22" t="n">
        <f aca="false">$D$3</f>
        <v>0.15</v>
      </c>
      <c r="D10" s="23" t="n">
        <f aca="false">B10*C10</f>
        <v>9.6</v>
      </c>
      <c r="E10" s="24" t="n">
        <f aca="false">IF(C10=0,1,(1+0.45*C10)/(1.04+2.81*C10))</f>
        <v>0.73041395826206</v>
      </c>
      <c r="F10" s="24" t="n">
        <f aca="false">1+Inputs!$B$42*D10</f>
        <v>1.048</v>
      </c>
      <c r="G10" s="25" t="n">
        <f aca="false">Inputs!$B$31+Inputs!$B$43*($B$3/Inputs!$B$32-1)+0.025</f>
        <v>0.545</v>
      </c>
      <c r="H10" s="22" t="n">
        <f aca="false">Inputs!$B$38</f>
        <v>0.5</v>
      </c>
      <c r="I10" s="23" t="n">
        <f aca="false">Inputs!$B$40</f>
        <v>2.4</v>
      </c>
      <c r="J10" s="26" t="n">
        <f aca="false">NN10/Inputs!$B$34</f>
        <v>376.647612625892</v>
      </c>
      <c r="K10" s="23" t="n">
        <f aca="false">B10^2/J10</f>
        <v>10.8748863996342</v>
      </c>
      <c r="L10" s="23" t="n">
        <f aca="false">2*K10</f>
        <v>21.7497727992684</v>
      </c>
      <c r="M10" s="22" t="n">
        <f aca="false">NC10</f>
        <v>19.4063580838986</v>
      </c>
      <c r="N10" s="23" t="n">
        <f aca="false">B10/SQRT(E10)</f>
        <v>74.8851048120828</v>
      </c>
      <c r="O10" s="24" t="n">
        <f aca="false">NM10</f>
        <v>0.310634290043919</v>
      </c>
      <c r="P10" s="23" t="n">
        <f aca="false">NN10/1000</f>
        <v>225.988567575535</v>
      </c>
      <c r="Q10" s="23" t="n">
        <f aca="false">G10*NN10/1000</f>
        <v>123.163769328667</v>
      </c>
      <c r="R10" s="23" t="n">
        <f aca="false">NM10*NN10/1000</f>
        <v>70.1997982468686</v>
      </c>
      <c r="S10" s="23" t="n">
        <f aca="false">NM10*NN10/Inputs!$B$28/1000</f>
        <v>93.5997309958248</v>
      </c>
      <c r="T10" s="27" t="n">
        <f aca="false">R10/Sweep!$R$5-1</f>
        <v>0.123257490237078</v>
      </c>
      <c r="U10" s="27" t="n">
        <f aca="false">R10/SUMIFS(Sweep!$R:$R,Sweep!$A:$A,"Conventional",Sweep!$B:$B,B10)-1</f>
        <v>0.123257490236707</v>
      </c>
      <c r="V10" s="26" t="n">
        <f aca="false">2*0.54*(J10/2)^1.5/SQRT(L10)*Inputs!$B$46*Inputs!$B$47</f>
        <v>55.9584709581768</v>
      </c>
      <c r="W10" s="28" t="n">
        <f aca="false">MIN(1,V10/S10)</f>
        <v>0.597848630149086</v>
      </c>
      <c r="X10" s="26" t="n">
        <f aca="false">1.23*SQRT(2*Inputs!$B$41*NN10*Inputs!$B$49/(1.225*J10*I10))/0.5144</f>
        <v>133.62967568068</v>
      </c>
      <c r="Y10" s="29" t="n">
        <f aca="false">(11000+6341.6*LN(0.36392/(2*Inputs!$B$50*Inputs!$B$18*(1+ND10)/2*Inputs!$B$34*Inputs!$B$49/((Inputs!$B$12*295.07)^2*H10))))/0.3048</f>
        <v>38608.1557257954</v>
      </c>
      <c r="Z10" s="26" t="n">
        <f aca="false">NN10-MZ10</f>
        <v>-4.05823811888695E-006</v>
      </c>
      <c r="AA10" s="30" t="str">
        <f aca="false">IF(ABS(NN10-MZ10)&lt;10,"Yes","No")</f>
        <v>Yes</v>
      </c>
      <c r="AC10" s="15" t="n">
        <f aca="false">Inputs!$B$52/(1-0.3154-G10)/Inputs!$B$34</f>
        <v>389.505730659026</v>
      </c>
      <c r="AD10" s="15" t="n">
        <f aca="false">B10^2/AC10</f>
        <v>10.5158914942529</v>
      </c>
      <c r="AE10" s="15" t="n">
        <f aca="false">Inputs!$B$54*H10/(Inputs!$B$35*F10+E10*H10^2/(PI()*AD10*Inputs!$B$36))</f>
        <v>19.2273419395469</v>
      </c>
      <c r="AF10" s="15" t="n">
        <f aca="false">EXP(-Inputs!$B$11*Inputs!$B$14*Inputs!$B$17/(Inputs!$B$51*AE10*Inputs!$B$16))</f>
        <v>0.752459970968669</v>
      </c>
      <c r="AG10" s="15" t="n">
        <f aca="false">Inputs!$B$50*Inputs!$B$18*AF10*Inputs!$B$19</f>
        <v>0.735246869281839</v>
      </c>
      <c r="AH10" s="15" t="n">
        <f aca="false">1-AG10</f>
        <v>0.264753130718161</v>
      </c>
      <c r="AI10" s="15" t="n">
        <f aca="false">Inputs!$B$20*AH10</f>
        <v>0.00794259392154482</v>
      </c>
      <c r="AJ10" s="15" t="n">
        <f aca="false">0.8*(1-Inputs!$B$50)*(AG10-AI10)</f>
        <v>0.00175179089606701</v>
      </c>
      <c r="AK10" s="15" t="n">
        <f aca="false">AG10-AI10-AJ10</f>
        <v>0.725552484464228</v>
      </c>
      <c r="AL10" s="15" t="n">
        <f aca="false">AK10*(1-Inputs!$B$18*EXP(-Inputs!$B$21*Inputs!$B$14*Inputs!$B$17/(Inputs!$B$22*Inputs!$B$23*Inputs!$B$24*AE10*Inputs!$B$16))*Inputs!$B$19)</f>
        <v>0.0263048856998369</v>
      </c>
      <c r="AM10" s="15" t="n">
        <f aca="false">(AK10-AL10)*(1-EXP(-Inputs!$B$25*Inputs!$B$14*Inputs!$B$17*Inputs!$B$26/(AE10*Inputs!$B$16/0.866)))</f>
        <v>0.00755299385914747</v>
      </c>
      <c r="AN10" s="15" t="n">
        <f aca="false">(AK10-AL10-AM10)*(1-Inputs!$B$19)</f>
        <v>0.00345847302452622</v>
      </c>
      <c r="AO10" s="15" t="n">
        <f aca="false">(AH10+AI10+AJ10+AL10+AM10+AN10)*(1+Inputs!$B$27)</f>
        <v>0.312699159723641</v>
      </c>
      <c r="AP10" s="15" t="n">
        <f aca="false">Inputs!$B$52/(1-AO10-G10)</f>
        <v>229267.795865715</v>
      </c>
      <c r="AQ10" s="15" t="n">
        <f aca="false">AP10/Inputs!$B$34</f>
        <v>382.112993109525</v>
      </c>
      <c r="AR10" s="15" t="n">
        <f aca="false">B10^2/AQ10</f>
        <v>10.7193423774155</v>
      </c>
      <c r="AS10" s="15" t="n">
        <f aca="false">Inputs!$B$54*H10/(Inputs!$B$35*F10+E10*H10^2/(PI()*AR10*Inputs!$B$36))</f>
        <v>19.3298610362357</v>
      </c>
      <c r="AT10" s="15" t="n">
        <f aca="false">EXP(-Inputs!$B$11*Inputs!$B$14*Inputs!$B$17/(Inputs!$B$51*AS10*Inputs!$B$16))</f>
        <v>0.753595839424579</v>
      </c>
      <c r="AU10" s="15" t="n">
        <f aca="false">Inputs!$B$50*Inputs!$B$18*AT10*Inputs!$B$19</f>
        <v>0.736356753871513</v>
      </c>
      <c r="AV10" s="15" t="n">
        <f aca="false">1-AU10</f>
        <v>0.263643246128487</v>
      </c>
      <c r="AW10" s="15" t="n">
        <f aca="false">Inputs!$B$20*AV10</f>
        <v>0.00790929738385462</v>
      </c>
      <c r="AX10" s="15" t="n">
        <f aca="false">0.8*(1-Inputs!$B$50)*(AU10-AW10)</f>
        <v>0.00175454437127583</v>
      </c>
      <c r="AY10" s="15" t="n">
        <f aca="false">AU10-AW10-AX10</f>
        <v>0.726692912116382</v>
      </c>
      <c r="AZ10" s="15" t="n">
        <f aca="false">AY10*(1-Inputs!$B$18*EXP(-Inputs!$B$21*Inputs!$B$14*Inputs!$B$17/(Inputs!$B$22*Inputs!$B$23*Inputs!$B$24*AS10*Inputs!$B$16))*Inputs!$B$19)</f>
        <v>0.0262838184377659</v>
      </c>
      <c r="BA10" s="15" t="n">
        <f aca="false">(AY10-AZ10)*(1-EXP(-Inputs!$B$25*Inputs!$B$14*Inputs!$B$17*Inputs!$B$26/(AS10*Inputs!$B$16/0.866)))</f>
        <v>0.00752563112222469</v>
      </c>
      <c r="BB10" s="15" t="n">
        <f aca="false">(AY10-AZ10-BA10)*(1-Inputs!$B$19)</f>
        <v>0.00346441731278196</v>
      </c>
      <c r="BC10" s="15" t="n">
        <f aca="false">(AV10+AW10+AX10+AZ10+BA10+BB10)*(1+Inputs!$B$27)</f>
        <v>0.31151269762066</v>
      </c>
      <c r="BD10" s="15" t="n">
        <f aca="false">Inputs!$B$52/(1-BC10-G10)</f>
        <v>227372.035427557</v>
      </c>
      <c r="BE10" s="15" t="n">
        <f aca="false">BD10/Inputs!$B$34</f>
        <v>378.953392379262</v>
      </c>
      <c r="BF10" s="15" t="n">
        <f aca="false">B10^2/BE10</f>
        <v>10.8087170675086</v>
      </c>
      <c r="BG10" s="15" t="n">
        <f aca="false">Inputs!$B$54*H10/(Inputs!$B$35*F10+E10*H10^2/(PI()*BF10*Inputs!$B$36))</f>
        <v>19.3740111659332</v>
      </c>
      <c r="BH10" s="15" t="n">
        <f aca="false">EXP(-Inputs!$B$11*Inputs!$B$14*Inputs!$B$17/(Inputs!$B$51*BG10*Inputs!$B$16))</f>
        <v>0.754081823969264</v>
      </c>
      <c r="BI10" s="15" t="n">
        <f aca="false">Inputs!$B$50*Inputs!$B$18*BH10*Inputs!$B$19</f>
        <v>0.736831621145235</v>
      </c>
      <c r="BJ10" s="15" t="n">
        <f aca="false">1-BI10</f>
        <v>0.263168378854765</v>
      </c>
      <c r="BK10" s="15" t="n">
        <f aca="false">Inputs!$B$20*BJ10</f>
        <v>0.00789505136564295</v>
      </c>
      <c r="BL10" s="15" t="n">
        <f aca="false">0.8*(1-Inputs!$B$50)*(BI10-BK10)</f>
        <v>0.00175572245346368</v>
      </c>
      <c r="BM10" s="15" t="n">
        <f aca="false">BI10-BK10-BL10</f>
        <v>0.727180847326128</v>
      </c>
      <c r="BN10" s="15" t="n">
        <f aca="false">BM10*(1-Inputs!$B$18*EXP(-Inputs!$B$21*Inputs!$B$14*Inputs!$B$17/(Inputs!$B$22*Inputs!$B$23*Inputs!$B$24*BG10*Inputs!$B$16))*Inputs!$B$19)</f>
        <v>0.0262747719641717</v>
      </c>
      <c r="BO10" s="15" t="n">
        <f aca="false">(BM10-BN10)*(1-EXP(-Inputs!$B$25*Inputs!$B$14*Inputs!$B$17*Inputs!$B$26/(BG10*Inputs!$B$16/0.866)))</f>
        <v>0.00751390150041763</v>
      </c>
      <c r="BP10" s="15" t="n">
        <f aca="false">(BM10-BN10-BO10)*(1-Inputs!$B$19)</f>
        <v>0.0034669608693077</v>
      </c>
      <c r="BQ10" s="15" t="n">
        <f aca="false">(BJ10+BK10+BL10+BN10+BO10+BP10)*(1+Inputs!$B$27)</f>
        <v>0.311005011368792</v>
      </c>
      <c r="BR10" s="15" t="n">
        <f aca="false">Inputs!$B$52/(1-BQ10-G10)</f>
        <v>226570.384914973</v>
      </c>
      <c r="BS10" s="15" t="n">
        <f aca="false">BR10/Inputs!$B$34</f>
        <v>377.617308191622</v>
      </c>
      <c r="BT10" s="15" t="n">
        <f aca="false">B10^2/BS10</f>
        <v>10.8469604309596</v>
      </c>
      <c r="BU10" s="15" t="n">
        <f aca="false">Inputs!$B$54*H10/(Inputs!$B$35*F10+E10*H10^2/(PI()*BT10*Inputs!$B$36))</f>
        <v>19.3927414376481</v>
      </c>
      <c r="BV10" s="15" t="n">
        <f aca="false">EXP(-Inputs!$B$11*Inputs!$B$14*Inputs!$B$17/(Inputs!$B$51*BU10*Inputs!$B$16))</f>
        <v>0.754287424039159</v>
      </c>
      <c r="BW10" s="15" t="n">
        <f aca="false">Inputs!$B$50*Inputs!$B$18*BV10*Inputs!$B$19</f>
        <v>0.737032517955094</v>
      </c>
      <c r="BX10" s="15" t="n">
        <f aca="false">1-BW10</f>
        <v>0.262967482044906</v>
      </c>
      <c r="BY10" s="15" t="n">
        <f aca="false">Inputs!$B$20*BX10</f>
        <v>0.00788902446134719</v>
      </c>
      <c r="BZ10" s="15" t="n">
        <f aca="false">0.8*(1-Inputs!$B$50)*(BW10-BY10)</f>
        <v>0.00175622085157699</v>
      </c>
      <c r="CA10" s="15" t="n">
        <f aca="false">BW10-BY10-BZ10</f>
        <v>0.72738727264217</v>
      </c>
      <c r="CB10" s="15" t="n">
        <f aca="false">CA10*(1-Inputs!$B$18*EXP(-Inputs!$B$21*Inputs!$B$14*Inputs!$B$17/(Inputs!$B$22*Inputs!$B$23*Inputs!$B$24*BU10*Inputs!$B$16))*Inputs!$B$19)</f>
        <v>0.0262709388634677</v>
      </c>
      <c r="CC10" s="15" t="n">
        <f aca="false">(CA10-CB10)*(1-EXP(-Inputs!$B$25*Inputs!$B$14*Inputs!$B$17*Inputs!$B$26/(BU10*Inputs!$B$16/0.866)))</f>
        <v>0.00750893514236482</v>
      </c>
      <c r="CD10" s="15" t="n">
        <f aca="false">(CA10-CB10-CC10)*(1-Inputs!$B$19)</f>
        <v>0.00346803699318169</v>
      </c>
      <c r="CE10" s="15" t="n">
        <f aca="false">(BX10+BY10+BZ10+CB10+CC10+CD10)*(1+Inputs!$B$27)</f>
        <v>0.310790220271915</v>
      </c>
      <c r="CF10" s="15" t="n">
        <f aca="false">Inputs!$B$52/(1-CE10-G10)</f>
        <v>226232.92304805</v>
      </c>
      <c r="CG10" s="15" t="n">
        <f aca="false">CF10/Inputs!$B$34</f>
        <v>377.05487174675</v>
      </c>
      <c r="CH10" s="15" t="n">
        <f aca="false">B10^2/CG10</f>
        <v>10.8631403727124</v>
      </c>
      <c r="CI10" s="15" t="n">
        <f aca="false">Inputs!$B$54*H10/(Inputs!$B$35*F10+E10*H10^2/(PI()*CH10*Inputs!$B$36))</f>
        <v>19.4006369469716</v>
      </c>
      <c r="CJ10" s="15" t="n">
        <f aca="false">EXP(-Inputs!$B$11*Inputs!$B$14*Inputs!$B$17/(Inputs!$B$51*CI10*Inputs!$B$16))</f>
        <v>0.754373989970052</v>
      </c>
      <c r="CK10" s="15" t="n">
        <f aca="false">Inputs!$B$50*Inputs!$B$18*CJ10*Inputs!$B$19</f>
        <v>0.73711710362361</v>
      </c>
      <c r="CL10" s="15" t="n">
        <f aca="false">1-CK10</f>
        <v>0.26288289637639</v>
      </c>
      <c r="CM10" s="15" t="n">
        <f aca="false">Inputs!$B$20*CL10</f>
        <v>0.0078864868912917</v>
      </c>
      <c r="CN10" s="15" t="n">
        <f aca="false">0.8*(1-Inputs!$B$50)*(CK10-CM10)</f>
        <v>0.0017564306973064</v>
      </c>
      <c r="CO10" s="15" t="n">
        <f aca="false">CK10-CM10-CN10</f>
        <v>0.727474186035012</v>
      </c>
      <c r="CP10" s="15" t="n">
        <f aca="false">CO10*(1-Inputs!$B$18*EXP(-Inputs!$B$21*Inputs!$B$14*Inputs!$B$17/(Inputs!$B$22*Inputs!$B$23*Inputs!$B$24*CI10*Inputs!$B$16))*Inputs!$B$19)</f>
        <v>0.026269323922457</v>
      </c>
      <c r="CQ10" s="15" t="n">
        <f aca="false">(CO10-CP10)*(1-EXP(-Inputs!$B$25*Inputs!$B$14*Inputs!$B$17*Inputs!$B$26/(CI10*Inputs!$B$16/0.866)))</f>
        <v>0.00750684338714471</v>
      </c>
      <c r="CR10" s="15" t="n">
        <f aca="false">(CO10-CP10-CQ10)*(1-Inputs!$B$19)</f>
        <v>0.00346849009362705</v>
      </c>
      <c r="CS10" s="15" t="n">
        <f aca="false">(CL10+CM10+CN10+CP10+CQ10+CR10)*(1+Inputs!$B$27)</f>
        <v>0.310699782782322</v>
      </c>
      <c r="CT10" s="15" t="n">
        <f aca="false">Inputs!$B$52/(1-CS10-G10)</f>
        <v>226091.135751964</v>
      </c>
      <c r="CU10" s="15" t="n">
        <f aca="false">CT10/Inputs!$B$34</f>
        <v>376.818559586606</v>
      </c>
      <c r="CV10" s="15" t="n">
        <f aca="false">B10^2/CU10</f>
        <v>10.8699529144572</v>
      </c>
      <c r="CW10" s="15" t="n">
        <f aca="false">Inputs!$B$54*H10/(Inputs!$B$35*F10+E10*H10^2/(PI()*CV10*Inputs!$B$36))</f>
        <v>19.4039562266385</v>
      </c>
      <c r="CX10" s="15" t="n">
        <f aca="false">EXP(-Inputs!$B$11*Inputs!$B$14*Inputs!$B$17/(Inputs!$B$51*CW10*Inputs!$B$16))</f>
        <v>0.754410364300572</v>
      </c>
      <c r="CY10" s="15" t="n">
        <f aca="false">Inputs!$B$50*Inputs!$B$18*CX10*Inputs!$B$19</f>
        <v>0.737152645863289</v>
      </c>
      <c r="CZ10" s="15" t="n">
        <f aca="false">1-CY10</f>
        <v>0.262847354136711</v>
      </c>
      <c r="DA10" s="15" t="n">
        <f aca="false">Inputs!$B$20*CZ10</f>
        <v>0.00788542062410134</v>
      </c>
      <c r="DB10" s="15" t="n">
        <f aca="false">0.8*(1-Inputs!$B$50)*(CY10-DA10)</f>
        <v>0.00175651887284891</v>
      </c>
      <c r="DC10" s="15" t="n">
        <f aca="false">CY10-DA10-DB10</f>
        <v>0.727510706366338</v>
      </c>
      <c r="DD10" s="15" t="n">
        <f aca="false">DC10*(1-Inputs!$B$18*EXP(-Inputs!$B$21*Inputs!$B$14*Inputs!$B$17/(Inputs!$B$22*Inputs!$B$23*Inputs!$B$24*CW10*Inputs!$B$16))*Inputs!$B$19)</f>
        <v>0.0262686451510352</v>
      </c>
      <c r="DE10" s="15" t="n">
        <f aca="false">(DC10-DD10)*(1-EXP(-Inputs!$B$25*Inputs!$B$14*Inputs!$B$17*Inputs!$B$26/(CW10*Inputs!$B$16/0.866)))</f>
        <v>0.00750596432095189</v>
      </c>
      <c r="DF10" s="15" t="n">
        <f aca="false">(DC10-DD10-DE10)*(1-Inputs!$B$19)</f>
        <v>0.00346868048447176</v>
      </c>
      <c r="DG10" s="15" t="n">
        <f aca="false">(CZ10+DA10+DB10+DD10+DE10+DF10)*(1+Inputs!$B$27)</f>
        <v>0.310661781340891</v>
      </c>
      <c r="DH10" s="15" t="n">
        <f aca="false">Inputs!$B$52/(1-DG10-G10)</f>
        <v>226031.610359915</v>
      </c>
      <c r="DI10" s="15" t="n">
        <f aca="false">DH10/Inputs!$B$34</f>
        <v>376.719350599859</v>
      </c>
      <c r="DJ10" s="15" t="n">
        <f aca="false">B10^2/DI10</f>
        <v>10.8728155149924</v>
      </c>
      <c r="DK10" s="15" t="n">
        <f aca="false">Inputs!$B$54*H10/(Inputs!$B$35*F10+E10*H10^2/(PI()*DJ10*Inputs!$B$36))</f>
        <v>19.4053500710004</v>
      </c>
      <c r="DL10" s="15" t="n">
        <f aca="false">EXP(-Inputs!$B$11*Inputs!$B$14*Inputs!$B$17/(Inputs!$B$51*DK10*Inputs!$B$16))</f>
        <v>0.754425635558712</v>
      </c>
      <c r="DM10" s="15" t="n">
        <f aca="false">Inputs!$B$50*Inputs!$B$18*DL10*Inputs!$B$19</f>
        <v>0.737167567779631</v>
      </c>
      <c r="DN10" s="15" t="n">
        <f aca="false">1-DM10</f>
        <v>0.262832432220369</v>
      </c>
      <c r="DO10" s="15" t="n">
        <f aca="false">Inputs!$B$20*DN10</f>
        <v>0.00788497296661108</v>
      </c>
      <c r="DP10" s="15" t="n">
        <f aca="false">0.8*(1-Inputs!$B$50)*(DM10-DO10)</f>
        <v>0.0017565558921274</v>
      </c>
      <c r="DQ10" s="15" t="n">
        <f aca="false">DM10-DO10-DP10</f>
        <v>0.727526038920892</v>
      </c>
      <c r="DR10" s="15" t="n">
        <f aca="false">DQ10*(1-Inputs!$B$18*EXP(-Inputs!$B$21*Inputs!$B$14*Inputs!$B$17/(Inputs!$B$22*Inputs!$B$23*Inputs!$B$24*DK10*Inputs!$B$16))*Inputs!$B$19)</f>
        <v>0.0262683601455057</v>
      </c>
      <c r="DS10" s="15" t="n">
        <f aca="false">(DQ10-DR10)*(1-EXP(-Inputs!$B$25*Inputs!$B$14*Inputs!$B$17*Inputs!$B$26/(DK10*Inputs!$B$16/0.866)))</f>
        <v>0.00750559523481924</v>
      </c>
      <c r="DT10" s="15" t="n">
        <f aca="false">(DQ10-DR10-DS10)*(1-Inputs!$B$19)</f>
        <v>0.00346876041770284</v>
      </c>
      <c r="DU10" s="15" t="n">
        <f aca="false">(DN10+DO10+DP10+DR10+DS10+DT10)*(1+Inputs!$B$27)</f>
        <v>0.310645826907767</v>
      </c>
      <c r="DV10" s="15" t="n">
        <f aca="false">Inputs!$B$52/(1-DU10-G10)</f>
        <v>226006.62870449</v>
      </c>
      <c r="DW10" s="15" t="n">
        <f aca="false">DV10/Inputs!$B$34</f>
        <v>376.677714507483</v>
      </c>
      <c r="DX10" s="15" t="n">
        <f aca="false">B10^2/DW10</f>
        <v>10.8740173422673</v>
      </c>
      <c r="DY10" s="15" t="n">
        <f aca="false">Inputs!$B$54*H10/(Inputs!$B$35*F10+E10*H10^2/(PI()*DX10*Inputs!$B$36))</f>
        <v>19.4059351001698</v>
      </c>
      <c r="DZ10" s="15" t="n">
        <f aca="false">EXP(-Inputs!$B$11*Inputs!$B$14*Inputs!$B$17/(Inputs!$B$51*DY10*Inputs!$B$16))</f>
        <v>0.754432044702397</v>
      </c>
      <c r="EA10" s="15" t="n">
        <f aca="false">Inputs!$B$50*Inputs!$B$18*DZ10*Inputs!$B$19</f>
        <v>0.737173830309215</v>
      </c>
      <c r="EB10" s="15" t="n">
        <f aca="false">1-EA10</f>
        <v>0.262826169690785</v>
      </c>
      <c r="EC10" s="15" t="n">
        <f aca="false">Inputs!$B$20*EB10</f>
        <v>0.00788478509072354</v>
      </c>
      <c r="ED10" s="15" t="n">
        <f aca="false">0.8*(1-Inputs!$B$50)*(EA10-EC10)</f>
        <v>0.00175657142862562</v>
      </c>
      <c r="EE10" s="15" t="n">
        <f aca="false">EA10-EC10-ED10</f>
        <v>0.727532473789866</v>
      </c>
      <c r="EF10" s="15" t="n">
        <f aca="false">EE10*(1-Inputs!$B$18*EXP(-Inputs!$B$21*Inputs!$B$14*Inputs!$B$17/(Inputs!$B$22*Inputs!$B$23*Inputs!$B$24*DY10*Inputs!$B$16))*Inputs!$B$19)</f>
        <v>0.026268240526708</v>
      </c>
      <c r="EG10" s="15" t="n">
        <f aca="false">(EE10-EF10)*(1-EXP(-Inputs!$B$25*Inputs!$B$14*Inputs!$B$17*Inputs!$B$26/(DY10*Inputs!$B$16/0.866)))</f>
        <v>0.00750544033034058</v>
      </c>
      <c r="EH10" s="15" t="n">
        <f aca="false">(EE10-EF10-EG10)*(1-Inputs!$B$19)</f>
        <v>0.00346879396466409</v>
      </c>
      <c r="EI10" s="15" t="n">
        <f aca="false">(EB10+EC10+ED10+EF10+EG10+EH10)*(1+Inputs!$B$27)</f>
        <v>0.310639131034942</v>
      </c>
      <c r="EJ10" s="15" t="n">
        <f aca="false">Inputs!$B$52/(1-EI10-G10)</f>
        <v>225996.14586621</v>
      </c>
      <c r="EK10" s="15" t="n">
        <f aca="false">EJ10/Inputs!$B$34</f>
        <v>376.66024311035</v>
      </c>
      <c r="EL10" s="15" t="n">
        <f aca="false">B10^2/EK10</f>
        <v>10.8745217339012</v>
      </c>
      <c r="EM10" s="15" t="n">
        <f aca="false">Inputs!$B$54*H10/(Inputs!$B$35*F10+E10*H10^2/(PI()*EL10*Inputs!$B$36))</f>
        <v>19.4061806014605</v>
      </c>
      <c r="EN10" s="15" t="n">
        <f aca="false">EXP(-Inputs!$B$11*Inputs!$B$14*Inputs!$B$17/(Inputs!$B$51*EM10*Inputs!$B$16))</f>
        <v>0.754434734132732</v>
      </c>
      <c r="EO10" s="15" t="n">
        <f aca="false">Inputs!$B$50*Inputs!$B$18*EN10*Inputs!$B$19</f>
        <v>0.737176458216758</v>
      </c>
      <c r="EP10" s="15" t="n">
        <f aca="false">1-EO10</f>
        <v>0.262823541783242</v>
      </c>
      <c r="EQ10" s="15" t="n">
        <f aca="false">Inputs!$B$20*EP10</f>
        <v>0.00788470625349725</v>
      </c>
      <c r="ER10" s="15" t="n">
        <f aca="false">0.8*(1-Inputs!$B$50)*(EO10-EQ10)</f>
        <v>0.00175657794811273</v>
      </c>
      <c r="ES10" s="15" t="n">
        <f aca="false">EO10-EQ10-ER10</f>
        <v>0.727535174015148</v>
      </c>
      <c r="ET10" s="15" t="n">
        <f aca="false">ES10*(1-Inputs!$B$18*EXP(-Inputs!$B$21*Inputs!$B$14*Inputs!$B$17/(Inputs!$B$22*Inputs!$B$23*Inputs!$B$24*EM10*Inputs!$B$16))*Inputs!$B$19)</f>
        <v>0.0262681903307766</v>
      </c>
      <c r="EU10" s="15" t="n">
        <f aca="false">(ES10-ET10)*(1-EXP(-Inputs!$B$25*Inputs!$B$14*Inputs!$B$17*Inputs!$B$26/(EM10*Inputs!$B$16/0.866)))</f>
        <v>0.00750537532801331</v>
      </c>
      <c r="EV10" s="15" t="n">
        <f aca="false">(ES10-ET10-EU10)*(1-Inputs!$B$19)</f>
        <v>0.0034688080417818</v>
      </c>
      <c r="EW10" s="15" t="n">
        <f aca="false">(EP10+EQ10+ER10+ET10+EU10+EV10)*(1+Inputs!$B$27)</f>
        <v>0.31063632128448</v>
      </c>
      <c r="EX10" s="15" t="n">
        <f aca="false">Inputs!$B$52/(1-EW10-G10)</f>
        <v>225991.747302935</v>
      </c>
      <c r="EY10" s="15" t="n">
        <f aca="false">EX10/Inputs!$B$34</f>
        <v>376.652912171559</v>
      </c>
      <c r="EZ10" s="15" t="n">
        <f aca="false">B10^2/EY10</f>
        <v>10.874733388851</v>
      </c>
      <c r="FA10" s="15" t="n">
        <f aca="false">Inputs!$B$54*H10/(Inputs!$B$35*F10+E10*H10^2/(PI()*EZ10*Inputs!$B$36))</f>
        <v>19.4062836148167</v>
      </c>
      <c r="FB10" s="15" t="n">
        <f aca="false">EXP(-Inputs!$B$11*Inputs!$B$14*Inputs!$B$17/(Inputs!$B$51*FA10*Inputs!$B$16))</f>
        <v>0.754435862611405</v>
      </c>
      <c r="FC10" s="15" t="n">
        <f aca="false">Inputs!$B$50*Inputs!$B$18*FB10*Inputs!$B$19</f>
        <v>0.737177560880612</v>
      </c>
      <c r="FD10" s="15" t="n">
        <f aca="false">1-FC10</f>
        <v>0.262822439119388</v>
      </c>
      <c r="FE10" s="15" t="n">
        <f aca="false">Inputs!$B$20*FD10</f>
        <v>0.00788467317358164</v>
      </c>
      <c r="FF10" s="15" t="n">
        <f aca="false">0.8*(1-Inputs!$B$50)*(FC10-FE10)</f>
        <v>0.00175658068367426</v>
      </c>
      <c r="FG10" s="15" t="n">
        <f aca="false">FC10-FE10-FF10</f>
        <v>0.727536307023356</v>
      </c>
      <c r="FH10" s="15" t="n">
        <f aca="false">FG10*(1-Inputs!$B$18*EXP(-Inputs!$B$21*Inputs!$B$14*Inputs!$B$17/(Inputs!$B$22*Inputs!$B$23*Inputs!$B$24*FA10*Inputs!$B$16))*Inputs!$B$19)</f>
        <v>0.0262681692685022</v>
      </c>
      <c r="FI10" s="15" t="n">
        <f aca="false">(FG10-FH10)*(1-EXP(-Inputs!$B$25*Inputs!$B$14*Inputs!$B$17*Inputs!$B$26/(FA10*Inputs!$B$16/0.866)))</f>
        <v>0.0075053480530667</v>
      </c>
      <c r="FJ10" s="15" t="n">
        <f aca="false">(FG10-FH10-FI10)*(1-Inputs!$B$19)</f>
        <v>0.00346881394850894</v>
      </c>
      <c r="FK10" s="15" t="n">
        <f aca="false">(FD10+FE10+FF10+FH10+FI10+FJ10)*(1+Inputs!$B$27)</f>
        <v>0.310635142319462</v>
      </c>
      <c r="FL10" s="15" t="n">
        <f aca="false">Inputs!$B$52/(1-FK10-G10)</f>
        <v>225989.901726604</v>
      </c>
      <c r="FM10" s="15" t="n">
        <f aca="false">FL10/Inputs!$B$34</f>
        <v>376.649836211007</v>
      </c>
      <c r="FN10" s="15" t="n">
        <f aca="false">B10^2/FM10</f>
        <v>10.8748221987951</v>
      </c>
      <c r="FO10" s="15" t="n">
        <f aca="false">Inputs!$B$54*H10/(Inputs!$B$35*F10+E10*H10^2/(PI()*FN10*Inputs!$B$36))</f>
        <v>19.4063268381223</v>
      </c>
      <c r="FP10" s="15" t="n">
        <f aca="false">EXP(-Inputs!$B$11*Inputs!$B$14*Inputs!$B$17/(Inputs!$B$51*FO10*Inputs!$B$16))</f>
        <v>0.754436336105955</v>
      </c>
      <c r="FQ10" s="15" t="n">
        <f aca="false">Inputs!$B$50*Inputs!$B$18*FP10*Inputs!$B$19</f>
        <v>0.73717802354361</v>
      </c>
      <c r="FR10" s="15" t="n">
        <f aca="false">1-FQ10</f>
        <v>0.26282197645639</v>
      </c>
      <c r="FS10" s="15" t="n">
        <f aca="false">Inputs!$B$20*FR10</f>
        <v>0.0078846592936917</v>
      </c>
      <c r="FT10" s="15" t="n">
        <f aca="false">0.8*(1-Inputs!$B$50)*(FQ10-FS10)</f>
        <v>0.00175658183147927</v>
      </c>
      <c r="FU10" s="15" t="n">
        <f aca="false">FQ10-FS10-FT10</f>
        <v>0.727536782418439</v>
      </c>
      <c r="FV10" s="15" t="n">
        <f aca="false">FU10*(1-Inputs!$B$18*EXP(-Inputs!$B$21*Inputs!$B$14*Inputs!$B$17/(Inputs!$B$22*Inputs!$B$23*Inputs!$B$24*FO10*Inputs!$B$16))*Inputs!$B$19)</f>
        <v>0.0262681604310223</v>
      </c>
      <c r="FW10" s="15" t="n">
        <f aca="false">(FU10-FV10)*(1-EXP(-Inputs!$B$25*Inputs!$B$14*Inputs!$B$17*Inputs!$B$26/(FO10*Inputs!$B$16/0.866)))</f>
        <v>0.00750533660884257</v>
      </c>
      <c r="FX10" s="15" t="n">
        <f aca="false">(FU10-FV10-FW10)*(1-Inputs!$B$19)</f>
        <v>0.00346881642689287</v>
      </c>
      <c r="FY10" s="15" t="n">
        <f aca="false">(FR10+FS10+FT10+FV10+FW10+FX10)*(1+Inputs!$B$27)</f>
        <v>0.310634647641464</v>
      </c>
      <c r="FZ10" s="15" t="n">
        <f aca="false">Inputs!$B$52/(1-FY10-G10)</f>
        <v>225989.127356367</v>
      </c>
      <c r="GA10" s="15" t="n">
        <f aca="false">FZ10/Inputs!$B$34</f>
        <v>376.648545593944</v>
      </c>
      <c r="GB10" s="15" t="n">
        <f aca="false">B10^2/GA10</f>
        <v>10.8748594622633</v>
      </c>
      <c r="GC10" s="15" t="n">
        <f aca="false">Inputs!$B$54*H10/(Inputs!$B$35*F10+E10*H10^2/(PI()*GB10*Inputs!$B$36))</f>
        <v>19.406344973892</v>
      </c>
      <c r="GD10" s="15" t="n">
        <f aca="false">EXP(-Inputs!$B$11*Inputs!$B$14*Inputs!$B$17/(Inputs!$B$51*GC10*Inputs!$B$16))</f>
        <v>0.754436534775739</v>
      </c>
      <c r="GE10" s="15" t="n">
        <f aca="false">Inputs!$B$50*Inputs!$B$18*GD10*Inputs!$B$19</f>
        <v>0.737178217668669</v>
      </c>
      <c r="GF10" s="15" t="n">
        <f aca="false">1-GE10</f>
        <v>0.262821782331331</v>
      </c>
      <c r="GG10" s="15" t="n">
        <f aca="false">Inputs!$B$20*GF10</f>
        <v>0.00788465346993992</v>
      </c>
      <c r="GH10" s="15" t="n">
        <f aca="false">0.8*(1-Inputs!$B$50)*(GE10-GG10)</f>
        <v>0.00175658231307757</v>
      </c>
      <c r="GI10" s="15" t="n">
        <f aca="false">GE10-GG10-GH10</f>
        <v>0.727536981885652</v>
      </c>
      <c r="GJ10" s="15" t="n">
        <f aca="false">GI10*(1-Inputs!$B$18*EXP(-Inputs!$B$21*Inputs!$B$14*Inputs!$B$17/(Inputs!$B$22*Inputs!$B$23*Inputs!$B$24*GC10*Inputs!$B$16))*Inputs!$B$19)</f>
        <v>0.0262681567229693</v>
      </c>
      <c r="GK10" s="15" t="n">
        <f aca="false">(GI10-GJ10)*(1-EXP(-Inputs!$B$25*Inputs!$B$14*Inputs!$B$17*Inputs!$B$26/(GC10*Inputs!$B$16/0.866)))</f>
        <v>0.00750533180704849</v>
      </c>
      <c r="GL10" s="15" t="n">
        <f aca="false">(GI10-GJ10-GK10)*(1-Inputs!$B$19)</f>
        <v>0.00346881746677817</v>
      </c>
      <c r="GM10" s="15" t="n">
        <f aca="false">(GF10+GG10+GH10+GJ10+GK10+GL10)*(1+Inputs!$B$27)</f>
        <v>0.310634440083478</v>
      </c>
      <c r="GN10" s="15" t="n">
        <f aca="false">Inputs!$B$52/(1-GM10-G10)</f>
        <v>225988.80244613</v>
      </c>
      <c r="GO10" s="15" t="n">
        <f aca="false">GN10/Inputs!$B$34</f>
        <v>376.648004076884</v>
      </c>
      <c r="GP10" s="15" t="n">
        <f aca="false">B10^2/GO10</f>
        <v>10.8748750973439</v>
      </c>
      <c r="GQ10" s="15" t="n">
        <f aca="false">Inputs!$B$54*H10/(Inputs!$B$35*F10+E10*H10^2/(PI()*GP10*Inputs!$B$36))</f>
        <v>19.4063525833077</v>
      </c>
      <c r="GR10" s="15" t="n">
        <f aca="false">EXP(-Inputs!$B$11*Inputs!$B$14*Inputs!$B$17/(Inputs!$B$51*GQ10*Inputs!$B$16))</f>
        <v>0.754436618133615</v>
      </c>
      <c r="GS10" s="15" t="n">
        <f aca="false">Inputs!$B$50*Inputs!$B$18*GR10*Inputs!$B$19</f>
        <v>0.73717829911967</v>
      </c>
      <c r="GT10" s="15" t="n">
        <f aca="false">1-GS10</f>
        <v>0.26282170088033</v>
      </c>
      <c r="GU10" s="15" t="n">
        <f aca="false">Inputs!$B$20*GT10</f>
        <v>0.0078846510264099</v>
      </c>
      <c r="GV10" s="15" t="n">
        <f aca="false">0.8*(1-Inputs!$B$50)*(GS10-GU10)</f>
        <v>0.00175658251514661</v>
      </c>
      <c r="GW10" s="15" t="n">
        <f aca="false">GS10-GU10-GV10</f>
        <v>0.727537065578113</v>
      </c>
      <c r="GX10" s="15" t="n">
        <f aca="false">GW10*(1-Inputs!$B$18*EXP(-Inputs!$B$21*Inputs!$B$14*Inputs!$B$17/(Inputs!$B$22*Inputs!$B$23*Inputs!$B$24*GQ10*Inputs!$B$16))*Inputs!$B$19)</f>
        <v>0.0262681551671433</v>
      </c>
      <c r="GY10" s="15" t="n">
        <f aca="false">(GW10-GX10)*(1-EXP(-Inputs!$B$25*Inputs!$B$14*Inputs!$B$17*Inputs!$B$26/(GQ10*Inputs!$B$16/0.866)))</f>
        <v>0.00750532979231089</v>
      </c>
      <c r="GZ10" s="15" t="n">
        <f aca="false">(GW10-GX10-GY10)*(1-Inputs!$B$19)</f>
        <v>0.0034688179030933</v>
      </c>
      <c r="HA10" s="15" t="n">
        <f aca="false">(GT10+GU10+GV10+GX10+GY10+GZ10)*(1+Inputs!$B$27)</f>
        <v>0.310634352996287</v>
      </c>
      <c r="HB10" s="15" t="n">
        <f aca="false">Inputs!$B$52/(1-HA10-G10)</f>
        <v>225988.666120556</v>
      </c>
      <c r="HC10" s="15" t="n">
        <f aca="false">HB10/Inputs!$B$34</f>
        <v>376.647776867593</v>
      </c>
      <c r="HD10" s="15" t="n">
        <f aca="false">B10^2/HC10</f>
        <v>10.8748816575118</v>
      </c>
      <c r="HE10" s="15" t="n">
        <f aca="false">Inputs!$B$54*H10/(Inputs!$B$35*F10+E10*H10^2/(PI()*HD10*Inputs!$B$36))</f>
        <v>19.4063557760619</v>
      </c>
      <c r="HF10" s="15" t="n">
        <f aca="false">EXP(-Inputs!$B$11*Inputs!$B$14*Inputs!$B$17/(Inputs!$B$51*HE10*Inputs!$B$16))</f>
        <v>0.754436653108849</v>
      </c>
      <c r="HG10" s="15" t="n">
        <f aca="false">Inputs!$B$50*Inputs!$B$18*HF10*Inputs!$B$19</f>
        <v>0.737178333294818</v>
      </c>
      <c r="HH10" s="15" t="n">
        <f aca="false">1-HG10</f>
        <v>0.262821666705182</v>
      </c>
      <c r="HI10" s="15" t="n">
        <f aca="false">Inputs!$B$20*HH10</f>
        <v>0.00788465000115547</v>
      </c>
      <c r="HJ10" s="15" t="n">
        <f aca="false">0.8*(1-Inputs!$B$50)*(HG10-HI10)</f>
        <v>0.00175658259993058</v>
      </c>
      <c r="HK10" s="15" t="n">
        <f aca="false">HG10-HI10-HJ10</f>
        <v>0.727537100693732</v>
      </c>
      <c r="HL10" s="15" t="n">
        <f aca="false">HK10*(1-Inputs!$B$18*EXP(-Inputs!$B$21*Inputs!$B$14*Inputs!$B$17/(Inputs!$B$22*Inputs!$B$23*Inputs!$B$24*HE10*Inputs!$B$16))*Inputs!$B$19)</f>
        <v>0.0262681545143509</v>
      </c>
      <c r="HM10" s="15" t="n">
        <f aca="false">(HK10-HL10)*(1-EXP(-Inputs!$B$25*Inputs!$B$14*Inputs!$B$17*Inputs!$B$26/(HE10*Inputs!$B$16/0.866)))</f>
        <v>0.00750532894696871</v>
      </c>
      <c r="HN10" s="15" t="n">
        <f aca="false">(HK10-HL10-HM10)*(1-Inputs!$B$19)</f>
        <v>0.00346881808616206</v>
      </c>
      <c r="HO10" s="15" t="n">
        <f aca="false">(HH10+HI10+HJ10+HL10+HM10+HN10)*(1+Inputs!$B$27)</f>
        <v>0.310634316456311</v>
      </c>
      <c r="HP10" s="15" t="n">
        <f aca="false">Inputs!$B$52/(1-HO10-G10)</f>
        <v>225988.608921225</v>
      </c>
      <c r="HQ10" s="15" t="n">
        <f aca="false">HP10/Inputs!$B$34</f>
        <v>376.647681535375</v>
      </c>
      <c r="HR10" s="15" t="n">
        <f aca="false">B10^2/HQ10</f>
        <v>10.8748844100221</v>
      </c>
      <c r="HS10" s="15" t="n">
        <f aca="false">Inputs!$B$54*H10/(Inputs!$B$35*F10+E10*H10^2/(PI()*HR10*Inputs!$B$36))</f>
        <v>19.4063571156745</v>
      </c>
      <c r="HT10" s="15" t="n">
        <f aca="false">EXP(-Inputs!$B$11*Inputs!$B$14*Inputs!$B$17/(Inputs!$B$51*HS10*Inputs!$B$16))</f>
        <v>0.754436667783718</v>
      </c>
      <c r="HU10" s="15" t="n">
        <f aca="false">Inputs!$B$50*Inputs!$B$18*HT10*Inputs!$B$19</f>
        <v>0.737178347633988</v>
      </c>
      <c r="HV10" s="15" t="n">
        <f aca="false">1-HU10</f>
        <v>0.262821652366012</v>
      </c>
      <c r="HW10" s="15" t="n">
        <f aca="false">Inputs!$B$20*HV10</f>
        <v>0.00788464957098036</v>
      </c>
      <c r="HX10" s="15" t="n">
        <f aca="false">0.8*(1-Inputs!$B$50)*(HU10-HW10)</f>
        <v>0.00175658263550415</v>
      </c>
      <c r="HY10" s="15" t="n">
        <f aca="false">HU10-HW10-HX10</f>
        <v>0.727537115427504</v>
      </c>
      <c r="HZ10" s="15" t="n">
        <f aca="false">HY10*(1-Inputs!$B$18*EXP(-Inputs!$B$21*Inputs!$B$14*Inputs!$B$17/(Inputs!$B$22*Inputs!$B$23*Inputs!$B$24*HS10*Inputs!$B$16))*Inputs!$B$19)</f>
        <v>0.026268154240453</v>
      </c>
      <c r="IA10" s="15" t="n">
        <f aca="false">(HY10-HZ10)*(1-EXP(-Inputs!$B$25*Inputs!$B$14*Inputs!$B$17*Inputs!$B$26/(HS10*Inputs!$B$16/0.866)))</f>
        <v>0.00750532859228095</v>
      </c>
      <c r="IB10" s="15" t="n">
        <f aca="false">(HY10-HZ10-IA10)*(1-Inputs!$B$19)</f>
        <v>0.00346881816297385</v>
      </c>
      <c r="IC10" s="15" t="n">
        <f aca="false">(HV10+HW10+HX10+HZ10+IA10+IB10)*(1+Inputs!$B$27)</f>
        <v>0.310634301124909</v>
      </c>
      <c r="ID10" s="15" t="n">
        <f aca="false">Inputs!$B$52/(1-IC10-G10)</f>
        <v>225988.584921602</v>
      </c>
      <c r="IE10" s="15" t="n">
        <f aca="false">ID10/Inputs!$B$34</f>
        <v>376.647641536003</v>
      </c>
      <c r="IF10" s="15" t="n">
        <f aca="false">B10^2/IE10</f>
        <v>10.8748855649172</v>
      </c>
      <c r="IG10" s="15" t="n">
        <f aca="false">Inputs!$B$54*H10/(Inputs!$B$35*F10+E10*H10^2/(PI()*IF10*Inputs!$B$36))</f>
        <v>19.4063576777475</v>
      </c>
      <c r="IH10" s="15" t="n">
        <f aca="false">EXP(-Inputs!$B$11*Inputs!$B$14*Inputs!$B$17/(Inputs!$B$51*IG10*Inputs!$B$16))</f>
        <v>0.754436673940981</v>
      </c>
      <c r="II10" s="15" t="n">
        <f aca="false">Inputs!$B$50*Inputs!$B$18*IH10*Inputs!$B$19</f>
        <v>0.737178353650399</v>
      </c>
      <c r="IJ10" s="15" t="n">
        <f aca="false">1-II10</f>
        <v>0.262821646349601</v>
      </c>
      <c r="IK10" s="15" t="n">
        <f aca="false">Inputs!$B$20*IJ10</f>
        <v>0.00788464939048802</v>
      </c>
      <c r="IL10" s="15" t="n">
        <f aca="false">0.8*(1-Inputs!$B$50)*(II10-IK10)</f>
        <v>0.00175658265043006</v>
      </c>
      <c r="IM10" s="15" t="n">
        <f aca="false">II10-IK10-IL10</f>
        <v>0.727537121609481</v>
      </c>
      <c r="IN10" s="15" t="n">
        <f aca="false">IM10*(1-Inputs!$B$18*EXP(-Inputs!$B$21*Inputs!$B$14*Inputs!$B$17/(Inputs!$B$22*Inputs!$B$23*Inputs!$B$24*IG10*Inputs!$B$16))*Inputs!$B$19)</f>
        <v>0.0262681541255312</v>
      </c>
      <c r="IO10" s="15" t="n">
        <f aca="false">(IM10-IN10)*(1-EXP(-Inputs!$B$25*Inputs!$B$14*Inputs!$B$17*Inputs!$B$26/(IG10*Inputs!$B$16/0.866)))</f>
        <v>0.00750532844346149</v>
      </c>
      <c r="IP10" s="15" t="n">
        <f aca="false">(IM10-IN10-IO10)*(1-Inputs!$B$19)</f>
        <v>0.00346881819520244</v>
      </c>
      <c r="IQ10" s="15" t="n">
        <f aca="false">(IJ10+IK10+IL10+IN10+IO10+IP10)*(1+Inputs!$B$27)</f>
        <v>0.310634294692178</v>
      </c>
      <c r="IR10" s="15" t="n">
        <f aca="false">Inputs!$B$52/(1-IQ10-G10)</f>
        <v>225988.574851872</v>
      </c>
      <c r="IS10" s="15" t="n">
        <f aca="false">IR10/Inputs!$B$34</f>
        <v>376.64762475312</v>
      </c>
      <c r="IT10" s="15" t="n">
        <f aca="false">B10^2/IS10</f>
        <v>10.8748860494867</v>
      </c>
      <c r="IU10" s="15" t="n">
        <f aca="false">Inputs!$B$54*H10/(Inputs!$B$35*F10+E10*H10^2/(PI()*IT10*Inputs!$B$36))</f>
        <v>19.4063579135813</v>
      </c>
      <c r="IV10" s="15" t="n">
        <f aca="false">EXP(-Inputs!$B$11*Inputs!$B$14*Inputs!$B$17/(Inputs!$B$51*IU10*Inputs!$B$16))</f>
        <v>0.754436676524438</v>
      </c>
      <c r="IW10" s="15" t="n">
        <f aca="false">Inputs!$B$50*Inputs!$B$18*IV10*Inputs!$B$19</f>
        <v>0.737178356174757</v>
      </c>
      <c r="IX10" s="15" t="n">
        <f aca="false">1-IW10</f>
        <v>0.262821643825243</v>
      </c>
      <c r="IY10" s="15" t="n">
        <f aca="false">Inputs!$B$20*IX10</f>
        <v>0.00788464931475729</v>
      </c>
      <c r="IZ10" s="15" t="n">
        <f aca="false">0.8*(1-Inputs!$B$50)*(IW10-IY10)</f>
        <v>0.00175658265669265</v>
      </c>
      <c r="JA10" s="15" t="n">
        <f aca="false">IW10-IY10-IZ10</f>
        <v>0.727537124203307</v>
      </c>
      <c r="JB10" s="15" t="n">
        <f aca="false">JA10*(1-Inputs!$B$18*EXP(-Inputs!$B$21*Inputs!$B$14*Inputs!$B$17/(Inputs!$B$22*Inputs!$B$23*Inputs!$B$24*IU10*Inputs!$B$16))*Inputs!$B$19)</f>
        <v>0.0262681540773125</v>
      </c>
      <c r="JC10" s="15" t="n">
        <f aca="false">(JA10-JB10)*(1-EXP(-Inputs!$B$25*Inputs!$B$14*Inputs!$B$17*Inputs!$B$26/(IU10*Inputs!$B$16/0.866)))</f>
        <v>0.00750532838102005</v>
      </c>
      <c r="JD10" s="15" t="n">
        <f aca="false">(JA10-JB10-JC10)*(1-Inputs!$B$19)</f>
        <v>0.00346881820872488</v>
      </c>
      <c r="JE10" s="15" t="n">
        <f aca="false">(IX10+IY10+IZ10+JB10+JC10+JD10)*(1+Inputs!$B$27)</f>
        <v>0.310634291993142</v>
      </c>
      <c r="JF10" s="15" t="n">
        <f aca="false">Inputs!$B$52/(1-JE10-G10)</f>
        <v>225988.570626828</v>
      </c>
      <c r="JG10" s="15" t="n">
        <f aca="false">JF10/Inputs!$B$34</f>
        <v>376.647617711381</v>
      </c>
      <c r="JH10" s="15" t="n">
        <f aca="false">B10^2/JG10</f>
        <v>10.8748862528017</v>
      </c>
      <c r="JI10" s="15" t="n">
        <f aca="false">Inputs!$B$54*H10/(Inputs!$B$35*F10+E10*H10^2/(PI()*JH10*Inputs!$B$36))</f>
        <v>19.4063580125322</v>
      </c>
      <c r="JJ10" s="15" t="n">
        <f aca="false">EXP(-Inputs!$B$11*Inputs!$B$14*Inputs!$B$17/(Inputs!$B$51*JI10*Inputs!$B$16))</f>
        <v>0.754436677608401</v>
      </c>
      <c r="JK10" s="15" t="n">
        <f aca="false">Inputs!$B$50*Inputs!$B$18*JJ10*Inputs!$B$19</f>
        <v>0.737178357233924</v>
      </c>
      <c r="JL10" s="15" t="n">
        <f aca="false">1-JK10</f>
        <v>0.262821642766076</v>
      </c>
      <c r="JM10" s="15" t="n">
        <f aca="false">Inputs!$B$20*JL10</f>
        <v>0.00788464928298229</v>
      </c>
      <c r="JN10" s="15" t="n">
        <f aca="false">0.8*(1-Inputs!$B$50)*(JK10-JM10)</f>
        <v>0.0017565826593203</v>
      </c>
      <c r="JO10" s="15" t="n">
        <f aca="false">JK10-JM10-JN10</f>
        <v>0.727537125291621</v>
      </c>
      <c r="JP10" s="15" t="n">
        <f aca="false">JO10*(1-Inputs!$B$18*EXP(-Inputs!$B$21*Inputs!$B$14*Inputs!$B$17/(Inputs!$B$22*Inputs!$B$23*Inputs!$B$24*JI10*Inputs!$B$16))*Inputs!$B$19)</f>
        <v>0.0262681540570809</v>
      </c>
      <c r="JQ10" s="15" t="n">
        <f aca="false">(JO10-JP10)*(1-EXP(-Inputs!$B$25*Inputs!$B$14*Inputs!$B$17*Inputs!$B$26/(JI10*Inputs!$B$16/0.866)))</f>
        <v>0.00750532835482091</v>
      </c>
      <c r="JR10" s="15" t="n">
        <f aca="false">(JO10-JP10-JQ10)*(1-Inputs!$B$19)</f>
        <v>0.0034688182143986</v>
      </c>
      <c r="JS10" s="15" t="n">
        <f aca="false">(JL10+JM10+JN10+JP10+JQ10+JR10)*(1+Inputs!$B$27)</f>
        <v>0.310634290860683</v>
      </c>
      <c r="JT10" s="15" t="n">
        <f aca="false">Inputs!$B$52/(1-JS10-G10)</f>
        <v>225988.56885409</v>
      </c>
      <c r="JU10" s="15" t="n">
        <f aca="false">JT10/Inputs!$B$34</f>
        <v>376.647614756816</v>
      </c>
      <c r="JV10" s="15" t="n">
        <f aca="false">B10^2/JU10</f>
        <v>10.8748863381084</v>
      </c>
      <c r="JW10" s="15" t="n">
        <f aca="false">Inputs!$B$54*H10/(Inputs!$B$35*F10+E10*H10^2/(PI()*JV10*Inputs!$B$36))</f>
        <v>19.4063580540498</v>
      </c>
      <c r="JX10" s="15" t="n">
        <f aca="false">EXP(-Inputs!$B$11*Inputs!$B$14*Inputs!$B$17/(Inputs!$B$51*JW10*Inputs!$B$16))</f>
        <v>0.754436678063209</v>
      </c>
      <c r="JY10" s="15" t="n">
        <f aca="false">Inputs!$B$50*Inputs!$B$18*JX10*Inputs!$B$19</f>
        <v>0.737178357678328</v>
      </c>
      <c r="JZ10" s="15" t="n">
        <f aca="false">1-JY10</f>
        <v>0.262821642321673</v>
      </c>
      <c r="KA10" s="15" t="n">
        <f aca="false">Inputs!$B$20*JZ10</f>
        <v>0.00788464926965017</v>
      </c>
      <c r="KB10" s="15" t="n">
        <f aca="false">0.8*(1-Inputs!$B$50)*(JY10-KA10)</f>
        <v>0.00175658266042281</v>
      </c>
      <c r="KC10" s="15" t="n">
        <f aca="false">JY10-KA10-KB10</f>
        <v>0.727537125748255</v>
      </c>
      <c r="KD10" s="15" t="n">
        <f aca="false">KC10*(1-Inputs!$B$18*EXP(-Inputs!$B$21*Inputs!$B$14*Inputs!$B$17/(Inputs!$B$22*Inputs!$B$23*Inputs!$B$24*JW10*Inputs!$B$16))*Inputs!$B$19)</f>
        <v>0.0262681540485922</v>
      </c>
      <c r="KE10" s="15" t="n">
        <f aca="false">(KC10-KD10)*(1-EXP(-Inputs!$B$25*Inputs!$B$14*Inputs!$B$17*Inputs!$B$26/(JW10*Inputs!$B$16/0.866)))</f>
        <v>0.00750532834382833</v>
      </c>
      <c r="KF10" s="15" t="n">
        <f aca="false">(KC10-KD10-KE10)*(1-Inputs!$B$19)</f>
        <v>0.00346881821677917</v>
      </c>
      <c r="KG10" s="15" t="n">
        <f aca="false">(JZ10+KA10+KB10+KD10+KE10+KF10)*(1+Inputs!$B$27)</f>
        <v>0.310634290385528</v>
      </c>
      <c r="KH10" s="15" t="n">
        <f aca="false">Inputs!$B$52/(1-KG10-G10)</f>
        <v>225988.568110287</v>
      </c>
      <c r="KI10" s="15" t="n">
        <f aca="false">KH10/Inputs!$B$34</f>
        <v>376.647613517145</v>
      </c>
      <c r="KJ10" s="15" t="n">
        <f aca="false">B10^2/KI10</f>
        <v>10.8748863739012</v>
      </c>
      <c r="KK10" s="15" t="n">
        <f aca="false">Inputs!$B$54*H10/(Inputs!$B$35*F10+E10*H10^2/(PI()*KJ10*Inputs!$B$36))</f>
        <v>19.4063580714698</v>
      </c>
      <c r="KL10" s="15" t="n">
        <f aca="false">EXP(-Inputs!$B$11*Inputs!$B$14*Inputs!$B$17/(Inputs!$B$51*KK10*Inputs!$B$16))</f>
        <v>0.754436678254036</v>
      </c>
      <c r="KM10" s="15" t="n">
        <f aca="false">Inputs!$B$50*Inputs!$B$18*KL10*Inputs!$B$19</f>
        <v>0.73717835786479</v>
      </c>
      <c r="KN10" s="15" t="n">
        <f aca="false">1-KM10</f>
        <v>0.26282164213521</v>
      </c>
      <c r="KO10" s="15" t="n">
        <f aca="false">Inputs!$B$20*KN10</f>
        <v>0.00788464926405631</v>
      </c>
      <c r="KP10" s="15" t="n">
        <f aca="false">0.8*(1-Inputs!$B$50)*(KM10-KO10)</f>
        <v>0.0017565826608854</v>
      </c>
      <c r="KQ10" s="15" t="n">
        <f aca="false">KM10-KO10-KP10</f>
        <v>0.727537125939848</v>
      </c>
      <c r="KR10" s="15" t="n">
        <f aca="false">KQ10*(1-Inputs!$B$18*EXP(-Inputs!$B$21*Inputs!$B$14*Inputs!$B$17/(Inputs!$B$22*Inputs!$B$23*Inputs!$B$24*KK10*Inputs!$B$16))*Inputs!$B$19)</f>
        <v>0.0262681540450305</v>
      </c>
      <c r="KS10" s="15" t="n">
        <f aca="false">(KQ10-KR10)*(1-EXP(-Inputs!$B$25*Inputs!$B$14*Inputs!$B$17*Inputs!$B$26/(KK10*Inputs!$B$16/0.866)))</f>
        <v>0.0075053283392161</v>
      </c>
      <c r="KT10" s="15" t="n">
        <f aca="false">(KQ10-KR10-KS10)*(1-Inputs!$B$19)</f>
        <v>0.00346881821777801</v>
      </c>
      <c r="KU10" s="15" t="n">
        <f aca="false">(KN10+KO10+KP10+KR10+KS10+KT10)*(1+Inputs!$B$27)</f>
        <v>0.310634290186163</v>
      </c>
      <c r="KV10" s="15" t="n">
        <f aca="false">Inputs!$B$52/(1-KU10-G10)</f>
        <v>225988.567798203</v>
      </c>
      <c r="KW10" s="15" t="n">
        <f aca="false">KV10/Inputs!$B$34</f>
        <v>376.647612997006</v>
      </c>
      <c r="KX10" s="15" t="n">
        <f aca="false">B10^2/KW10</f>
        <v>10.8748863889191</v>
      </c>
      <c r="KY10" s="15" t="n">
        <f aca="false">Inputs!$B$54*H10/(Inputs!$B$35*F10+E10*H10^2/(PI()*KX10*Inputs!$B$36))</f>
        <v>19.4063580787788</v>
      </c>
      <c r="KZ10" s="15" t="n">
        <f aca="false">EXP(-Inputs!$B$11*Inputs!$B$14*Inputs!$B$17/(Inputs!$B$51*KY10*Inputs!$B$16))</f>
        <v>0.754436678334103</v>
      </c>
      <c r="LA10" s="15" t="n">
        <f aca="false">Inputs!$B$50*Inputs!$B$18*KZ10*Inputs!$B$19</f>
        <v>0.737178357943025</v>
      </c>
      <c r="LB10" s="15" t="n">
        <f aca="false">1-LA10</f>
        <v>0.262821642056975</v>
      </c>
      <c r="LC10" s="15" t="n">
        <f aca="false">Inputs!$B$20*LB10</f>
        <v>0.00788464926170924</v>
      </c>
      <c r="LD10" s="15" t="n">
        <f aca="false">0.8*(1-Inputs!$B$50)*(LA10-LC10)</f>
        <v>0.00175658266107949</v>
      </c>
      <c r="LE10" s="15" t="n">
        <f aca="false">LA10-LC10-LD10</f>
        <v>0.727537126020237</v>
      </c>
      <c r="LF10" s="15" t="n">
        <f aca="false">LE10*(1-Inputs!$B$18*EXP(-Inputs!$B$21*Inputs!$B$14*Inputs!$B$17/(Inputs!$B$22*Inputs!$B$23*Inputs!$B$24*KY10*Inputs!$B$16))*Inputs!$B$19)</f>
        <v>0.0262681540435361</v>
      </c>
      <c r="LG10" s="15" t="n">
        <f aca="false">(LE10-LF10)*(1-EXP(-Inputs!$B$25*Inputs!$B$14*Inputs!$B$17*Inputs!$B$26/(KY10*Inputs!$B$16/0.866)))</f>
        <v>0.0075053283372809</v>
      </c>
      <c r="LH10" s="15" t="n">
        <f aca="false">(LE10-LF10-LG10)*(1-Inputs!$B$19)</f>
        <v>0.0034688182181971</v>
      </c>
      <c r="LI10" s="15" t="n">
        <f aca="false">(LB10+LC10+LD10+LF10+LG10+LH10)*(1+Inputs!$B$27)</f>
        <v>0.310634290102514</v>
      </c>
      <c r="LJ10" s="15" t="n">
        <f aca="false">Inputs!$B$52/(1-LI10-G10)</f>
        <v>225988.56766726</v>
      </c>
      <c r="LK10" s="15" t="n">
        <f aca="false">LJ10/Inputs!$B$34</f>
        <v>376.647612778766</v>
      </c>
      <c r="LL10" s="15" t="n">
        <f aca="false">B10^2/LK10</f>
        <v>10.8748863952203</v>
      </c>
      <c r="LM10" s="15" t="n">
        <f aca="false">Inputs!$B$54*H10/(Inputs!$B$35*F10+E10*H10^2/(PI()*LL10*Inputs!$B$36))</f>
        <v>19.4063580818455</v>
      </c>
      <c r="LN10" s="15" t="n">
        <f aca="false">EXP(-Inputs!$B$11*Inputs!$B$14*Inputs!$B$17/(Inputs!$B$51*LM10*Inputs!$B$16))</f>
        <v>0.754436678367698</v>
      </c>
      <c r="LO10" s="15" t="n">
        <f aca="false">Inputs!$B$50*Inputs!$B$18*LN10*Inputs!$B$19</f>
        <v>0.737178357975851</v>
      </c>
      <c r="LP10" s="15" t="n">
        <f aca="false">1-LO10</f>
        <v>0.262821642024149</v>
      </c>
      <c r="LQ10" s="15" t="n">
        <f aca="false">Inputs!$B$20*LP10</f>
        <v>0.00788464926072446</v>
      </c>
      <c r="LR10" s="15" t="n">
        <f aca="false">0.8*(1-Inputs!$B$50)*(LO10-LQ10)</f>
        <v>0.00175658266116093</v>
      </c>
      <c r="LS10" s="15" t="n">
        <f aca="false">LO10-LQ10-LR10</f>
        <v>0.727537126053966</v>
      </c>
      <c r="LT10" s="15" t="n">
        <f aca="false">LS10*(1-Inputs!$B$18*EXP(-Inputs!$B$21*Inputs!$B$14*Inputs!$B$17/(Inputs!$B$22*Inputs!$B$23*Inputs!$B$24*LM10*Inputs!$B$16))*Inputs!$B$19)</f>
        <v>0.0262681540429091</v>
      </c>
      <c r="LU10" s="15" t="n">
        <f aca="false">(LS10-LT10)*(1-EXP(-Inputs!$B$25*Inputs!$B$14*Inputs!$B$17*Inputs!$B$26/(LM10*Inputs!$B$16/0.866)))</f>
        <v>0.00750532833646892</v>
      </c>
      <c r="LV10" s="15" t="n">
        <f aca="false">(LS10-LT10-LU10)*(1-Inputs!$B$19)</f>
        <v>0.00346881821837294</v>
      </c>
      <c r="LW10" s="15" t="n">
        <f aca="false">(LP10+LQ10+LR10+LT10+LU10+LV10)*(1+Inputs!$B$27)</f>
        <v>0.310634290067416</v>
      </c>
      <c r="LX10" s="15" t="n">
        <f aca="false">Inputs!$B$52/(1-LW10-G10)</f>
        <v>225988.567612318</v>
      </c>
      <c r="LY10" s="15" t="n">
        <f aca="false">LX10/Inputs!$B$34</f>
        <v>376.647612687197</v>
      </c>
      <c r="LZ10" s="15" t="n">
        <f aca="false">B10^2/LY10</f>
        <v>10.8748863978641</v>
      </c>
      <c r="MA10" s="15" t="n">
        <f aca="false">Inputs!$B$54*H10/(Inputs!$B$35*F10+E10*H10^2/(PI()*LZ10*Inputs!$B$36))</f>
        <v>19.4063580831322</v>
      </c>
      <c r="MB10" s="15" t="n">
        <f aca="false">EXP(-Inputs!$B$11*Inputs!$B$14*Inputs!$B$17/(Inputs!$B$51*MA10*Inputs!$B$16))</f>
        <v>0.754436678381793</v>
      </c>
      <c r="MC10" s="15" t="n">
        <f aca="false">Inputs!$B$50*Inputs!$B$18*MB10*Inputs!$B$19</f>
        <v>0.737178357989624</v>
      </c>
      <c r="MD10" s="15" t="n">
        <f aca="false">1-MC10</f>
        <v>0.262821642010376</v>
      </c>
      <c r="ME10" s="15" t="n">
        <f aca="false">Inputs!$B$20*MD10</f>
        <v>0.00788464926031127</v>
      </c>
      <c r="MF10" s="15" t="n">
        <f aca="false">0.8*(1-Inputs!$B$50)*(MC10-ME10)</f>
        <v>0.00175658266119509</v>
      </c>
      <c r="MG10" s="15" t="n">
        <f aca="false">MC10-ME10-MF10</f>
        <v>0.727537126068118</v>
      </c>
      <c r="MH10" s="15" t="n">
        <f aca="false">MG10*(1-Inputs!$B$18*EXP(-Inputs!$B$21*Inputs!$B$14*Inputs!$B$17/(Inputs!$B$22*Inputs!$B$23*Inputs!$B$24*MA10*Inputs!$B$16))*Inputs!$B$19)</f>
        <v>0.026268154042646</v>
      </c>
      <c r="MI10" s="15" t="n">
        <f aca="false">(MG10-MH10)*(1-EXP(-Inputs!$B$25*Inputs!$B$14*Inputs!$B$17*Inputs!$B$26/(MA10*Inputs!$B$16/0.866)))</f>
        <v>0.00750532833612818</v>
      </c>
      <c r="MJ10" s="15" t="n">
        <f aca="false">(MG10-MH10-MI10)*(1-Inputs!$B$19)</f>
        <v>0.00346881821844672</v>
      </c>
      <c r="MK10" s="15" t="n">
        <f aca="false">(MD10+ME10+MF10+MH10+MI10+MJ10)*(1+Inputs!$B$27)</f>
        <v>0.31063429005269</v>
      </c>
      <c r="ML10" s="15" t="n">
        <f aca="false">Inputs!$B$52/(1-MK10-G10)</f>
        <v>225988.567589266</v>
      </c>
      <c r="MM10" s="15" t="n">
        <f aca="false">ML10/Inputs!$B$34</f>
        <v>376.647612648777</v>
      </c>
      <c r="MN10" s="15" t="n">
        <f aca="false">B10^2/MM10</f>
        <v>10.8748863989734</v>
      </c>
      <c r="MO10" s="15" t="n">
        <f aca="false">Inputs!$B$54*H10/(Inputs!$B$35*F10+E10*H10^2/(PI()*MN10*Inputs!$B$36))</f>
        <v>19.4063580836721</v>
      </c>
      <c r="MP10" s="15" t="n">
        <f aca="false">EXP(-Inputs!$B$11*Inputs!$B$14*Inputs!$B$17/(Inputs!$B$51*MO10*Inputs!$B$16))</f>
        <v>0.754436678387708</v>
      </c>
      <c r="MQ10" s="15" t="n">
        <f aca="false">Inputs!$B$50*Inputs!$B$18*MP10*Inputs!$B$19</f>
        <v>0.737178357995403</v>
      </c>
      <c r="MR10" s="15" t="n">
        <f aca="false">1-MQ10</f>
        <v>0.262821642004597</v>
      </c>
      <c r="MS10" s="15" t="n">
        <f aca="false">Inputs!$B$20*MR10</f>
        <v>0.0078846492601379</v>
      </c>
      <c r="MT10" s="15" t="n">
        <f aca="false">0.8*(1-Inputs!$B$50)*(MQ10-MS10)</f>
        <v>0.00175658266120943</v>
      </c>
      <c r="MU10" s="15" t="n">
        <f aca="false">MQ10-MS10-MT10</f>
        <v>0.727537126074056</v>
      </c>
      <c r="MV10" s="15" t="n">
        <f aca="false">MU10*(1-Inputs!$B$18*EXP(-Inputs!$B$21*Inputs!$B$14*Inputs!$B$17/(Inputs!$B$22*Inputs!$B$23*Inputs!$B$24*MO10*Inputs!$B$16))*Inputs!$B$19)</f>
        <v>0.0262681540425355</v>
      </c>
      <c r="MW10" s="15" t="n">
        <f aca="false">(MU10-MV10)*(1-EXP(-Inputs!$B$25*Inputs!$B$14*Inputs!$B$17*Inputs!$B$26/(MO10*Inputs!$B$16/0.866)))</f>
        <v>0.00750532833598527</v>
      </c>
      <c r="MX10" s="15" t="n">
        <f aca="false">(MU10-MV10-MW10)*(1-Inputs!$B$19)</f>
        <v>0.00346881821847768</v>
      </c>
      <c r="MY10" s="15" t="n">
        <f aca="false">(MR10+MS10+MT10+MV10+MW10+MX10)*(1+Inputs!$B$27)</f>
        <v>0.310634290046511</v>
      </c>
      <c r="MZ10" s="15" t="n">
        <f aca="false">Inputs!$B$52/(1-MY10-G10)</f>
        <v>225988.567579594</v>
      </c>
      <c r="NA10" s="15" t="n">
        <f aca="false">MZ10/Inputs!$B$34</f>
        <v>376.647612632656</v>
      </c>
      <c r="NB10" s="15" t="n">
        <f aca="false">B10^2/NA10</f>
        <v>10.8748863994389</v>
      </c>
      <c r="NC10" s="15" t="n">
        <f aca="false">Inputs!$B$54*H10/(Inputs!$B$35*F10+E10*H10^2/(PI()*NB10*Inputs!$B$36))</f>
        <v>19.4063580838986</v>
      </c>
      <c r="ND10" s="15" t="n">
        <f aca="false">EXP(-Inputs!$B$11*Inputs!$B$14*Inputs!$B$17/(Inputs!$B$51*NC10*Inputs!$B$16))</f>
        <v>0.754436678390189</v>
      </c>
      <c r="NE10" s="15" t="n">
        <f aca="false">Inputs!$B$50*Inputs!$B$18*ND10*Inputs!$B$19</f>
        <v>0.737178357997828</v>
      </c>
      <c r="NF10" s="15" t="n">
        <f aca="false">1-NE10</f>
        <v>0.262821642002172</v>
      </c>
      <c r="NG10" s="15" t="n">
        <f aca="false">Inputs!$B$20*NF10</f>
        <v>0.00788464926006516</v>
      </c>
      <c r="NH10" s="15" t="n">
        <f aca="false">0.8*(1-Inputs!$B$50)*(NE10-NG10)</f>
        <v>0.00175658266121545</v>
      </c>
      <c r="NI10" s="15" t="n">
        <f aca="false">NE10-NG10-NH10</f>
        <v>0.727537126076548</v>
      </c>
      <c r="NJ10" s="15" t="n">
        <f aca="false">NI10*(1-Inputs!$B$18*EXP(-Inputs!$B$21*Inputs!$B$14*Inputs!$B$17/(Inputs!$B$22*Inputs!$B$23*Inputs!$B$24*NC10*Inputs!$B$16))*Inputs!$B$19)</f>
        <v>0.0262681540424893</v>
      </c>
      <c r="NK10" s="15" t="n">
        <f aca="false">(NI10-NJ10)*(1-EXP(-Inputs!$B$25*Inputs!$B$14*Inputs!$B$17*Inputs!$B$26/(NC10*Inputs!$B$16/0.866)))</f>
        <v>0.00750532833592531</v>
      </c>
      <c r="NL10" s="15" t="n">
        <f aca="false">(NI10-NJ10-NK10)*(1-Inputs!$B$19)</f>
        <v>0.00346881821849067</v>
      </c>
      <c r="NM10" s="15" t="n">
        <f aca="false">(NF10+NG10+NH10+NJ10+NK10+NL10)*(1+Inputs!$B$27)</f>
        <v>0.310634290043919</v>
      </c>
      <c r="NN10" s="15" t="n">
        <f aca="false">Inputs!$B$52/(1-NM10-G10)</f>
        <v>225988.567575535</v>
      </c>
    </row>
    <row r="11" customFormat="false" ht="15" hidden="false" customHeight="false" outlineLevel="0" collapsed="false">
      <c r="A11" s="34" t="n">
        <v>0.03</v>
      </c>
      <c r="B11" s="21" t="n">
        <f aca="false">$B$3</f>
        <v>64</v>
      </c>
      <c r="C11" s="22" t="n">
        <f aca="false">$D$3</f>
        <v>0.15</v>
      </c>
      <c r="D11" s="23" t="n">
        <f aca="false">B11*C11</f>
        <v>9.6</v>
      </c>
      <c r="E11" s="24" t="n">
        <f aca="false">IF(C11=0,1,(1+0.45*C11)/(1.04+2.81*C11))</f>
        <v>0.73041395826206</v>
      </c>
      <c r="F11" s="24" t="n">
        <f aca="false">1+Inputs!$B$42*D11</f>
        <v>1.048</v>
      </c>
      <c r="G11" s="25" t="n">
        <f aca="false">Inputs!$B$31+Inputs!$B$43*($B$3/Inputs!$B$32-1)+0.03</f>
        <v>0.55</v>
      </c>
      <c r="H11" s="22" t="n">
        <f aca="false">Inputs!$B$38</f>
        <v>0.5</v>
      </c>
      <c r="I11" s="23" t="n">
        <f aca="false">Inputs!$B$40</f>
        <v>2.4</v>
      </c>
      <c r="J11" s="26" t="n">
        <f aca="false">NN11/Inputs!$B$34</f>
        <v>401.779844365026</v>
      </c>
      <c r="K11" s="23" t="n">
        <f aca="false">B11^2/J11</f>
        <v>10.1946378282697</v>
      </c>
      <c r="L11" s="23" t="n">
        <f aca="false">2*K11</f>
        <v>20.3892756565394</v>
      </c>
      <c r="M11" s="22" t="n">
        <f aca="false">NC11</f>
        <v>19.0595107618949</v>
      </c>
      <c r="N11" s="23" t="n">
        <f aca="false">B11/SQRT(E11)</f>
        <v>74.8851048120828</v>
      </c>
      <c r="O11" s="24" t="n">
        <f aca="false">NM11</f>
        <v>0.314664689474569</v>
      </c>
      <c r="P11" s="23" t="n">
        <f aca="false">NN11/1000</f>
        <v>241.067906619016</v>
      </c>
      <c r="Q11" s="23" t="n">
        <f aca="false">G11*NN11/1000</f>
        <v>132.587348640459</v>
      </c>
      <c r="R11" s="23" t="n">
        <f aca="false">NM11*NN11/1000</f>
        <v>75.855557978557</v>
      </c>
      <c r="S11" s="23" t="n">
        <f aca="false">NM11*NN11/Inputs!$B$28/1000</f>
        <v>101.140743971409</v>
      </c>
      <c r="T11" s="27" t="n">
        <f aca="false">R11/Sweep!$R$5-1</f>
        <v>0.213754537810625</v>
      </c>
      <c r="U11" s="27" t="n">
        <f aca="false">R11/SUMIFS(Sweep!$R:$R,Sweep!$A:$A,"Conventional",Sweep!$B:$B,B11)-1</f>
        <v>0.213754537810224</v>
      </c>
      <c r="V11" s="26" t="n">
        <f aca="false">2*0.54*(J11/2)^1.5/SQRT(L11)*Inputs!$B$46*Inputs!$B$47</f>
        <v>63.6754017041784</v>
      </c>
      <c r="W11" s="28" t="n">
        <f aca="false">MIN(1,V11/S11)</f>
        <v>0.629572210010422</v>
      </c>
      <c r="X11" s="26" t="n">
        <f aca="false">1.23*SQRT(2*Inputs!$B$41*NN11*Inputs!$B$49/(1.225*J11*I11))/0.5144</f>
        <v>133.62967568068</v>
      </c>
      <c r="Y11" s="29" t="n">
        <f aca="false">(11000+6341.6*LN(0.36392/(2*Inputs!$B$50*Inputs!$B$18*(1+ND11)/2*Inputs!$B$34*Inputs!$B$49/((Inputs!$B$12*295.07)^2*H11))))/0.3048</f>
        <v>38653.9674670053</v>
      </c>
      <c r="Z11" s="26" t="n">
        <f aca="false">NN11-MZ11</f>
        <v>-1.1942523997277E-005</v>
      </c>
      <c r="AA11" s="30" t="str">
        <f aca="false">IF(ABS(NN11-MZ11)&lt;10,"Yes","No")</f>
        <v>Yes</v>
      </c>
      <c r="AC11" s="15" t="n">
        <f aca="false">Inputs!$B$52/(1-0.3154-G11)/Inputs!$B$34</f>
        <v>403.974739970283</v>
      </c>
      <c r="AD11" s="15" t="n">
        <f aca="false">B11^2/AC11</f>
        <v>10.139247816092</v>
      </c>
      <c r="AE11" s="15" t="n">
        <f aca="false">Inputs!$B$54*H11/(Inputs!$B$35*F11+E11*H11^2/(PI()*AD11*Inputs!$B$36))</f>
        <v>19.0298069970676</v>
      </c>
      <c r="AF11" s="15" t="n">
        <f aca="false">EXP(-Inputs!$B$11*Inputs!$B$14*Inputs!$B$17/(Inputs!$B$51*AE11*Inputs!$B$16))</f>
        <v>0.750241810053149</v>
      </c>
      <c r="AG11" s="15" t="n">
        <f aca="false">Inputs!$B$50*Inputs!$B$18*AF11*Inputs!$B$19</f>
        <v>0.733079450506593</v>
      </c>
      <c r="AH11" s="15" t="n">
        <f aca="false">1-AG11</f>
        <v>0.266920549493408</v>
      </c>
      <c r="AI11" s="15" t="n">
        <f aca="false">Inputs!$B$20*AH11</f>
        <v>0.00800761648480223</v>
      </c>
      <c r="AJ11" s="15" t="n">
        <f aca="false">0.8*(1-Inputs!$B$50)*(AG11-AI11)</f>
        <v>0.00174641381999956</v>
      </c>
      <c r="AK11" s="15" t="n">
        <f aca="false">AG11-AI11-AJ11</f>
        <v>0.723325420201791</v>
      </c>
      <c r="AL11" s="15" t="n">
        <f aca="false">AK11*(1-Inputs!$B$18*EXP(-Inputs!$B$21*Inputs!$B$14*Inputs!$B$17/(Inputs!$B$22*Inputs!$B$23*Inputs!$B$24*AE11*Inputs!$B$16))*Inputs!$B$19)</f>
        <v>0.0263457165576287</v>
      </c>
      <c r="AM11" s="15" t="n">
        <f aca="false">(AK11-AL11)*(1-EXP(-Inputs!$B$25*Inputs!$B$14*Inputs!$B$17*Inputs!$B$26/(AE11*Inputs!$B$16/0.866)))</f>
        <v>0.00760621698189917</v>
      </c>
      <c r="AN11" s="15" t="n">
        <f aca="false">(AK11-AL11-AM11)*(1-Inputs!$B$19)</f>
        <v>0.00344686743331132</v>
      </c>
      <c r="AO11" s="15" t="n">
        <f aca="false">(AH11+AI11+AJ11+AL11+AM11+AN11)*(1+Inputs!$B$27)</f>
        <v>0.315015600913362</v>
      </c>
      <c r="AP11" s="15" t="n">
        <f aca="false">Inputs!$B$52/(1-AO11-G11)</f>
        <v>241694.597455369</v>
      </c>
      <c r="AQ11" s="15" t="n">
        <f aca="false">AP11/Inputs!$B$34</f>
        <v>402.824329092282</v>
      </c>
      <c r="AR11" s="15" t="n">
        <f aca="false">B11^2/AQ11</f>
        <v>10.1682041132666</v>
      </c>
      <c r="AS11" s="15" t="n">
        <f aca="false">Inputs!$B$54*H11/(Inputs!$B$35*F11+E11*H11^2/(PI()*AR11*Inputs!$B$36))</f>
        <v>19.0453640791494</v>
      </c>
      <c r="AT11" s="15" t="n">
        <f aca="false">EXP(-Inputs!$B$11*Inputs!$B$14*Inputs!$B$17/(Inputs!$B$51*AS11*Inputs!$B$16))</f>
        <v>0.750417933419109</v>
      </c>
      <c r="AU11" s="15" t="n">
        <f aca="false">Inputs!$B$50*Inputs!$B$18*AT11*Inputs!$B$19</f>
        <v>0.733251544914834</v>
      </c>
      <c r="AV11" s="15" t="n">
        <f aca="false">1-AU11</f>
        <v>0.266748455085166</v>
      </c>
      <c r="AW11" s="15" t="n">
        <f aca="false">Inputs!$B$20*AV11</f>
        <v>0.00800245365255498</v>
      </c>
      <c r="AX11" s="15" t="n">
        <f aca="false">0.8*(1-Inputs!$B$50)*(AU11-AW11)</f>
        <v>0.00174684076320706</v>
      </c>
      <c r="AY11" s="15" t="n">
        <f aca="false">AU11-AW11-AX11</f>
        <v>0.723502250499072</v>
      </c>
      <c r="AZ11" s="15" t="n">
        <f aca="false">AY11*(1-Inputs!$B$18*EXP(-Inputs!$B$21*Inputs!$B$14*Inputs!$B$17/(Inputs!$B$22*Inputs!$B$23*Inputs!$B$24*AS11*Inputs!$B$16))*Inputs!$B$19)</f>
        <v>0.0263424895673586</v>
      </c>
      <c r="BA11" s="15" t="n">
        <f aca="false">(AY11-AZ11)*(1-EXP(-Inputs!$B$25*Inputs!$B$14*Inputs!$B$17*Inputs!$B$26/(AS11*Inputs!$B$16/0.866)))</f>
        <v>0.00760200128017446</v>
      </c>
      <c r="BB11" s="15" t="n">
        <f aca="false">(AY11-AZ11-BA11)*(1-Inputs!$B$19)</f>
        <v>0.0034477887982577</v>
      </c>
      <c r="BC11" s="15" t="n">
        <f aca="false">(AV11+AW11+AX11+AZ11+BA11+BB11)*(1+Inputs!$B$27)</f>
        <v>0.314831699234159</v>
      </c>
      <c r="BD11" s="15" t="n">
        <f aca="false">Inputs!$B$52/(1-BC11-G11)</f>
        <v>241365.762646657</v>
      </c>
      <c r="BE11" s="15" t="n">
        <f aca="false">BD11/Inputs!$B$34</f>
        <v>402.276271077762</v>
      </c>
      <c r="BF11" s="15" t="n">
        <f aca="false">B11^2/BE11</f>
        <v>10.1820571942416</v>
      </c>
      <c r="BG11" s="15" t="n">
        <f aca="false">Inputs!$B$54*H11/(Inputs!$B$35*F11+E11*H11^2/(PI()*BF11*Inputs!$B$36))</f>
        <v>19.0527844526725</v>
      </c>
      <c r="BH11" s="15" t="n">
        <f aca="false">EXP(-Inputs!$B$11*Inputs!$B$14*Inputs!$B$17/(Inputs!$B$51*BG11*Inputs!$B$16))</f>
        <v>0.750501853478479</v>
      </c>
      <c r="BI11" s="15" t="n">
        <f aca="false">Inputs!$B$50*Inputs!$B$18*BH11*Inputs!$B$19</f>
        <v>0.733333545238177</v>
      </c>
      <c r="BJ11" s="15" t="n">
        <f aca="false">1-BI11</f>
        <v>0.266666454761823</v>
      </c>
      <c r="BK11" s="15" t="n">
        <f aca="false">Inputs!$B$20*BJ11</f>
        <v>0.0079999936428547</v>
      </c>
      <c r="BL11" s="15" t="n">
        <f aca="false">0.8*(1-Inputs!$B$50)*(BI11-BK11)</f>
        <v>0.00174704419504091</v>
      </c>
      <c r="BM11" s="15" t="n">
        <f aca="false">BI11-BK11-BL11</f>
        <v>0.723586507400281</v>
      </c>
      <c r="BN11" s="15" t="n">
        <f aca="false">BM11*(1-Inputs!$B$18*EXP(-Inputs!$B$21*Inputs!$B$14*Inputs!$B$17/(Inputs!$B$22*Inputs!$B$23*Inputs!$B$24*BG11*Inputs!$B$16))*Inputs!$B$19)</f>
        <v>0.0263409510451445</v>
      </c>
      <c r="BO11" s="15" t="n">
        <f aca="false">(BM11-BN11)*(1-EXP(-Inputs!$B$25*Inputs!$B$14*Inputs!$B$17*Inputs!$B$26/(BG11*Inputs!$B$16/0.866)))</f>
        <v>0.00759999194124296</v>
      </c>
      <c r="BP11" s="15" t="n">
        <f aca="false">(BM11-BN11-BO11)*(1-Inputs!$B$19)</f>
        <v>0.00344822782206947</v>
      </c>
      <c r="BQ11" s="15" t="n">
        <f aca="false">(BJ11+BK11+BL11+BN11+BO11+BP11)*(1+Inputs!$B$27)</f>
        <v>0.314744071398401</v>
      </c>
      <c r="BR11" s="15" t="n">
        <f aca="false">Inputs!$B$52/(1-BQ11-G11)</f>
        <v>241209.389764333</v>
      </c>
      <c r="BS11" s="15" t="n">
        <f aca="false">BR11/Inputs!$B$34</f>
        <v>402.015649607222</v>
      </c>
      <c r="BT11" s="15" t="n">
        <f aca="false">B11^2/BS11</f>
        <v>10.1886580883154</v>
      </c>
      <c r="BU11" s="15" t="n">
        <f aca="false">Inputs!$B$54*H11/(Inputs!$B$35*F11+E11*H11^2/(PI()*BT11*Inputs!$B$36))</f>
        <v>19.0563151384817</v>
      </c>
      <c r="BV11" s="15" t="n">
        <f aca="false">EXP(-Inputs!$B$11*Inputs!$B$14*Inputs!$B$17/(Inputs!$B$51*BU11*Inputs!$B$16))</f>
        <v>0.750541763803978</v>
      </c>
      <c r="BW11" s="15" t="n">
        <f aca="false">Inputs!$B$50*Inputs!$B$18*BV11*Inputs!$B$19</f>
        <v>0.733372542584225</v>
      </c>
      <c r="BX11" s="15" t="n">
        <f aca="false">1-BW11</f>
        <v>0.266627457415775</v>
      </c>
      <c r="BY11" s="15" t="n">
        <f aca="false">Inputs!$B$20*BX11</f>
        <v>0.00799882372247325</v>
      </c>
      <c r="BZ11" s="15" t="n">
        <f aca="false">0.8*(1-Inputs!$B$50)*(BW11-BY11)</f>
        <v>0.00174714094224017</v>
      </c>
      <c r="CA11" s="15" t="n">
        <f aca="false">BW11-BY11-BZ11</f>
        <v>0.723626577919512</v>
      </c>
      <c r="CB11" s="15" t="n">
        <f aca="false">CA11*(1-Inputs!$B$18*EXP(-Inputs!$B$21*Inputs!$B$14*Inputs!$B$17/(Inputs!$B$22*Inputs!$B$23*Inputs!$B$24*BU11*Inputs!$B$16))*Inputs!$B$19)</f>
        <v>0.0263402191553058</v>
      </c>
      <c r="CC11" s="15" t="n">
        <f aca="false">(CA11-CB11)*(1-EXP(-Inputs!$B$25*Inputs!$B$14*Inputs!$B$17*Inputs!$B$26/(BU11*Inputs!$B$16/0.866)))</f>
        <v>0.00759903620793802</v>
      </c>
      <c r="CD11" s="15" t="n">
        <f aca="false">(CA11-CB11-CC11)*(1-Inputs!$B$19)</f>
        <v>0.00344843661278134</v>
      </c>
      <c r="CE11" s="15" t="n">
        <f aca="false">(BX11+BY11+BZ11+CB11+CC11+CD11)*(1+Inputs!$B$27)</f>
        <v>0.314702397398683</v>
      </c>
      <c r="CF11" s="15" t="n">
        <f aca="false">Inputs!$B$52/(1-CE11-G11)</f>
        <v>241135.093103878</v>
      </c>
      <c r="CG11" s="15" t="n">
        <f aca="false">CF11/Inputs!$B$34</f>
        <v>401.891821839796</v>
      </c>
      <c r="CH11" s="15" t="n">
        <f aca="false">B11^2/CG11</f>
        <v>10.1917973380229</v>
      </c>
      <c r="CI11" s="15" t="n">
        <f aca="false">Inputs!$B$54*H11/(Inputs!$B$35*F11+E11*H11^2/(PI()*CH11*Inputs!$B$36))</f>
        <v>19.0579931140586</v>
      </c>
      <c r="CJ11" s="15" t="n">
        <f aca="false">EXP(-Inputs!$B$11*Inputs!$B$14*Inputs!$B$17/(Inputs!$B$51*CI11*Inputs!$B$16))</f>
        <v>0.750560726939779</v>
      </c>
      <c r="CK11" s="15" t="n">
        <f aca="false">Inputs!$B$50*Inputs!$B$18*CJ11*Inputs!$B$19</f>
        <v>0.733391071923682</v>
      </c>
      <c r="CL11" s="15" t="n">
        <f aca="false">1-CK11</f>
        <v>0.266608928076319</v>
      </c>
      <c r="CM11" s="15" t="n">
        <f aca="false">Inputs!$B$20*CL11</f>
        <v>0.00799826784228956</v>
      </c>
      <c r="CN11" s="15" t="n">
        <f aca="false">0.8*(1-Inputs!$B$50)*(CK11-CM11)</f>
        <v>0.00174718691105287</v>
      </c>
      <c r="CO11" s="15" t="n">
        <f aca="false">CK11-CM11-CN11</f>
        <v>0.723645617170339</v>
      </c>
      <c r="CP11" s="15" t="n">
        <f aca="false">CO11*(1-Inputs!$B$18*EXP(-Inputs!$B$21*Inputs!$B$14*Inputs!$B$17/(Inputs!$B$22*Inputs!$B$23*Inputs!$B$24*CI11*Inputs!$B$16))*Inputs!$B$19)</f>
        <v>0.0263398713559215</v>
      </c>
      <c r="CQ11" s="15" t="n">
        <f aca="false">(CO11-CP11)*(1-EXP(-Inputs!$B$25*Inputs!$B$14*Inputs!$B$17*Inputs!$B$26/(CI11*Inputs!$B$16/0.866)))</f>
        <v>0.00759858206554417</v>
      </c>
      <c r="CR11" s="15" t="n">
        <f aca="false">(CO11-CP11-CQ11)*(1-Inputs!$B$19)</f>
        <v>0.00344853581874437</v>
      </c>
      <c r="CS11" s="15" t="n">
        <f aca="false">(CL11+CM11+CN11+CP11+CQ11+CR11)*(1+Inputs!$B$27)</f>
        <v>0.314682596186081</v>
      </c>
      <c r="CT11" s="15" t="n">
        <f aca="false">Inputs!$B$52/(1-CS11-G11)</f>
        <v>241099.807419185</v>
      </c>
      <c r="CU11" s="15" t="n">
        <f aca="false">CT11/Inputs!$B$34</f>
        <v>401.833012365308</v>
      </c>
      <c r="CV11" s="15" t="n">
        <f aca="false">B11^2/CU11</f>
        <v>10.1932889383322</v>
      </c>
      <c r="CW11" s="15" t="n">
        <f aca="false">Inputs!$B$54*H11/(Inputs!$B$35*F11+E11*H11^2/(PI()*CV11*Inputs!$B$36))</f>
        <v>19.0587901378638</v>
      </c>
      <c r="CX11" s="15" t="n">
        <f aca="false">EXP(-Inputs!$B$11*Inputs!$B$14*Inputs!$B$17/(Inputs!$B$51*CW11*Inputs!$B$16))</f>
        <v>0.750569733262461</v>
      </c>
      <c r="CY11" s="15" t="n">
        <f aca="false">Inputs!$B$50*Inputs!$B$18*CX11*Inputs!$B$19</f>
        <v>0.733399872219792</v>
      </c>
      <c r="CZ11" s="15" t="n">
        <f aca="false">1-CY11</f>
        <v>0.266600127780208</v>
      </c>
      <c r="DA11" s="15" t="n">
        <f aca="false">Inputs!$B$20*CZ11</f>
        <v>0.00799800383340624</v>
      </c>
      <c r="DB11" s="15" t="n">
        <f aca="false">0.8*(1-Inputs!$B$50)*(CY11-DA11)</f>
        <v>0.0017472087434104</v>
      </c>
      <c r="DC11" s="15" t="n">
        <f aca="false">CY11-DA11-DB11</f>
        <v>0.723654659642976</v>
      </c>
      <c r="DD11" s="15" t="n">
        <f aca="false">DC11*(1-Inputs!$B$18*EXP(-Inputs!$B$21*Inputs!$B$14*Inputs!$B$17/(Inputs!$B$22*Inputs!$B$23*Inputs!$B$24*CW11*Inputs!$B$16))*Inputs!$B$19)</f>
        <v>0.026339706162098</v>
      </c>
      <c r="DE11" s="15" t="n">
        <f aca="false">(DC11-DD11)*(1-EXP(-Inputs!$B$25*Inputs!$B$14*Inputs!$B$17*Inputs!$B$26/(CW11*Inputs!$B$16/0.866)))</f>
        <v>0.00759836636866944</v>
      </c>
      <c r="DF11" s="15" t="n">
        <f aca="false">(DC11-DD11-DE11)*(1-Inputs!$B$19)</f>
        <v>0.00344858293556104</v>
      </c>
      <c r="DG11" s="15" t="n">
        <f aca="false">(CZ11+DA11+DB11+DD11+DE11+DF11)*(1+Inputs!$B$27)</f>
        <v>0.314673191810823</v>
      </c>
      <c r="DH11" s="15" t="n">
        <f aca="false">Inputs!$B$52/(1-DG11-G11)</f>
        <v>241083.052475402</v>
      </c>
      <c r="DI11" s="15" t="n">
        <f aca="false">DH11/Inputs!$B$34</f>
        <v>401.805087459003</v>
      </c>
      <c r="DJ11" s="15" t="n">
        <f aca="false">B11^2/DI11</f>
        <v>10.1939973580298</v>
      </c>
      <c r="DK11" s="15" t="n">
        <f aca="false">Inputs!$B$54*H11/(Inputs!$B$35*F11+E11*H11^2/(PI()*DJ11*Inputs!$B$36))</f>
        <v>19.0591686174894</v>
      </c>
      <c r="DL11" s="15" t="n">
        <f aca="false">EXP(-Inputs!$B$11*Inputs!$B$14*Inputs!$B$17/(Inputs!$B$51*DK11*Inputs!$B$16))</f>
        <v>0.750574009834301</v>
      </c>
      <c r="DM11" s="15" t="n">
        <f aca="false">Inputs!$B$50*Inputs!$B$18*DL11*Inputs!$B$19</f>
        <v>0.733404050961755</v>
      </c>
      <c r="DN11" s="15" t="n">
        <f aca="false">1-DM11</f>
        <v>0.266595949038245</v>
      </c>
      <c r="DO11" s="15" t="n">
        <f aca="false">Inputs!$B$20*DN11</f>
        <v>0.00799787847114735</v>
      </c>
      <c r="DP11" s="15" t="n">
        <f aca="false">0.8*(1-Inputs!$B$50)*(DM11-DO11)</f>
        <v>0.00174721911031026</v>
      </c>
      <c r="DQ11" s="15" t="n">
        <f aca="false">DM11-DO11-DP11</f>
        <v>0.723658953380298</v>
      </c>
      <c r="DR11" s="15" t="n">
        <f aca="false">DQ11*(1-Inputs!$B$18*EXP(-Inputs!$B$21*Inputs!$B$14*Inputs!$B$17/(Inputs!$B$22*Inputs!$B$23*Inputs!$B$24*DK11*Inputs!$B$16))*Inputs!$B$19)</f>
        <v>0.0263396277189157</v>
      </c>
      <c r="DS11" s="15" t="n">
        <f aca="false">(DQ11-DR11)*(1-EXP(-Inputs!$B$25*Inputs!$B$14*Inputs!$B$17*Inputs!$B$26/(DK11*Inputs!$B$16/0.866)))</f>
        <v>0.00759826394531664</v>
      </c>
      <c r="DT11" s="15" t="n">
        <f aca="false">(DQ11-DR11-DS11)*(1-Inputs!$B$19)</f>
        <v>0.00344860530858033</v>
      </c>
      <c r="DU11" s="15" t="n">
        <f aca="false">(DN11+DO11+DP11+DR11+DS11+DT11)*(1+Inputs!$B$27)</f>
        <v>0.314668726223293</v>
      </c>
      <c r="DV11" s="15" t="n">
        <f aca="false">Inputs!$B$52/(1-DU11-G11)</f>
        <v>241075.09734838</v>
      </c>
      <c r="DW11" s="15" t="n">
        <f aca="false">DV11/Inputs!$B$34</f>
        <v>401.791828913967</v>
      </c>
      <c r="DX11" s="15" t="n">
        <f aca="false">B11^2/DW11</f>
        <v>10.1943337450923</v>
      </c>
      <c r="DY11" s="15" t="n">
        <f aca="false">Inputs!$B$54*H11/(Inputs!$B$35*F11+E11*H11^2/(PI()*DX11*Inputs!$B$36))</f>
        <v>19.0593483221614</v>
      </c>
      <c r="DZ11" s="15" t="n">
        <f aca="false">EXP(-Inputs!$B$11*Inputs!$B$14*Inputs!$B$17/(Inputs!$B$51*DY11*Inputs!$B$16))</f>
        <v>0.750576040328439</v>
      </c>
      <c r="EA11" s="15" t="n">
        <f aca="false">Inputs!$B$50*Inputs!$B$18*DZ11*Inputs!$B$19</f>
        <v>0.733406035006775</v>
      </c>
      <c r="EB11" s="15" t="n">
        <f aca="false">1-EA11</f>
        <v>0.266593964993225</v>
      </c>
      <c r="EC11" s="15" t="n">
        <f aca="false">Inputs!$B$20*EB11</f>
        <v>0.00799781894979675</v>
      </c>
      <c r="ED11" s="15" t="n">
        <f aca="false">0.8*(1-Inputs!$B$50)*(EA11-EC11)</f>
        <v>0.00174722403246057</v>
      </c>
      <c r="EE11" s="15" t="n">
        <f aca="false">EA11-EC11-ED11</f>
        <v>0.723660992024518</v>
      </c>
      <c r="EF11" s="15" t="n">
        <f aca="false">EE11*(1-Inputs!$B$18*EXP(-Inputs!$B$21*Inputs!$B$14*Inputs!$B$17/(Inputs!$B$22*Inputs!$B$23*Inputs!$B$24*DY11*Inputs!$B$16))*Inputs!$B$19)</f>
        <v>0.0263395904739648</v>
      </c>
      <c r="EG11" s="15" t="n">
        <f aca="false">(EE11-EF11)*(1-EXP(-Inputs!$B$25*Inputs!$B$14*Inputs!$B$17*Inputs!$B$26/(DY11*Inputs!$B$16/0.866)))</f>
        <v>0.00759821531487463</v>
      </c>
      <c r="EH11" s="15" t="n">
        <f aca="false">(EE11-EF11-EG11)*(1-Inputs!$B$19)</f>
        <v>0.0034486159311784</v>
      </c>
      <c r="EI11" s="15" t="n">
        <f aca="false">(EB11+EC11+ED11+EF11+EG11+EH11)*(1+Inputs!$B$27)</f>
        <v>0.314666605984586</v>
      </c>
      <c r="EJ11" s="15" t="n">
        <f aca="false">Inputs!$B$52/(1-EI11-G11)</f>
        <v>241071.320477518</v>
      </c>
      <c r="EK11" s="15" t="n">
        <f aca="false">EJ11/Inputs!$B$34</f>
        <v>401.785534129197</v>
      </c>
      <c r="EL11" s="15" t="n">
        <f aca="false">B11^2/EK11</f>
        <v>10.1944934599933</v>
      </c>
      <c r="EM11" s="15" t="n">
        <f aca="false">Inputs!$B$54*H11/(Inputs!$B$35*F11+E11*H11^2/(PI()*EL11*Inputs!$B$36))</f>
        <v>19.0594336420785</v>
      </c>
      <c r="EN11" s="15" t="n">
        <f aca="false">EXP(-Inputs!$B$11*Inputs!$B$14*Inputs!$B$17/(Inputs!$B$51*EM11*Inputs!$B$16))</f>
        <v>0.750577004351945</v>
      </c>
      <c r="EO11" s="15" t="n">
        <f aca="false">Inputs!$B$50*Inputs!$B$18*EN11*Inputs!$B$19</f>
        <v>0.733406976977501</v>
      </c>
      <c r="EP11" s="15" t="n">
        <f aca="false">1-EO11</f>
        <v>0.266593023022499</v>
      </c>
      <c r="EQ11" s="15" t="n">
        <f aca="false">Inputs!$B$20*EP11</f>
        <v>0.00799779069067497</v>
      </c>
      <c r="ER11" s="15" t="n">
        <f aca="false">0.8*(1-Inputs!$B$50)*(EO11-EQ11)</f>
        <v>0.00174722636936394</v>
      </c>
      <c r="ES11" s="15" t="n">
        <f aca="false">EO11-EQ11-ER11</f>
        <v>0.723661959917462</v>
      </c>
      <c r="ET11" s="15" t="n">
        <f aca="false">ES11*(1-Inputs!$B$18*EXP(-Inputs!$B$21*Inputs!$B$14*Inputs!$B$17/(Inputs!$B$22*Inputs!$B$23*Inputs!$B$24*EM11*Inputs!$B$16))*Inputs!$B$19)</f>
        <v>0.0263395727909524</v>
      </c>
      <c r="EU11" s="15" t="n">
        <f aca="false">(ES11-ET11)*(1-EXP(-Inputs!$B$25*Inputs!$B$14*Inputs!$B$17*Inputs!$B$26/(EM11*Inputs!$B$16/0.866)))</f>
        <v>0.00759819222637839</v>
      </c>
      <c r="EV11" s="15" t="n">
        <f aca="false">(ES11-ET11-EU11)*(1-Inputs!$B$19)</f>
        <v>0.00344862097450066</v>
      </c>
      <c r="EW11" s="15" t="n">
        <f aca="false">(EP11+EQ11+ER11+ET11+EU11+EV11)*(1+Inputs!$B$27)</f>
        <v>0.314665599352592</v>
      </c>
      <c r="EX11" s="15" t="n">
        <f aca="false">Inputs!$B$52/(1-EW11-G11)</f>
        <v>241069.527362812</v>
      </c>
      <c r="EY11" s="15" t="n">
        <f aca="false">EX11/Inputs!$B$34</f>
        <v>401.782545604687</v>
      </c>
      <c r="EZ11" s="15" t="n">
        <f aca="false">B11^2/EY11</f>
        <v>10.1945692883086</v>
      </c>
      <c r="FA11" s="15" t="n">
        <f aca="false">Inputs!$B$54*H11/(Inputs!$B$35*F11+E11*H11^2/(PI()*EZ11*Inputs!$B$36))</f>
        <v>19.059474148999</v>
      </c>
      <c r="FB11" s="15" t="n">
        <f aca="false">EXP(-Inputs!$B$11*Inputs!$B$14*Inputs!$B$17/(Inputs!$B$51*FA11*Inputs!$B$16))</f>
        <v>0.750577462034092</v>
      </c>
      <c r="FC11" s="15" t="n">
        <f aca="false">Inputs!$B$50*Inputs!$B$18*FB11*Inputs!$B$19</f>
        <v>0.733407424189816</v>
      </c>
      <c r="FD11" s="15" t="n">
        <f aca="false">1-FC11</f>
        <v>0.266592575810184</v>
      </c>
      <c r="FE11" s="15" t="n">
        <f aca="false">Inputs!$B$20*FD11</f>
        <v>0.00799777727430553</v>
      </c>
      <c r="FF11" s="15" t="n">
        <f aca="false">0.8*(1-Inputs!$B$50)*(FC11-FE11)</f>
        <v>0.00174722747883787</v>
      </c>
      <c r="FG11" s="15" t="n">
        <f aca="false">FC11-FE11-FF11</f>
        <v>0.723662419436672</v>
      </c>
      <c r="FH11" s="15" t="n">
        <f aca="false">FG11*(1-Inputs!$B$18*EXP(-Inputs!$B$21*Inputs!$B$14*Inputs!$B$17/(Inputs!$B$22*Inputs!$B$23*Inputs!$B$24*FA11*Inputs!$B$16))*Inputs!$B$19)</f>
        <v>0.0263395643956953</v>
      </c>
      <c r="FI11" s="15" t="n">
        <f aca="false">(FG11-FH11)*(1-EXP(-Inputs!$B$25*Inputs!$B$14*Inputs!$B$17*Inputs!$B$26/(FA11*Inputs!$B$16/0.866)))</f>
        <v>0.00759818126480915</v>
      </c>
      <c r="FJ11" s="15" t="n">
        <f aca="false">(FG11-FH11-FI11)*(1-Inputs!$B$19)</f>
        <v>0.00344862336888084</v>
      </c>
      <c r="FK11" s="15" t="n">
        <f aca="false">(FD11+FE11+FF11+FH11+FI11+FJ11)*(1+Inputs!$B$27)</f>
        <v>0.314665121441491</v>
      </c>
      <c r="FL11" s="15" t="n">
        <f aca="false">Inputs!$B$52/(1-FK11-G11)</f>
        <v>241068.676068567</v>
      </c>
      <c r="FM11" s="15" t="n">
        <f aca="false">FL11/Inputs!$B$34</f>
        <v>401.781126780945</v>
      </c>
      <c r="FN11" s="15" t="n">
        <f aca="false">B11^2/FM11</f>
        <v>10.1946052887476</v>
      </c>
      <c r="FO11" s="15" t="n">
        <f aca="false">Inputs!$B$54*H11/(Inputs!$B$35*F11+E11*H11^2/(PI()*FN11*Inputs!$B$36))</f>
        <v>19.0594933800144</v>
      </c>
      <c r="FP11" s="15" t="n">
        <f aca="false">EXP(-Inputs!$B$11*Inputs!$B$14*Inputs!$B$17/(Inputs!$B$51*FO11*Inputs!$B$16))</f>
        <v>0.750577679322117</v>
      </c>
      <c r="FQ11" s="15" t="n">
        <f aca="false">Inputs!$B$50*Inputs!$B$18*FP11*Inputs!$B$19</f>
        <v>0.733407636507209</v>
      </c>
      <c r="FR11" s="15" t="n">
        <f aca="false">1-FQ11</f>
        <v>0.266592363492791</v>
      </c>
      <c r="FS11" s="15" t="n">
        <f aca="false">Inputs!$B$20*FR11</f>
        <v>0.00799777090478372</v>
      </c>
      <c r="FT11" s="15" t="n">
        <f aca="false">0.8*(1-Inputs!$B$50)*(FQ11-FS11)</f>
        <v>0.00174722800556893</v>
      </c>
      <c r="FU11" s="15" t="n">
        <f aca="false">FQ11-FS11-FT11</f>
        <v>0.723662637596857</v>
      </c>
      <c r="FV11" s="15" t="n">
        <f aca="false">FU11*(1-Inputs!$B$18*EXP(-Inputs!$B$21*Inputs!$B$14*Inputs!$B$17/(Inputs!$B$22*Inputs!$B$23*Inputs!$B$24*FO11*Inputs!$B$16))*Inputs!$B$19)</f>
        <v>0.0263395604099779</v>
      </c>
      <c r="FW11" s="15" t="n">
        <f aca="false">(FU11-FV11)*(1-EXP(-Inputs!$B$25*Inputs!$B$14*Inputs!$B$17*Inputs!$B$26/(FO11*Inputs!$B$16/0.866)))</f>
        <v>0.00759817606071795</v>
      </c>
      <c r="FX11" s="15" t="n">
        <f aca="false">(FU11-FV11-FW11)*(1-Inputs!$B$19)</f>
        <v>0.00344862450563081</v>
      </c>
      <c r="FY11" s="15" t="n">
        <f aca="false">(FR11+FS11+FT11+FV11+FW11+FX11)*(1+Inputs!$B$27)</f>
        <v>0.314664894549608</v>
      </c>
      <c r="FZ11" s="15" t="n">
        <f aca="false">Inputs!$B$52/(1-FY11-G11)</f>
        <v>241068.271912339</v>
      </c>
      <c r="GA11" s="15" t="n">
        <f aca="false">FZ11/Inputs!$B$34</f>
        <v>401.780453187231</v>
      </c>
      <c r="GB11" s="15" t="n">
        <f aca="false">B11^2/GA11</f>
        <v>10.1946223802263</v>
      </c>
      <c r="GC11" s="15" t="n">
        <f aca="false">Inputs!$B$54*H11/(Inputs!$B$35*F11+E11*H11^2/(PI()*GB11*Inputs!$B$36))</f>
        <v>19.0595025100493</v>
      </c>
      <c r="GD11" s="15" t="n">
        <f aca="false">EXP(-Inputs!$B$11*Inputs!$B$14*Inputs!$B$17/(Inputs!$B$51*GC11*Inputs!$B$16))</f>
        <v>0.750577782480722</v>
      </c>
      <c r="GE11" s="15" t="n">
        <f aca="false">Inputs!$B$50*Inputs!$B$18*GD11*Inputs!$B$19</f>
        <v>0.733407737305982</v>
      </c>
      <c r="GF11" s="15" t="n">
        <f aca="false">1-GE11</f>
        <v>0.266592262694018</v>
      </c>
      <c r="GG11" s="15" t="n">
        <f aca="false">Inputs!$B$20*GF11</f>
        <v>0.00799776788082053</v>
      </c>
      <c r="GH11" s="15" t="n">
        <f aca="false">0.8*(1-Inputs!$B$50)*(GE11-GG11)</f>
        <v>0.0017472282556372</v>
      </c>
      <c r="GI11" s="15" t="n">
        <f aca="false">GE11-GG11-GH11</f>
        <v>0.723662741169525</v>
      </c>
      <c r="GJ11" s="15" t="n">
        <f aca="false">GI11*(1-Inputs!$B$18*EXP(-Inputs!$B$21*Inputs!$B$14*Inputs!$B$17/(Inputs!$B$22*Inputs!$B$23*Inputs!$B$24*GC11*Inputs!$B$16))*Inputs!$B$19)</f>
        <v>0.0263395585177368</v>
      </c>
      <c r="GK11" s="15" t="n">
        <f aca="false">(GI11-GJ11)*(1-EXP(-Inputs!$B$25*Inputs!$B$14*Inputs!$B$17*Inputs!$B$26/(GC11*Inputs!$B$16/0.866)))</f>
        <v>0.00759817359004799</v>
      </c>
      <c r="GL11" s="15" t="n">
        <f aca="false">(GI11-GJ11-GK11)*(1-Inputs!$B$19)</f>
        <v>0.0034486250453087</v>
      </c>
      <c r="GM11" s="15" t="n">
        <f aca="false">(GF11+GG11+GH11+GJ11+GK11+GL11)*(1+Inputs!$B$27)</f>
        <v>0.314664786831519</v>
      </c>
      <c r="GN11" s="15" t="n">
        <f aca="false">Inputs!$B$52/(1-GM11-G11)</f>
        <v>241068.080037564</v>
      </c>
      <c r="GO11" s="15" t="n">
        <f aca="false">GN11/Inputs!$B$34</f>
        <v>401.780133395939</v>
      </c>
      <c r="GP11" s="15" t="n">
        <f aca="false">B11^2/GO11</f>
        <v>10.1946304944937</v>
      </c>
      <c r="GQ11" s="15" t="n">
        <f aca="false">Inputs!$B$54*H11/(Inputs!$B$35*F11+E11*H11^2/(PI()*GP11*Inputs!$B$36))</f>
        <v>19.0595068445727</v>
      </c>
      <c r="GR11" s="15" t="n">
        <f aca="false">EXP(-Inputs!$B$11*Inputs!$B$14*Inputs!$B$17/(Inputs!$B$51*GQ11*Inputs!$B$16))</f>
        <v>0.750577831455685</v>
      </c>
      <c r="GS11" s="15" t="n">
        <f aca="false">Inputs!$B$50*Inputs!$B$18*GR11*Inputs!$B$19</f>
        <v>0.733407785160605</v>
      </c>
      <c r="GT11" s="15" t="n">
        <f aca="false">1-GS11</f>
        <v>0.266592214839395</v>
      </c>
      <c r="GU11" s="15" t="n">
        <f aca="false">Inputs!$B$20*GT11</f>
        <v>0.00799776644518185</v>
      </c>
      <c r="GV11" s="15" t="n">
        <f aca="false">0.8*(1-Inputs!$B$50)*(GS11-GU11)</f>
        <v>0.00174722837435812</v>
      </c>
      <c r="GW11" s="15" t="n">
        <f aca="false">GS11-GU11-GV11</f>
        <v>0.723662790341065</v>
      </c>
      <c r="GX11" s="15" t="n">
        <f aca="false">GW11*(1-Inputs!$B$18*EXP(-Inputs!$B$21*Inputs!$B$14*Inputs!$B$17/(Inputs!$B$22*Inputs!$B$23*Inputs!$B$24*GQ11*Inputs!$B$16))*Inputs!$B$19)</f>
        <v>0.0263395576193874</v>
      </c>
      <c r="GY11" s="15" t="n">
        <f aca="false">(GW11-GX11)*(1-EXP(-Inputs!$B$25*Inputs!$B$14*Inputs!$B$17*Inputs!$B$26/(GQ11*Inputs!$B$16/0.866)))</f>
        <v>0.00759817241708726</v>
      </c>
      <c r="GZ11" s="15" t="n">
        <f aca="false">(GW11-GX11-GY11)*(1-Inputs!$B$19)</f>
        <v>0.00344862530152296</v>
      </c>
      <c r="HA11" s="15" t="n">
        <f aca="false">(GT11+GU11+GV11+GX11+GY11+GZ11)*(1+Inputs!$B$27)</f>
        <v>0.314664735691923</v>
      </c>
      <c r="HB11" s="15" t="n">
        <f aca="false">Inputs!$B$52/(1-HA11-G11)</f>
        <v>241067.988944349</v>
      </c>
      <c r="HC11" s="15" t="n">
        <f aca="false">HB11/Inputs!$B$34</f>
        <v>401.779981573915</v>
      </c>
      <c r="HD11" s="15" t="n">
        <f aca="false">B11^2/HC11</f>
        <v>10.1946343467748</v>
      </c>
      <c r="HE11" s="15" t="n">
        <f aca="false">Inputs!$B$54*H11/(Inputs!$B$35*F11+E11*H11^2/(PI()*HD11*Inputs!$B$36))</f>
        <v>19.0595089024034</v>
      </c>
      <c r="HF11" s="15" t="n">
        <f aca="false">EXP(-Inputs!$B$11*Inputs!$B$14*Inputs!$B$17/(Inputs!$B$51*HE11*Inputs!$B$16))</f>
        <v>0.750577854706719</v>
      </c>
      <c r="HG11" s="15" t="n">
        <f aca="false">Inputs!$B$50*Inputs!$B$18*HF11*Inputs!$B$19</f>
        <v>0.733407807879754</v>
      </c>
      <c r="HH11" s="15" t="n">
        <f aca="false">1-HG11</f>
        <v>0.266592192120246</v>
      </c>
      <c r="HI11" s="15" t="n">
        <f aca="false">Inputs!$B$20*HH11</f>
        <v>0.00799776576360737</v>
      </c>
      <c r="HJ11" s="15" t="n">
        <f aca="false">0.8*(1-Inputs!$B$50)*(HG11-HI11)</f>
        <v>0.00174722843072129</v>
      </c>
      <c r="HK11" s="15" t="n">
        <f aca="false">HG11-HI11-HJ11</f>
        <v>0.723662813685426</v>
      </c>
      <c r="HL11" s="15" t="n">
        <f aca="false">HK11*(1-Inputs!$B$18*EXP(-Inputs!$B$21*Inputs!$B$14*Inputs!$B$17/(Inputs!$B$22*Inputs!$B$23*Inputs!$B$24*HE11*Inputs!$B$16))*Inputs!$B$19)</f>
        <v>0.0263395571928928</v>
      </c>
      <c r="HM11" s="15" t="n">
        <f aca="false">(HK11-HL11)*(1-EXP(-Inputs!$B$25*Inputs!$B$14*Inputs!$B$17*Inputs!$B$26/(HE11*Inputs!$B$16/0.866)))</f>
        <v>0.00759817186022003</v>
      </c>
      <c r="HN11" s="15" t="n">
        <f aca="false">(HK11-HL11-HM11)*(1-Inputs!$B$19)</f>
        <v>0.00344862542316157</v>
      </c>
      <c r="HO11" s="15" t="n">
        <f aca="false">(HH11+HI11+HJ11+HL11+HM11+HN11)*(1+Inputs!$B$27)</f>
        <v>0.314664711413221</v>
      </c>
      <c r="HP11" s="15" t="n">
        <f aca="false">Inputs!$B$52/(1-HO11-G11)</f>
        <v>241067.945697551</v>
      </c>
      <c r="HQ11" s="15" t="n">
        <f aca="false">HP11/Inputs!$B$34</f>
        <v>401.779909495919</v>
      </c>
      <c r="HR11" s="15" t="n">
        <f aca="false">B11^2/HQ11</f>
        <v>10.1946361756588</v>
      </c>
      <c r="HS11" s="15" t="n">
        <f aca="false">Inputs!$B$54*H11/(Inputs!$B$35*F11+E11*H11^2/(PI()*HR11*Inputs!$B$36))</f>
        <v>19.0595098793654</v>
      </c>
      <c r="HT11" s="15" t="n">
        <f aca="false">EXP(-Inputs!$B$11*Inputs!$B$14*Inputs!$B$17/(Inputs!$B$51*HS11*Inputs!$B$16))</f>
        <v>0.750577865745223</v>
      </c>
      <c r="HU11" s="15" t="n">
        <f aca="false">Inputs!$B$50*Inputs!$B$18*HT11*Inputs!$B$19</f>
        <v>0.733407818665744</v>
      </c>
      <c r="HV11" s="15" t="n">
        <f aca="false">1-HU11</f>
        <v>0.266592181334256</v>
      </c>
      <c r="HW11" s="15" t="n">
        <f aca="false">Inputs!$B$20*HV11</f>
        <v>0.00799776544002768</v>
      </c>
      <c r="HX11" s="15" t="n">
        <f aca="false">0.8*(1-Inputs!$B$50)*(HU11-HW11)</f>
        <v>0.00174722845747989</v>
      </c>
      <c r="HY11" s="15" t="n">
        <f aca="false">HU11-HW11-HX11</f>
        <v>0.723662824768236</v>
      </c>
      <c r="HZ11" s="15" t="n">
        <f aca="false">HY11*(1-Inputs!$B$18*EXP(-Inputs!$B$21*Inputs!$B$14*Inputs!$B$17/(Inputs!$B$22*Inputs!$B$23*Inputs!$B$24*HS11*Inputs!$B$16))*Inputs!$B$19)</f>
        <v>0.0263395569904132</v>
      </c>
      <c r="IA11" s="15" t="n">
        <f aca="false">(HY11-HZ11)*(1-EXP(-Inputs!$B$25*Inputs!$B$14*Inputs!$B$17*Inputs!$B$26/(HS11*Inputs!$B$16/0.866)))</f>
        <v>0.00759817159584547</v>
      </c>
      <c r="IB11" s="15" t="n">
        <f aca="false">(HY11-HZ11-IA11)*(1-Inputs!$B$19)</f>
        <v>0.00344862548090989</v>
      </c>
      <c r="IC11" s="15" t="n">
        <f aca="false">(HV11+HW11+HX11+HZ11+IA11+IB11)*(1+Inputs!$B$27)</f>
        <v>0.314664699886829</v>
      </c>
      <c r="ID11" s="15" t="n">
        <f aca="false">Inputs!$B$52/(1-IC11-G11)</f>
        <v>241067.925165999</v>
      </c>
      <c r="IE11" s="15" t="n">
        <f aca="false">ID11/Inputs!$B$34</f>
        <v>401.779875276666</v>
      </c>
      <c r="IF11" s="15" t="n">
        <f aca="false">B11^2/IE11</f>
        <v>10.1946370439273</v>
      </c>
      <c r="IG11" s="15" t="n">
        <f aca="false">Inputs!$B$54*H11/(Inputs!$B$35*F11+E11*H11^2/(PI()*IF11*Inputs!$B$36))</f>
        <v>19.0595103431811</v>
      </c>
      <c r="IH11" s="15" t="n">
        <f aca="false">EXP(-Inputs!$B$11*Inputs!$B$14*Inputs!$B$17/(Inputs!$B$51*IG11*Inputs!$B$16))</f>
        <v>0.750577870985788</v>
      </c>
      <c r="II11" s="15" t="n">
        <f aca="false">Inputs!$B$50*Inputs!$B$18*IH11*Inputs!$B$19</f>
        <v>0.733407823786426</v>
      </c>
      <c r="IJ11" s="15" t="n">
        <f aca="false">1-II11</f>
        <v>0.266592176213574</v>
      </c>
      <c r="IK11" s="15" t="n">
        <f aca="false">Inputs!$B$20*IJ11</f>
        <v>0.00799776528640721</v>
      </c>
      <c r="IL11" s="15" t="n">
        <f aca="false">0.8*(1-Inputs!$B$50)*(II11-IK11)</f>
        <v>0.00174722847018361</v>
      </c>
      <c r="IM11" s="15" t="n">
        <f aca="false">II11-IK11-IL11</f>
        <v>0.723662830029835</v>
      </c>
      <c r="IN11" s="15" t="n">
        <f aca="false">IM11*(1-Inputs!$B$18*EXP(-Inputs!$B$21*Inputs!$B$14*Inputs!$B$17/(Inputs!$B$22*Inputs!$B$23*Inputs!$B$24*IG11*Inputs!$B$16))*Inputs!$B$19)</f>
        <v>0.0263395568942853</v>
      </c>
      <c r="IO11" s="15" t="n">
        <f aca="false">(IM11-IN11)*(1-EXP(-Inputs!$B$25*Inputs!$B$14*Inputs!$B$17*Inputs!$B$26/(IG11*Inputs!$B$16/0.866)))</f>
        <v>0.00759817147033285</v>
      </c>
      <c r="IP11" s="15" t="n">
        <f aca="false">(IM11-IN11-IO11)*(1-Inputs!$B$19)</f>
        <v>0.00344862550832609</v>
      </c>
      <c r="IQ11" s="15" t="n">
        <f aca="false">(IJ11+IK11+IL11+IN11+IO11+IP11)*(1+Inputs!$B$27)</f>
        <v>0.314664694414638</v>
      </c>
      <c r="IR11" s="15" t="n">
        <f aca="false">Inputs!$B$52/(1-IQ11-G11)</f>
        <v>241067.915418582</v>
      </c>
      <c r="IS11" s="15" t="n">
        <f aca="false">IR11/Inputs!$B$34</f>
        <v>401.77985903097</v>
      </c>
      <c r="IT11" s="15" t="n">
        <f aca="false">B11^2/IS11</f>
        <v>10.1946374561405</v>
      </c>
      <c r="IU11" s="15" t="n">
        <f aca="false">Inputs!$B$54*H11/(Inputs!$B$35*F11+E11*H11^2/(PI()*IT11*Inputs!$B$36))</f>
        <v>19.0595105633791</v>
      </c>
      <c r="IV11" s="15" t="n">
        <f aca="false">EXP(-Inputs!$B$11*Inputs!$B$14*Inputs!$B$17/(Inputs!$B$51*IU11*Inputs!$B$16))</f>
        <v>0.750577873473761</v>
      </c>
      <c r="IW11" s="15" t="n">
        <f aca="false">Inputs!$B$50*Inputs!$B$18*IV11*Inputs!$B$19</f>
        <v>0.733407826217486</v>
      </c>
      <c r="IX11" s="15" t="n">
        <f aca="false">1-IW11</f>
        <v>0.266592173782514</v>
      </c>
      <c r="IY11" s="15" t="n">
        <f aca="false">Inputs!$B$20*IX11</f>
        <v>0.00799776521347543</v>
      </c>
      <c r="IZ11" s="15" t="n">
        <f aca="false">0.8*(1-Inputs!$B$50)*(IW11-IY11)</f>
        <v>0.00174722847621475</v>
      </c>
      <c r="JA11" s="15" t="n">
        <f aca="false">IW11-IY11-IZ11</f>
        <v>0.723662832527796</v>
      </c>
      <c r="JB11" s="15" t="n">
        <f aca="false">JA11*(1-Inputs!$B$18*EXP(-Inputs!$B$21*Inputs!$B$14*Inputs!$B$17/(Inputs!$B$22*Inputs!$B$23*Inputs!$B$24*IU11*Inputs!$B$16))*Inputs!$B$19)</f>
        <v>0.0263395568486483</v>
      </c>
      <c r="JC11" s="15" t="n">
        <f aca="false">(JA11-JB11)*(1-EXP(-Inputs!$B$25*Inputs!$B$14*Inputs!$B$17*Inputs!$B$26/(IU11*Inputs!$B$16/0.866)))</f>
        <v>0.00759817141074532</v>
      </c>
      <c r="JD11" s="15" t="n">
        <f aca="false">(JA11-JB11-JC11)*(1-Inputs!$B$19)</f>
        <v>0.00344862552134201</v>
      </c>
      <c r="JE11" s="15" t="n">
        <f aca="false">(IX11+IY11+IZ11+JB11+JC11+JD11)*(1+Inputs!$B$27)</f>
        <v>0.314664691816699</v>
      </c>
      <c r="JF11" s="15" t="n">
        <f aca="false">Inputs!$B$52/(1-JE11-G11)</f>
        <v>241067.910790967</v>
      </c>
      <c r="JG11" s="15" t="n">
        <f aca="false">JF11/Inputs!$B$34</f>
        <v>401.779851318278</v>
      </c>
      <c r="JH11" s="15" t="n">
        <f aca="false">B11^2/JG11</f>
        <v>10.19463765184</v>
      </c>
      <c r="JI11" s="15" t="n">
        <f aca="false">Inputs!$B$54*H11/(Inputs!$B$35*F11+E11*H11^2/(PI()*JH11*Inputs!$B$36))</f>
        <v>19.0595106679187</v>
      </c>
      <c r="JJ11" s="15" t="n">
        <f aca="false">EXP(-Inputs!$B$11*Inputs!$B$14*Inputs!$B$17/(Inputs!$B$51*JI11*Inputs!$B$16))</f>
        <v>0.750577874654935</v>
      </c>
      <c r="JK11" s="15" t="n">
        <f aca="false">Inputs!$B$50*Inputs!$B$18*JJ11*Inputs!$B$19</f>
        <v>0.733407827371639</v>
      </c>
      <c r="JL11" s="15" t="n">
        <f aca="false">1-JK11</f>
        <v>0.266592172628361</v>
      </c>
      <c r="JM11" s="15" t="n">
        <f aca="false">Inputs!$B$20*JL11</f>
        <v>0.00799776517885084</v>
      </c>
      <c r="JN11" s="15" t="n">
        <f aca="false">0.8*(1-Inputs!$B$50)*(JK11-JM11)</f>
        <v>0.00174722847907805</v>
      </c>
      <c r="JO11" s="15" t="n">
        <f aca="false">JK11-JM11-JN11</f>
        <v>0.72366283371371</v>
      </c>
      <c r="JP11" s="15" t="n">
        <f aca="false">JO11*(1-Inputs!$B$18*EXP(-Inputs!$B$21*Inputs!$B$14*Inputs!$B$17/(Inputs!$B$22*Inputs!$B$23*Inputs!$B$24*JI11*Inputs!$B$16))*Inputs!$B$19)</f>
        <v>0.026339556826982</v>
      </c>
      <c r="JQ11" s="15" t="n">
        <f aca="false">(JO11-JP11)*(1-EXP(-Inputs!$B$25*Inputs!$B$14*Inputs!$B$17*Inputs!$B$26/(JI11*Inputs!$B$16/0.866)))</f>
        <v>0.007598171382456</v>
      </c>
      <c r="JR11" s="15" t="n">
        <f aca="false">(JO11-JP11-JQ11)*(1-Inputs!$B$19)</f>
        <v>0.00344862552752136</v>
      </c>
      <c r="JS11" s="15" t="n">
        <f aca="false">(JL11+JM11+JN11+JP11+JQ11+JR11)*(1+Inputs!$B$27)</f>
        <v>0.314664690583319</v>
      </c>
      <c r="JT11" s="15" t="n">
        <f aca="false">Inputs!$B$52/(1-JS11-G11)</f>
        <v>241067.908593992</v>
      </c>
      <c r="JU11" s="15" t="n">
        <f aca="false">JT11/Inputs!$B$34</f>
        <v>401.779847656653</v>
      </c>
      <c r="JV11" s="15" t="n">
        <f aca="false">B11^2/JU11</f>
        <v>10.1946377447489</v>
      </c>
      <c r="JW11" s="15" t="n">
        <f aca="false">Inputs!$B$54*H11/(Inputs!$B$35*F11+E11*H11^2/(PI()*JV11*Inputs!$B$36))</f>
        <v>19.0595107175492</v>
      </c>
      <c r="JX11" s="15" t="n">
        <f aca="false">EXP(-Inputs!$B$11*Inputs!$B$14*Inputs!$B$17/(Inputs!$B$51*JW11*Inputs!$B$16))</f>
        <v>0.7505778752157</v>
      </c>
      <c r="JY11" s="15" t="n">
        <f aca="false">Inputs!$B$50*Inputs!$B$18*JX11*Inputs!$B$19</f>
        <v>0.733407827919576</v>
      </c>
      <c r="JZ11" s="15" t="n">
        <f aca="false">1-JY11</f>
        <v>0.266592172080424</v>
      </c>
      <c r="KA11" s="15" t="n">
        <f aca="false">Inputs!$B$20*JZ11</f>
        <v>0.00799776516241271</v>
      </c>
      <c r="KB11" s="15" t="n">
        <f aca="false">0.8*(1-Inputs!$B$50)*(JY11-KA11)</f>
        <v>0.00174722848043741</v>
      </c>
      <c r="KC11" s="15" t="n">
        <f aca="false">JY11-KA11-KB11</f>
        <v>0.723662834276726</v>
      </c>
      <c r="KD11" s="15" t="n">
        <f aca="false">KC11*(1-Inputs!$B$18*EXP(-Inputs!$B$21*Inputs!$B$14*Inputs!$B$17/(Inputs!$B$22*Inputs!$B$23*Inputs!$B$24*JW11*Inputs!$B$16))*Inputs!$B$19)</f>
        <v>0.0263395568166958</v>
      </c>
      <c r="KE11" s="15" t="n">
        <f aca="false">(KC11-KD11)*(1-EXP(-Inputs!$B$25*Inputs!$B$14*Inputs!$B$17*Inputs!$B$26/(JW11*Inputs!$B$16/0.866)))</f>
        <v>0.00759817136902553</v>
      </c>
      <c r="KF11" s="15" t="n">
        <f aca="false">(KC11-KD11-KE11)*(1-Inputs!$B$19)</f>
        <v>0.00344862553045503</v>
      </c>
      <c r="KG11" s="15" t="n">
        <f aca="false">(JZ11+KA11+KB11+KD11+KE11+KF11)*(1+Inputs!$B$27)</f>
        <v>0.314664689997769</v>
      </c>
      <c r="KH11" s="15" t="n">
        <f aca="false">Inputs!$B$52/(1-KG11-G11)</f>
        <v>241067.907550972</v>
      </c>
      <c r="KI11" s="15" t="n">
        <f aca="false">KH11/Inputs!$B$34</f>
        <v>401.779845918286</v>
      </c>
      <c r="KJ11" s="15" t="n">
        <f aca="false">B11^2/KI11</f>
        <v>10.1946377888577</v>
      </c>
      <c r="KK11" s="15" t="n">
        <f aca="false">Inputs!$B$54*H11/(Inputs!$B$35*F11+E11*H11^2/(PI()*KJ11*Inputs!$B$36))</f>
        <v>19.0595107411115</v>
      </c>
      <c r="KL11" s="15" t="n">
        <f aca="false">EXP(-Inputs!$B$11*Inputs!$B$14*Inputs!$B$17/(Inputs!$B$51*KK11*Inputs!$B$16))</f>
        <v>0.750577875481925</v>
      </c>
      <c r="KM11" s="15" t="n">
        <f aca="false">Inputs!$B$50*Inputs!$B$18*KL11*Inputs!$B$19</f>
        <v>0.733407828179711</v>
      </c>
      <c r="KN11" s="15" t="n">
        <f aca="false">1-KM11</f>
        <v>0.266592171820289</v>
      </c>
      <c r="KO11" s="15" t="n">
        <f aca="false">Inputs!$B$20*KN11</f>
        <v>0.00799776515460866</v>
      </c>
      <c r="KP11" s="15" t="n">
        <f aca="false">0.8*(1-Inputs!$B$50)*(KM11-KO11)</f>
        <v>0.00174722848108277</v>
      </c>
      <c r="KQ11" s="15" t="n">
        <f aca="false">KM11-KO11-KP11</f>
        <v>0.72366283454402</v>
      </c>
      <c r="KR11" s="15" t="n">
        <f aca="false">KQ11*(1-Inputs!$B$18*EXP(-Inputs!$B$21*Inputs!$B$14*Inputs!$B$17/(Inputs!$B$22*Inputs!$B$23*Inputs!$B$24*KK11*Inputs!$B$16))*Inputs!$B$19)</f>
        <v>0.0263395568118124</v>
      </c>
      <c r="KS11" s="15" t="n">
        <f aca="false">(KQ11-KR11)*(1-EXP(-Inputs!$B$25*Inputs!$B$14*Inputs!$B$17*Inputs!$B$26/(KK11*Inputs!$B$16/0.866)))</f>
        <v>0.00759817136264937</v>
      </c>
      <c r="KT11" s="15" t="n">
        <f aca="false">(KQ11-KR11-KS11)*(1-Inputs!$B$19)</f>
        <v>0.00344862553184779</v>
      </c>
      <c r="KU11" s="15" t="n">
        <f aca="false">(KN11+KO11+KP11+KR11+KS11+KT11)*(1+Inputs!$B$27)</f>
        <v>0.314664689719777</v>
      </c>
      <c r="KV11" s="15" t="n">
        <f aca="false">Inputs!$B$52/(1-KU11-G11)</f>
        <v>241067.907055795</v>
      </c>
      <c r="KW11" s="15" t="n">
        <f aca="false">KV11/Inputs!$B$34</f>
        <v>401.779845092991</v>
      </c>
      <c r="KX11" s="15" t="n">
        <f aca="false">B11^2/KW11</f>
        <v>10.1946378097985</v>
      </c>
      <c r="KY11" s="15" t="n">
        <f aca="false">Inputs!$B$54*H11/(Inputs!$B$35*F11+E11*H11^2/(PI()*KX11*Inputs!$B$36))</f>
        <v>19.0595107522977</v>
      </c>
      <c r="KZ11" s="15" t="n">
        <f aca="false">EXP(-Inputs!$B$11*Inputs!$B$14*Inputs!$B$17/(Inputs!$B$51*KY11*Inputs!$B$16))</f>
        <v>0.750577875608317</v>
      </c>
      <c r="LA11" s="15" t="n">
        <f aca="false">Inputs!$B$50*Inputs!$B$18*KZ11*Inputs!$B$19</f>
        <v>0.733407828303211</v>
      </c>
      <c r="LB11" s="15" t="n">
        <f aca="false">1-LA11</f>
        <v>0.266592171696789</v>
      </c>
      <c r="LC11" s="15" t="n">
        <f aca="false">Inputs!$B$20*LB11</f>
        <v>0.00799776515090366</v>
      </c>
      <c r="LD11" s="15" t="n">
        <f aca="false">0.8*(1-Inputs!$B$50)*(LA11-LC11)</f>
        <v>0.00174722848138915</v>
      </c>
      <c r="LE11" s="15" t="n">
        <f aca="false">LA11-LC11-LD11</f>
        <v>0.723662834670918</v>
      </c>
      <c r="LF11" s="15" t="n">
        <f aca="false">LE11*(1-Inputs!$B$18*EXP(-Inputs!$B$21*Inputs!$B$14*Inputs!$B$17/(Inputs!$B$22*Inputs!$B$23*Inputs!$B$24*KY11*Inputs!$B$16))*Inputs!$B$19)</f>
        <v>0.0263395568094941</v>
      </c>
      <c r="LG11" s="15" t="n">
        <f aca="false">(LE11-LF11)*(1-EXP(-Inputs!$B$25*Inputs!$B$14*Inputs!$B$17*Inputs!$B$26/(KY11*Inputs!$B$16/0.866)))</f>
        <v>0.00759817135962228</v>
      </c>
      <c r="LH11" s="15" t="n">
        <f aca="false">(LE11-LF11-LG11)*(1-Inputs!$B$19)</f>
        <v>0.00344862553250901</v>
      </c>
      <c r="LI11" s="15" t="n">
        <f aca="false">(LB11+LC11+LD11+LF11+LG11+LH11)*(1+Inputs!$B$27)</f>
        <v>0.314664689587799</v>
      </c>
      <c r="LJ11" s="15" t="n">
        <f aca="false">Inputs!$B$52/(1-LI11-G11)</f>
        <v>241067.906820708</v>
      </c>
      <c r="LK11" s="15" t="n">
        <f aca="false">LJ11/Inputs!$B$34</f>
        <v>401.779844701179</v>
      </c>
      <c r="LL11" s="15" t="n">
        <f aca="false">B11^2/LK11</f>
        <v>10.1946378197402</v>
      </c>
      <c r="LM11" s="15" t="n">
        <f aca="false">Inputs!$B$54*H11/(Inputs!$B$35*F11+E11*H11^2/(PI()*LL11*Inputs!$B$36))</f>
        <v>19.0595107576084</v>
      </c>
      <c r="LN11" s="15" t="n">
        <f aca="false">EXP(-Inputs!$B$11*Inputs!$B$14*Inputs!$B$17/(Inputs!$B$51*LM11*Inputs!$B$16))</f>
        <v>0.750577875668321</v>
      </c>
      <c r="LO11" s="15" t="n">
        <f aca="false">Inputs!$B$50*Inputs!$B$18*LN11*Inputs!$B$19</f>
        <v>0.733407828361843</v>
      </c>
      <c r="LP11" s="15" t="n">
        <f aca="false">1-LO11</f>
        <v>0.266592171638157</v>
      </c>
      <c r="LQ11" s="15" t="n">
        <f aca="false">Inputs!$B$20*LP11</f>
        <v>0.00799776514914471</v>
      </c>
      <c r="LR11" s="15" t="n">
        <f aca="false">0.8*(1-Inputs!$B$50)*(LO11-LQ11)</f>
        <v>0.00174722848153461</v>
      </c>
      <c r="LS11" s="15" t="n">
        <f aca="false">LO11-LQ11-LR11</f>
        <v>0.723662834731164</v>
      </c>
      <c r="LT11" s="15" t="n">
        <f aca="false">LS11*(1-Inputs!$B$18*EXP(-Inputs!$B$21*Inputs!$B$14*Inputs!$B$17/(Inputs!$B$22*Inputs!$B$23*Inputs!$B$24*LM11*Inputs!$B$16))*Inputs!$B$19)</f>
        <v>0.0263395568083934</v>
      </c>
      <c r="LU11" s="15" t="n">
        <f aca="false">(LS11-LT11)*(1-EXP(-Inputs!$B$25*Inputs!$B$14*Inputs!$B$17*Inputs!$B$26/(LM11*Inputs!$B$16/0.866)))</f>
        <v>0.00759817135818517</v>
      </c>
      <c r="LV11" s="15" t="n">
        <f aca="false">(LS11-LT11-LU11)*(1-Inputs!$B$19)</f>
        <v>0.00344862553282293</v>
      </c>
      <c r="LW11" s="15" t="n">
        <f aca="false">(LP11+LQ11+LR11+LT11+LU11+LV11)*(1+Inputs!$B$27)</f>
        <v>0.314664689525142</v>
      </c>
      <c r="LX11" s="15" t="n">
        <f aca="false">Inputs!$B$52/(1-LW11-G11)</f>
        <v>241067.9067091</v>
      </c>
      <c r="LY11" s="15" t="n">
        <f aca="false">LX11/Inputs!$B$34</f>
        <v>401.779844515166</v>
      </c>
      <c r="LZ11" s="15" t="n">
        <f aca="false">B11^2/LY11</f>
        <v>10.1946378244601</v>
      </c>
      <c r="MA11" s="15" t="n">
        <f aca="false">Inputs!$B$54*H11/(Inputs!$B$35*F11+E11*H11^2/(PI()*LZ11*Inputs!$B$36))</f>
        <v>19.0595107601297</v>
      </c>
      <c r="MB11" s="15" t="n">
        <f aca="false">EXP(-Inputs!$B$11*Inputs!$B$14*Inputs!$B$17/(Inputs!$B$51*MA11*Inputs!$B$16))</f>
        <v>0.750577875696808</v>
      </c>
      <c r="MC11" s="15" t="n">
        <f aca="false">Inputs!$B$50*Inputs!$B$18*MB11*Inputs!$B$19</f>
        <v>0.733407828389679</v>
      </c>
      <c r="MD11" s="15" t="n">
        <f aca="false">1-MC11</f>
        <v>0.266592171610321</v>
      </c>
      <c r="ME11" s="15" t="n">
        <f aca="false">Inputs!$B$20*MD11</f>
        <v>0.00799776514830964</v>
      </c>
      <c r="MF11" s="15" t="n">
        <f aca="false">0.8*(1-Inputs!$B$50)*(MC11-ME11)</f>
        <v>0.00174722848160367</v>
      </c>
      <c r="MG11" s="15" t="n">
        <f aca="false">MC11-ME11-MF11</f>
        <v>0.723662834759765</v>
      </c>
      <c r="MH11" s="15" t="n">
        <f aca="false">MG11*(1-Inputs!$B$18*EXP(-Inputs!$B$21*Inputs!$B$14*Inputs!$B$17/(Inputs!$B$22*Inputs!$B$23*Inputs!$B$24*MA11*Inputs!$B$16))*Inputs!$B$19)</f>
        <v>0.0263395568078708</v>
      </c>
      <c r="MI11" s="15" t="n">
        <f aca="false">(MG11-MH11)*(1-EXP(-Inputs!$B$25*Inputs!$B$14*Inputs!$B$17*Inputs!$B$26/(MA11*Inputs!$B$16/0.866)))</f>
        <v>0.00759817135750288</v>
      </c>
      <c r="MJ11" s="15" t="n">
        <f aca="false">(MG11-MH11-MI11)*(1-Inputs!$B$19)</f>
        <v>0.00344862553297196</v>
      </c>
      <c r="MK11" s="15" t="n">
        <f aca="false">(MD11+ME11+MF11+MH11+MI11+MJ11)*(1+Inputs!$B$27)</f>
        <v>0.314664689495396</v>
      </c>
      <c r="ML11" s="15" t="n">
        <f aca="false">Inputs!$B$52/(1-MK11-G11)</f>
        <v>241067.906656113</v>
      </c>
      <c r="MM11" s="15" t="n">
        <f aca="false">ML11/Inputs!$B$34</f>
        <v>401.779844426856</v>
      </c>
      <c r="MN11" s="15" t="n">
        <f aca="false">B11^2/MM11</f>
        <v>10.1946378267008</v>
      </c>
      <c r="MO11" s="15" t="n">
        <f aca="false">Inputs!$B$54*H11/(Inputs!$B$35*F11+E11*H11^2/(PI()*MN11*Inputs!$B$36))</f>
        <v>19.0595107613267</v>
      </c>
      <c r="MP11" s="15" t="n">
        <f aca="false">EXP(-Inputs!$B$11*Inputs!$B$14*Inputs!$B$17/(Inputs!$B$51*MO11*Inputs!$B$16))</f>
        <v>0.750577875710333</v>
      </c>
      <c r="MQ11" s="15" t="n">
        <f aca="false">Inputs!$B$50*Inputs!$B$18*MP11*Inputs!$B$19</f>
        <v>0.733407828402894</v>
      </c>
      <c r="MR11" s="15" t="n">
        <f aca="false">1-MQ11</f>
        <v>0.266592171597106</v>
      </c>
      <c r="MS11" s="15" t="n">
        <f aca="false">Inputs!$B$20*MR11</f>
        <v>0.00799776514791319</v>
      </c>
      <c r="MT11" s="15" t="n">
        <f aca="false">0.8*(1-Inputs!$B$50)*(MQ11-MS11)</f>
        <v>0.00174722848163645</v>
      </c>
      <c r="MU11" s="15" t="n">
        <f aca="false">MQ11-MS11-MT11</f>
        <v>0.723662834773344</v>
      </c>
      <c r="MV11" s="15" t="n">
        <f aca="false">MU11*(1-Inputs!$B$18*EXP(-Inputs!$B$21*Inputs!$B$14*Inputs!$B$17/(Inputs!$B$22*Inputs!$B$23*Inputs!$B$24*MO11*Inputs!$B$16))*Inputs!$B$19)</f>
        <v>0.0263395568076228</v>
      </c>
      <c r="MW11" s="15" t="n">
        <f aca="false">(MU11-MV11)*(1-EXP(-Inputs!$B$25*Inputs!$B$14*Inputs!$B$17*Inputs!$B$26/(MO11*Inputs!$B$16/0.866)))</f>
        <v>0.00759817135717897</v>
      </c>
      <c r="MX11" s="15" t="n">
        <f aca="false">(MU11-MV11-MW11)*(1-Inputs!$B$19)</f>
        <v>0.00344862553304272</v>
      </c>
      <c r="MY11" s="15" t="n">
        <f aca="false">(MR11+MS11+MT11+MV11+MW11+MX11)*(1+Inputs!$B$27)</f>
        <v>0.314664689481274</v>
      </c>
      <c r="MZ11" s="15" t="n">
        <f aca="false">Inputs!$B$52/(1-MY11-G11)</f>
        <v>241067.906630958</v>
      </c>
      <c r="NA11" s="15" t="n">
        <f aca="false">MZ11/Inputs!$B$34</f>
        <v>401.77984438493</v>
      </c>
      <c r="NB11" s="15" t="n">
        <f aca="false">B11^2/NA11</f>
        <v>10.1946378277646</v>
      </c>
      <c r="NC11" s="15" t="n">
        <f aca="false">Inputs!$B$54*H11/(Inputs!$B$35*F11+E11*H11^2/(PI()*NB11*Inputs!$B$36))</f>
        <v>19.0595107618949</v>
      </c>
      <c r="ND11" s="15" t="n">
        <f aca="false">EXP(-Inputs!$B$11*Inputs!$B$14*Inputs!$B$17/(Inputs!$B$51*NC11*Inputs!$B$16))</f>
        <v>0.750577875716754</v>
      </c>
      <c r="NE11" s="15" t="n">
        <f aca="false">Inputs!$B$50*Inputs!$B$18*ND11*Inputs!$B$19</f>
        <v>0.733407828409168</v>
      </c>
      <c r="NF11" s="15" t="n">
        <f aca="false">1-NE11</f>
        <v>0.266592171590832</v>
      </c>
      <c r="NG11" s="15" t="n">
        <f aca="false">Inputs!$B$20*NF11</f>
        <v>0.00799776514772497</v>
      </c>
      <c r="NH11" s="15" t="n">
        <f aca="false">0.8*(1-Inputs!$B$50)*(NE11-NG11)</f>
        <v>0.00174722848165202</v>
      </c>
      <c r="NI11" s="15" t="n">
        <f aca="false">NE11-NG11-NH11</f>
        <v>0.723662834779791</v>
      </c>
      <c r="NJ11" s="15" t="n">
        <f aca="false">NI11*(1-Inputs!$B$18*EXP(-Inputs!$B$21*Inputs!$B$14*Inputs!$B$17/(Inputs!$B$22*Inputs!$B$23*Inputs!$B$24*NC11*Inputs!$B$16))*Inputs!$B$19)</f>
        <v>0.026339556807505</v>
      </c>
      <c r="NK11" s="15" t="n">
        <f aca="false">(NI11-NJ11)*(1-EXP(-Inputs!$B$25*Inputs!$B$14*Inputs!$B$17*Inputs!$B$26/(NC11*Inputs!$B$16/0.866)))</f>
        <v>0.0075981713570252</v>
      </c>
      <c r="NL11" s="15" t="n">
        <f aca="false">(NI11-NJ11-NK11)*(1-Inputs!$B$19)</f>
        <v>0.00344862553307631</v>
      </c>
      <c r="NM11" s="15" t="n">
        <f aca="false">(NF11+NG11+NH11+NJ11+NK11+NL11)*(1+Inputs!$B$27)</f>
        <v>0.314664689474569</v>
      </c>
      <c r="NN11" s="15" t="n">
        <f aca="false">Inputs!$B$52/(1-NM11-G11)</f>
        <v>241067.906619016</v>
      </c>
    </row>
    <row r="13" customFormat="false" ht="15" hidden="false" customHeight="false" outlineLevel="0" collapsed="false">
      <c r="A13" s="31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2026-11-01T15:16:05Z</dcterms:created>
  <dc:creator>openpyxl</dc:creator>
  <dc:description/>
  <dc:language>en-US</dc:language>
  <cp:lastModifiedBy/>
  <dcterms:modified xsi:type="dcterms:W3CDTF">2026-11-01T15:16:05Z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